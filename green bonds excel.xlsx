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964591\Documents\"/>
    </mc:Choice>
  </mc:AlternateContent>
  <xr:revisionPtr revIDLastSave="0" documentId="13_ncr:1_{2F6E3DAB-9123-4AA1-A5E8-CABE8CF9228B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Municipals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826" i="2" l="1"/>
  <c r="S1826" i="2"/>
  <c r="R1826" i="2"/>
  <c r="Q1826" i="2"/>
  <c r="P1826" i="2"/>
  <c r="O1826" i="2"/>
  <c r="N1826" i="2"/>
  <c r="M1826" i="2"/>
  <c r="L1826" i="2"/>
  <c r="K1826" i="2"/>
  <c r="J1826" i="2"/>
  <c r="I1826" i="2"/>
  <c r="H1826" i="2"/>
  <c r="G1826" i="2"/>
  <c r="F1826" i="2"/>
  <c r="D1826" i="2"/>
  <c r="B1826" i="2"/>
  <c r="A1826" i="2"/>
  <c r="T1825" i="2"/>
  <c r="S1825" i="2"/>
  <c r="R1825" i="2"/>
  <c r="Q1825" i="2"/>
  <c r="P1825" i="2"/>
  <c r="O1825" i="2"/>
  <c r="N1825" i="2"/>
  <c r="M1825" i="2"/>
  <c r="L1825" i="2"/>
  <c r="K1825" i="2"/>
  <c r="J1825" i="2"/>
  <c r="I1825" i="2"/>
  <c r="H1825" i="2"/>
  <c r="G1825" i="2"/>
  <c r="F1825" i="2"/>
  <c r="D1825" i="2"/>
  <c r="B1825" i="2"/>
  <c r="A1825" i="2"/>
  <c r="T1824" i="2"/>
  <c r="S1824" i="2"/>
  <c r="R1824" i="2"/>
  <c r="Q1824" i="2"/>
  <c r="P1824" i="2"/>
  <c r="O1824" i="2"/>
  <c r="N1824" i="2"/>
  <c r="M1824" i="2"/>
  <c r="L1824" i="2"/>
  <c r="K1824" i="2"/>
  <c r="J1824" i="2"/>
  <c r="I1824" i="2"/>
  <c r="H1824" i="2"/>
  <c r="G1824" i="2"/>
  <c r="F1824" i="2"/>
  <c r="D1824" i="2"/>
  <c r="B1824" i="2"/>
  <c r="A1824" i="2"/>
  <c r="T1823" i="2"/>
  <c r="S1823" i="2"/>
  <c r="R1823" i="2"/>
  <c r="Q1823" i="2"/>
  <c r="P1823" i="2"/>
  <c r="O1823" i="2"/>
  <c r="N1823" i="2"/>
  <c r="M1823" i="2"/>
  <c r="L1823" i="2"/>
  <c r="K1823" i="2"/>
  <c r="J1823" i="2"/>
  <c r="I1823" i="2"/>
  <c r="H1823" i="2"/>
  <c r="G1823" i="2"/>
  <c r="F1823" i="2"/>
  <c r="D1823" i="2"/>
  <c r="B1823" i="2"/>
  <c r="A1823" i="2"/>
  <c r="T1822" i="2"/>
  <c r="S1822" i="2"/>
  <c r="R1822" i="2"/>
  <c r="Q1822" i="2"/>
  <c r="P1822" i="2"/>
  <c r="O1822" i="2"/>
  <c r="N1822" i="2"/>
  <c r="M1822" i="2"/>
  <c r="L1822" i="2"/>
  <c r="K1822" i="2"/>
  <c r="J1822" i="2"/>
  <c r="I1822" i="2"/>
  <c r="H1822" i="2"/>
  <c r="G1822" i="2"/>
  <c r="F1822" i="2"/>
  <c r="D1822" i="2"/>
  <c r="B1822" i="2"/>
  <c r="A1822" i="2"/>
  <c r="T1821" i="2"/>
  <c r="S1821" i="2"/>
  <c r="R1821" i="2"/>
  <c r="Q1821" i="2"/>
  <c r="P1821" i="2"/>
  <c r="O1821" i="2"/>
  <c r="N1821" i="2"/>
  <c r="M1821" i="2"/>
  <c r="L1821" i="2"/>
  <c r="K1821" i="2"/>
  <c r="J1821" i="2"/>
  <c r="I1821" i="2"/>
  <c r="H1821" i="2"/>
  <c r="G1821" i="2"/>
  <c r="F1821" i="2"/>
  <c r="D1821" i="2"/>
  <c r="B1821" i="2"/>
  <c r="A1821" i="2"/>
  <c r="T1820" i="2"/>
  <c r="S1820" i="2"/>
  <c r="R1820" i="2"/>
  <c r="Q1820" i="2"/>
  <c r="P1820" i="2"/>
  <c r="O1820" i="2"/>
  <c r="N1820" i="2"/>
  <c r="M1820" i="2"/>
  <c r="L1820" i="2"/>
  <c r="K1820" i="2"/>
  <c r="J1820" i="2"/>
  <c r="I1820" i="2"/>
  <c r="H1820" i="2"/>
  <c r="G1820" i="2"/>
  <c r="F1820" i="2"/>
  <c r="D1820" i="2"/>
  <c r="B1820" i="2"/>
  <c r="A1820" i="2"/>
  <c r="T1819" i="2"/>
  <c r="S1819" i="2"/>
  <c r="R1819" i="2"/>
  <c r="Q1819" i="2"/>
  <c r="P1819" i="2"/>
  <c r="O1819" i="2"/>
  <c r="N1819" i="2"/>
  <c r="M1819" i="2"/>
  <c r="L1819" i="2"/>
  <c r="K1819" i="2"/>
  <c r="J1819" i="2"/>
  <c r="I1819" i="2"/>
  <c r="H1819" i="2"/>
  <c r="G1819" i="2"/>
  <c r="F1819" i="2"/>
  <c r="D1819" i="2"/>
  <c r="B1819" i="2"/>
  <c r="A1819" i="2"/>
  <c r="T1818" i="2"/>
  <c r="S1818" i="2"/>
  <c r="R1818" i="2"/>
  <c r="Q1818" i="2"/>
  <c r="P1818" i="2"/>
  <c r="O1818" i="2"/>
  <c r="N1818" i="2"/>
  <c r="M1818" i="2"/>
  <c r="L1818" i="2"/>
  <c r="K1818" i="2"/>
  <c r="J1818" i="2"/>
  <c r="I1818" i="2"/>
  <c r="H1818" i="2"/>
  <c r="G1818" i="2"/>
  <c r="F1818" i="2"/>
  <c r="D1818" i="2"/>
  <c r="B1818" i="2"/>
  <c r="A1818" i="2"/>
  <c r="T1817" i="2"/>
  <c r="S1817" i="2"/>
  <c r="R1817" i="2"/>
  <c r="Q1817" i="2"/>
  <c r="P1817" i="2"/>
  <c r="O1817" i="2"/>
  <c r="N1817" i="2"/>
  <c r="M1817" i="2"/>
  <c r="L1817" i="2"/>
  <c r="K1817" i="2"/>
  <c r="J1817" i="2"/>
  <c r="I1817" i="2"/>
  <c r="H1817" i="2"/>
  <c r="G1817" i="2"/>
  <c r="F1817" i="2"/>
  <c r="D1817" i="2"/>
  <c r="B1817" i="2"/>
  <c r="A1817" i="2"/>
  <c r="T1816" i="2"/>
  <c r="S1816" i="2"/>
  <c r="R1816" i="2"/>
  <c r="Q1816" i="2"/>
  <c r="P1816" i="2"/>
  <c r="O1816" i="2"/>
  <c r="N1816" i="2"/>
  <c r="M1816" i="2"/>
  <c r="L1816" i="2"/>
  <c r="K1816" i="2"/>
  <c r="J1816" i="2"/>
  <c r="I1816" i="2"/>
  <c r="H1816" i="2"/>
  <c r="G1816" i="2"/>
  <c r="F1816" i="2"/>
  <c r="D1816" i="2"/>
  <c r="B1816" i="2"/>
  <c r="A1816" i="2"/>
  <c r="T1815" i="2"/>
  <c r="S1815" i="2"/>
  <c r="R1815" i="2"/>
  <c r="Q1815" i="2"/>
  <c r="P1815" i="2"/>
  <c r="O1815" i="2"/>
  <c r="N1815" i="2"/>
  <c r="M1815" i="2"/>
  <c r="L1815" i="2"/>
  <c r="K1815" i="2"/>
  <c r="J1815" i="2"/>
  <c r="I1815" i="2"/>
  <c r="H1815" i="2"/>
  <c r="G1815" i="2"/>
  <c r="F1815" i="2"/>
  <c r="D1815" i="2"/>
  <c r="B1815" i="2"/>
  <c r="A1815" i="2"/>
  <c r="T1814" i="2"/>
  <c r="S1814" i="2"/>
  <c r="R1814" i="2"/>
  <c r="Q1814" i="2"/>
  <c r="P1814" i="2"/>
  <c r="O1814" i="2"/>
  <c r="N1814" i="2"/>
  <c r="M1814" i="2"/>
  <c r="L1814" i="2"/>
  <c r="K1814" i="2"/>
  <c r="J1814" i="2"/>
  <c r="I1814" i="2"/>
  <c r="H1814" i="2"/>
  <c r="G1814" i="2"/>
  <c r="F1814" i="2"/>
  <c r="D1814" i="2"/>
  <c r="B1814" i="2"/>
  <c r="A1814" i="2"/>
  <c r="T1813" i="2"/>
  <c r="S1813" i="2"/>
  <c r="R1813" i="2"/>
  <c r="Q1813" i="2"/>
  <c r="P1813" i="2"/>
  <c r="O1813" i="2"/>
  <c r="N1813" i="2"/>
  <c r="M1813" i="2"/>
  <c r="L1813" i="2"/>
  <c r="K1813" i="2"/>
  <c r="J1813" i="2"/>
  <c r="I1813" i="2"/>
  <c r="H1813" i="2"/>
  <c r="G1813" i="2"/>
  <c r="F1813" i="2"/>
  <c r="D1813" i="2"/>
  <c r="B1813" i="2"/>
  <c r="A1813" i="2"/>
  <c r="T1812" i="2"/>
  <c r="S1812" i="2"/>
  <c r="R1812" i="2"/>
  <c r="Q1812" i="2"/>
  <c r="P1812" i="2"/>
  <c r="O1812" i="2"/>
  <c r="N1812" i="2"/>
  <c r="M1812" i="2"/>
  <c r="L1812" i="2"/>
  <c r="K1812" i="2"/>
  <c r="J1812" i="2"/>
  <c r="I1812" i="2"/>
  <c r="H1812" i="2"/>
  <c r="G1812" i="2"/>
  <c r="F1812" i="2"/>
  <c r="D1812" i="2"/>
  <c r="B1812" i="2"/>
  <c r="A1812" i="2"/>
  <c r="T1811" i="2"/>
  <c r="S1811" i="2"/>
  <c r="R1811" i="2"/>
  <c r="Q1811" i="2"/>
  <c r="P1811" i="2"/>
  <c r="O1811" i="2"/>
  <c r="N1811" i="2"/>
  <c r="M1811" i="2"/>
  <c r="L1811" i="2"/>
  <c r="K1811" i="2"/>
  <c r="J1811" i="2"/>
  <c r="I1811" i="2"/>
  <c r="H1811" i="2"/>
  <c r="G1811" i="2"/>
  <c r="F1811" i="2"/>
  <c r="D1811" i="2"/>
  <c r="B1811" i="2"/>
  <c r="A1811" i="2"/>
  <c r="T1810" i="2"/>
  <c r="S1810" i="2"/>
  <c r="R1810" i="2"/>
  <c r="Q1810" i="2"/>
  <c r="P1810" i="2"/>
  <c r="O1810" i="2"/>
  <c r="N1810" i="2"/>
  <c r="M1810" i="2"/>
  <c r="L1810" i="2"/>
  <c r="K1810" i="2"/>
  <c r="J1810" i="2"/>
  <c r="I1810" i="2"/>
  <c r="H1810" i="2"/>
  <c r="G1810" i="2"/>
  <c r="F1810" i="2"/>
  <c r="D1810" i="2"/>
  <c r="B1810" i="2"/>
  <c r="A1810" i="2"/>
  <c r="T1809" i="2"/>
  <c r="S1809" i="2"/>
  <c r="R1809" i="2"/>
  <c r="Q1809" i="2"/>
  <c r="P1809" i="2"/>
  <c r="O1809" i="2"/>
  <c r="N1809" i="2"/>
  <c r="M1809" i="2"/>
  <c r="L1809" i="2"/>
  <c r="K1809" i="2"/>
  <c r="J1809" i="2"/>
  <c r="I1809" i="2"/>
  <c r="H1809" i="2"/>
  <c r="G1809" i="2"/>
  <c r="F1809" i="2"/>
  <c r="D1809" i="2"/>
  <c r="B1809" i="2"/>
  <c r="A1809" i="2"/>
  <c r="T1808" i="2"/>
  <c r="S1808" i="2"/>
  <c r="R1808" i="2"/>
  <c r="Q1808" i="2"/>
  <c r="P1808" i="2"/>
  <c r="O1808" i="2"/>
  <c r="N1808" i="2"/>
  <c r="M1808" i="2"/>
  <c r="L1808" i="2"/>
  <c r="K1808" i="2"/>
  <c r="J1808" i="2"/>
  <c r="I1808" i="2"/>
  <c r="H1808" i="2"/>
  <c r="G1808" i="2"/>
  <c r="F1808" i="2"/>
  <c r="D1808" i="2"/>
  <c r="B1808" i="2"/>
  <c r="A1808" i="2"/>
  <c r="T1807" i="2"/>
  <c r="S1807" i="2"/>
  <c r="R1807" i="2"/>
  <c r="Q1807" i="2"/>
  <c r="P1807" i="2"/>
  <c r="O1807" i="2"/>
  <c r="N1807" i="2"/>
  <c r="M1807" i="2"/>
  <c r="L1807" i="2"/>
  <c r="K1807" i="2"/>
  <c r="J1807" i="2"/>
  <c r="I1807" i="2"/>
  <c r="H1807" i="2"/>
  <c r="G1807" i="2"/>
  <c r="F1807" i="2"/>
  <c r="D1807" i="2"/>
  <c r="B1807" i="2"/>
  <c r="A1807" i="2"/>
  <c r="T1806" i="2"/>
  <c r="S1806" i="2"/>
  <c r="R1806" i="2"/>
  <c r="Q1806" i="2"/>
  <c r="P1806" i="2"/>
  <c r="O1806" i="2"/>
  <c r="N1806" i="2"/>
  <c r="M1806" i="2"/>
  <c r="L1806" i="2"/>
  <c r="K1806" i="2"/>
  <c r="J1806" i="2"/>
  <c r="I1806" i="2"/>
  <c r="H1806" i="2"/>
  <c r="G1806" i="2"/>
  <c r="F1806" i="2"/>
  <c r="D1806" i="2"/>
  <c r="B1806" i="2"/>
  <c r="A1806" i="2"/>
  <c r="T1805" i="2"/>
  <c r="S1805" i="2"/>
  <c r="R1805" i="2"/>
  <c r="Q1805" i="2"/>
  <c r="P1805" i="2"/>
  <c r="O1805" i="2"/>
  <c r="N1805" i="2"/>
  <c r="M1805" i="2"/>
  <c r="L1805" i="2"/>
  <c r="K1805" i="2"/>
  <c r="J1805" i="2"/>
  <c r="I1805" i="2"/>
  <c r="H1805" i="2"/>
  <c r="G1805" i="2"/>
  <c r="F1805" i="2"/>
  <c r="D1805" i="2"/>
  <c r="B1805" i="2"/>
  <c r="A1805" i="2"/>
  <c r="T1804" i="2"/>
  <c r="S1804" i="2"/>
  <c r="R1804" i="2"/>
  <c r="Q1804" i="2"/>
  <c r="P1804" i="2"/>
  <c r="O1804" i="2"/>
  <c r="N1804" i="2"/>
  <c r="M1804" i="2"/>
  <c r="L1804" i="2"/>
  <c r="K1804" i="2"/>
  <c r="J1804" i="2"/>
  <c r="I1804" i="2"/>
  <c r="H1804" i="2"/>
  <c r="G1804" i="2"/>
  <c r="F1804" i="2"/>
  <c r="D1804" i="2"/>
  <c r="B1804" i="2"/>
  <c r="A1804" i="2"/>
  <c r="T1803" i="2"/>
  <c r="S1803" i="2"/>
  <c r="R1803" i="2"/>
  <c r="Q1803" i="2"/>
  <c r="P1803" i="2"/>
  <c r="O1803" i="2"/>
  <c r="N1803" i="2"/>
  <c r="M1803" i="2"/>
  <c r="L1803" i="2"/>
  <c r="K1803" i="2"/>
  <c r="J1803" i="2"/>
  <c r="I1803" i="2"/>
  <c r="H1803" i="2"/>
  <c r="G1803" i="2"/>
  <c r="F1803" i="2"/>
  <c r="D1803" i="2"/>
  <c r="B1803" i="2"/>
  <c r="A1803" i="2"/>
  <c r="T1802" i="2"/>
  <c r="S1802" i="2"/>
  <c r="R1802" i="2"/>
  <c r="Q1802" i="2"/>
  <c r="P1802" i="2"/>
  <c r="O1802" i="2"/>
  <c r="N1802" i="2"/>
  <c r="M1802" i="2"/>
  <c r="L1802" i="2"/>
  <c r="K1802" i="2"/>
  <c r="J1802" i="2"/>
  <c r="I1802" i="2"/>
  <c r="H1802" i="2"/>
  <c r="G1802" i="2"/>
  <c r="F1802" i="2"/>
  <c r="D1802" i="2"/>
  <c r="B1802" i="2"/>
  <c r="A1802" i="2"/>
  <c r="T1801" i="2"/>
  <c r="S1801" i="2"/>
  <c r="R1801" i="2"/>
  <c r="Q1801" i="2"/>
  <c r="P1801" i="2"/>
  <c r="O1801" i="2"/>
  <c r="N1801" i="2"/>
  <c r="M1801" i="2"/>
  <c r="L1801" i="2"/>
  <c r="K1801" i="2"/>
  <c r="J1801" i="2"/>
  <c r="I1801" i="2"/>
  <c r="H1801" i="2"/>
  <c r="G1801" i="2"/>
  <c r="F1801" i="2"/>
  <c r="D1801" i="2"/>
  <c r="B1801" i="2"/>
  <c r="A1801" i="2"/>
  <c r="T1800" i="2"/>
  <c r="S1800" i="2"/>
  <c r="R1800" i="2"/>
  <c r="Q1800" i="2"/>
  <c r="P1800" i="2"/>
  <c r="O1800" i="2"/>
  <c r="N1800" i="2"/>
  <c r="M1800" i="2"/>
  <c r="L1800" i="2"/>
  <c r="K1800" i="2"/>
  <c r="J1800" i="2"/>
  <c r="I1800" i="2"/>
  <c r="H1800" i="2"/>
  <c r="G1800" i="2"/>
  <c r="F1800" i="2"/>
  <c r="D1800" i="2"/>
  <c r="B1800" i="2"/>
  <c r="A1800" i="2"/>
  <c r="T1799" i="2"/>
  <c r="S1799" i="2"/>
  <c r="R1799" i="2"/>
  <c r="Q1799" i="2"/>
  <c r="P1799" i="2"/>
  <c r="O1799" i="2"/>
  <c r="N1799" i="2"/>
  <c r="M1799" i="2"/>
  <c r="L1799" i="2"/>
  <c r="K1799" i="2"/>
  <c r="J1799" i="2"/>
  <c r="I1799" i="2"/>
  <c r="H1799" i="2"/>
  <c r="G1799" i="2"/>
  <c r="F1799" i="2"/>
  <c r="D1799" i="2"/>
  <c r="B1799" i="2"/>
  <c r="A1799" i="2"/>
  <c r="T1798" i="2"/>
  <c r="S1798" i="2"/>
  <c r="R1798" i="2"/>
  <c r="Q1798" i="2"/>
  <c r="P1798" i="2"/>
  <c r="O1798" i="2"/>
  <c r="N1798" i="2"/>
  <c r="M1798" i="2"/>
  <c r="L1798" i="2"/>
  <c r="K1798" i="2"/>
  <c r="J1798" i="2"/>
  <c r="I1798" i="2"/>
  <c r="H1798" i="2"/>
  <c r="G1798" i="2"/>
  <c r="F1798" i="2"/>
  <c r="D1798" i="2"/>
  <c r="B1798" i="2"/>
  <c r="A1798" i="2"/>
  <c r="T1797" i="2"/>
  <c r="S1797" i="2"/>
  <c r="R1797" i="2"/>
  <c r="Q1797" i="2"/>
  <c r="P1797" i="2"/>
  <c r="O1797" i="2"/>
  <c r="N1797" i="2"/>
  <c r="M1797" i="2"/>
  <c r="L1797" i="2"/>
  <c r="K1797" i="2"/>
  <c r="J1797" i="2"/>
  <c r="I1797" i="2"/>
  <c r="H1797" i="2"/>
  <c r="G1797" i="2"/>
  <c r="F1797" i="2"/>
  <c r="D1797" i="2"/>
  <c r="B1797" i="2"/>
  <c r="A1797" i="2"/>
  <c r="T1796" i="2"/>
  <c r="S1796" i="2"/>
  <c r="R1796" i="2"/>
  <c r="Q1796" i="2"/>
  <c r="P1796" i="2"/>
  <c r="O1796" i="2"/>
  <c r="N1796" i="2"/>
  <c r="M1796" i="2"/>
  <c r="L1796" i="2"/>
  <c r="K1796" i="2"/>
  <c r="J1796" i="2"/>
  <c r="I1796" i="2"/>
  <c r="H1796" i="2"/>
  <c r="G1796" i="2"/>
  <c r="F1796" i="2"/>
  <c r="D1796" i="2"/>
  <c r="B1796" i="2"/>
  <c r="A1796" i="2"/>
  <c r="T1795" i="2"/>
  <c r="S1795" i="2"/>
  <c r="R1795" i="2"/>
  <c r="Q1795" i="2"/>
  <c r="P1795" i="2"/>
  <c r="O1795" i="2"/>
  <c r="N1795" i="2"/>
  <c r="M1795" i="2"/>
  <c r="L1795" i="2"/>
  <c r="K1795" i="2"/>
  <c r="J1795" i="2"/>
  <c r="I1795" i="2"/>
  <c r="H1795" i="2"/>
  <c r="G1795" i="2"/>
  <c r="F1795" i="2"/>
  <c r="D1795" i="2"/>
  <c r="B1795" i="2"/>
  <c r="A1795" i="2"/>
  <c r="T1794" i="2"/>
  <c r="S1794" i="2"/>
  <c r="R1794" i="2"/>
  <c r="Q1794" i="2"/>
  <c r="P1794" i="2"/>
  <c r="O1794" i="2"/>
  <c r="N1794" i="2"/>
  <c r="M1794" i="2"/>
  <c r="L1794" i="2"/>
  <c r="K1794" i="2"/>
  <c r="J1794" i="2"/>
  <c r="I1794" i="2"/>
  <c r="H1794" i="2"/>
  <c r="G1794" i="2"/>
  <c r="F1794" i="2"/>
  <c r="D1794" i="2"/>
  <c r="B1794" i="2"/>
  <c r="A1794" i="2"/>
  <c r="T1793" i="2"/>
  <c r="S1793" i="2"/>
  <c r="R1793" i="2"/>
  <c r="Q1793" i="2"/>
  <c r="P1793" i="2"/>
  <c r="O1793" i="2"/>
  <c r="N1793" i="2"/>
  <c r="M1793" i="2"/>
  <c r="L1793" i="2"/>
  <c r="K1793" i="2"/>
  <c r="J1793" i="2"/>
  <c r="I1793" i="2"/>
  <c r="H1793" i="2"/>
  <c r="G1793" i="2"/>
  <c r="F1793" i="2"/>
  <c r="D1793" i="2"/>
  <c r="B1793" i="2"/>
  <c r="A1793" i="2"/>
  <c r="T1792" i="2"/>
  <c r="S1792" i="2"/>
  <c r="R1792" i="2"/>
  <c r="Q1792" i="2"/>
  <c r="P1792" i="2"/>
  <c r="O1792" i="2"/>
  <c r="N1792" i="2"/>
  <c r="M1792" i="2"/>
  <c r="L1792" i="2"/>
  <c r="K1792" i="2"/>
  <c r="J1792" i="2"/>
  <c r="I1792" i="2"/>
  <c r="H1792" i="2"/>
  <c r="G1792" i="2"/>
  <c r="F1792" i="2"/>
  <c r="D1792" i="2"/>
  <c r="B1792" i="2"/>
  <c r="A1792" i="2"/>
  <c r="T1791" i="2"/>
  <c r="S1791" i="2"/>
  <c r="R1791" i="2"/>
  <c r="Q1791" i="2"/>
  <c r="P1791" i="2"/>
  <c r="O1791" i="2"/>
  <c r="N1791" i="2"/>
  <c r="M1791" i="2"/>
  <c r="L1791" i="2"/>
  <c r="K1791" i="2"/>
  <c r="J1791" i="2"/>
  <c r="I1791" i="2"/>
  <c r="H1791" i="2"/>
  <c r="G1791" i="2"/>
  <c r="F1791" i="2"/>
  <c r="D1791" i="2"/>
  <c r="B1791" i="2"/>
  <c r="A1791" i="2"/>
  <c r="T1790" i="2"/>
  <c r="S1790" i="2"/>
  <c r="R1790" i="2"/>
  <c r="Q1790" i="2"/>
  <c r="P1790" i="2"/>
  <c r="O1790" i="2"/>
  <c r="N1790" i="2"/>
  <c r="M1790" i="2"/>
  <c r="L1790" i="2"/>
  <c r="K1790" i="2"/>
  <c r="J1790" i="2"/>
  <c r="I1790" i="2"/>
  <c r="H1790" i="2"/>
  <c r="G1790" i="2"/>
  <c r="F1790" i="2"/>
  <c r="D1790" i="2"/>
  <c r="B1790" i="2"/>
  <c r="A1790" i="2"/>
  <c r="T1789" i="2"/>
  <c r="S1789" i="2"/>
  <c r="R1789" i="2"/>
  <c r="Q1789" i="2"/>
  <c r="P1789" i="2"/>
  <c r="O1789" i="2"/>
  <c r="N1789" i="2"/>
  <c r="M1789" i="2"/>
  <c r="L1789" i="2"/>
  <c r="K1789" i="2"/>
  <c r="J1789" i="2"/>
  <c r="I1789" i="2"/>
  <c r="H1789" i="2"/>
  <c r="G1789" i="2"/>
  <c r="F1789" i="2"/>
  <c r="D1789" i="2"/>
  <c r="B1789" i="2"/>
  <c r="A1789" i="2"/>
  <c r="T1788" i="2"/>
  <c r="S1788" i="2"/>
  <c r="R1788" i="2"/>
  <c r="Q1788" i="2"/>
  <c r="P1788" i="2"/>
  <c r="O1788" i="2"/>
  <c r="N1788" i="2"/>
  <c r="M1788" i="2"/>
  <c r="L1788" i="2"/>
  <c r="K1788" i="2"/>
  <c r="J1788" i="2"/>
  <c r="I1788" i="2"/>
  <c r="H1788" i="2"/>
  <c r="G1788" i="2"/>
  <c r="F1788" i="2"/>
  <c r="D1788" i="2"/>
  <c r="B1788" i="2"/>
  <c r="A1788" i="2"/>
  <c r="T1787" i="2"/>
  <c r="S1787" i="2"/>
  <c r="R1787" i="2"/>
  <c r="Q1787" i="2"/>
  <c r="P1787" i="2"/>
  <c r="O1787" i="2"/>
  <c r="N1787" i="2"/>
  <c r="M1787" i="2"/>
  <c r="L1787" i="2"/>
  <c r="K1787" i="2"/>
  <c r="J1787" i="2"/>
  <c r="I1787" i="2"/>
  <c r="H1787" i="2"/>
  <c r="G1787" i="2"/>
  <c r="F1787" i="2"/>
  <c r="D1787" i="2"/>
  <c r="B1787" i="2"/>
  <c r="A1787" i="2"/>
  <c r="T1786" i="2"/>
  <c r="S1786" i="2"/>
  <c r="R1786" i="2"/>
  <c r="Q1786" i="2"/>
  <c r="P1786" i="2"/>
  <c r="O1786" i="2"/>
  <c r="N1786" i="2"/>
  <c r="M1786" i="2"/>
  <c r="L1786" i="2"/>
  <c r="K1786" i="2"/>
  <c r="J1786" i="2"/>
  <c r="I1786" i="2"/>
  <c r="H1786" i="2"/>
  <c r="G1786" i="2"/>
  <c r="F1786" i="2"/>
  <c r="D1786" i="2"/>
  <c r="B1786" i="2"/>
  <c r="A1786" i="2"/>
  <c r="T1785" i="2"/>
  <c r="S1785" i="2"/>
  <c r="R1785" i="2"/>
  <c r="Q1785" i="2"/>
  <c r="P1785" i="2"/>
  <c r="O1785" i="2"/>
  <c r="N1785" i="2"/>
  <c r="M1785" i="2"/>
  <c r="L1785" i="2"/>
  <c r="K1785" i="2"/>
  <c r="J1785" i="2"/>
  <c r="I1785" i="2"/>
  <c r="H1785" i="2"/>
  <c r="G1785" i="2"/>
  <c r="F1785" i="2"/>
  <c r="D1785" i="2"/>
  <c r="B1785" i="2"/>
  <c r="A1785" i="2"/>
  <c r="T1784" i="2"/>
  <c r="S1784" i="2"/>
  <c r="R1784" i="2"/>
  <c r="Q1784" i="2"/>
  <c r="P1784" i="2"/>
  <c r="O1784" i="2"/>
  <c r="N1784" i="2"/>
  <c r="M1784" i="2"/>
  <c r="L1784" i="2"/>
  <c r="K1784" i="2"/>
  <c r="J1784" i="2"/>
  <c r="I1784" i="2"/>
  <c r="H1784" i="2"/>
  <c r="G1784" i="2"/>
  <c r="F1784" i="2"/>
  <c r="D1784" i="2"/>
  <c r="B1784" i="2"/>
  <c r="A1784" i="2"/>
  <c r="T1783" i="2"/>
  <c r="S1783" i="2"/>
  <c r="R1783" i="2"/>
  <c r="Q1783" i="2"/>
  <c r="P1783" i="2"/>
  <c r="O1783" i="2"/>
  <c r="N1783" i="2"/>
  <c r="M1783" i="2"/>
  <c r="L1783" i="2"/>
  <c r="K1783" i="2"/>
  <c r="J1783" i="2"/>
  <c r="I1783" i="2"/>
  <c r="H1783" i="2"/>
  <c r="G1783" i="2"/>
  <c r="F1783" i="2"/>
  <c r="D1783" i="2"/>
  <c r="B1783" i="2"/>
  <c r="A1783" i="2"/>
  <c r="T1782" i="2"/>
  <c r="S1782" i="2"/>
  <c r="R1782" i="2"/>
  <c r="Q1782" i="2"/>
  <c r="P1782" i="2"/>
  <c r="O1782" i="2"/>
  <c r="N1782" i="2"/>
  <c r="M1782" i="2"/>
  <c r="L1782" i="2"/>
  <c r="K1782" i="2"/>
  <c r="J1782" i="2"/>
  <c r="I1782" i="2"/>
  <c r="H1782" i="2"/>
  <c r="G1782" i="2"/>
  <c r="F1782" i="2"/>
  <c r="D1782" i="2"/>
  <c r="B1782" i="2"/>
  <c r="A1782" i="2"/>
  <c r="T1781" i="2"/>
  <c r="S1781" i="2"/>
  <c r="R1781" i="2"/>
  <c r="Q1781" i="2"/>
  <c r="P1781" i="2"/>
  <c r="O1781" i="2"/>
  <c r="N1781" i="2"/>
  <c r="M1781" i="2"/>
  <c r="L1781" i="2"/>
  <c r="K1781" i="2"/>
  <c r="J1781" i="2"/>
  <c r="I1781" i="2"/>
  <c r="H1781" i="2"/>
  <c r="G1781" i="2"/>
  <c r="F1781" i="2"/>
  <c r="D1781" i="2"/>
  <c r="B1781" i="2"/>
  <c r="A1781" i="2"/>
  <c r="T1780" i="2"/>
  <c r="S1780" i="2"/>
  <c r="R1780" i="2"/>
  <c r="Q1780" i="2"/>
  <c r="P1780" i="2"/>
  <c r="O1780" i="2"/>
  <c r="N1780" i="2"/>
  <c r="M1780" i="2"/>
  <c r="L1780" i="2"/>
  <c r="K1780" i="2"/>
  <c r="J1780" i="2"/>
  <c r="I1780" i="2"/>
  <c r="H1780" i="2"/>
  <c r="G1780" i="2"/>
  <c r="F1780" i="2"/>
  <c r="D1780" i="2"/>
  <c r="B1780" i="2"/>
  <c r="A1780" i="2"/>
  <c r="T1779" i="2"/>
  <c r="S1779" i="2"/>
  <c r="R1779" i="2"/>
  <c r="Q1779" i="2"/>
  <c r="P1779" i="2"/>
  <c r="O1779" i="2"/>
  <c r="N1779" i="2"/>
  <c r="M1779" i="2"/>
  <c r="L1779" i="2"/>
  <c r="K1779" i="2"/>
  <c r="J1779" i="2"/>
  <c r="I1779" i="2"/>
  <c r="H1779" i="2"/>
  <c r="G1779" i="2"/>
  <c r="F1779" i="2"/>
  <c r="D1779" i="2"/>
  <c r="B1779" i="2"/>
  <c r="A1779" i="2"/>
  <c r="T1778" i="2"/>
  <c r="S1778" i="2"/>
  <c r="R1778" i="2"/>
  <c r="Q1778" i="2"/>
  <c r="P1778" i="2"/>
  <c r="O1778" i="2"/>
  <c r="N1778" i="2"/>
  <c r="M1778" i="2"/>
  <c r="L1778" i="2"/>
  <c r="K1778" i="2"/>
  <c r="J1778" i="2"/>
  <c r="I1778" i="2"/>
  <c r="H1778" i="2"/>
  <c r="G1778" i="2"/>
  <c r="F1778" i="2"/>
  <c r="D1778" i="2"/>
  <c r="B1778" i="2"/>
  <c r="A1778" i="2"/>
  <c r="T1777" i="2"/>
  <c r="S1777" i="2"/>
  <c r="R1777" i="2"/>
  <c r="Q1777" i="2"/>
  <c r="P1777" i="2"/>
  <c r="O1777" i="2"/>
  <c r="N1777" i="2"/>
  <c r="M1777" i="2"/>
  <c r="L1777" i="2"/>
  <c r="K1777" i="2"/>
  <c r="J1777" i="2"/>
  <c r="I1777" i="2"/>
  <c r="H1777" i="2"/>
  <c r="G1777" i="2"/>
  <c r="F1777" i="2"/>
  <c r="D1777" i="2"/>
  <c r="B1777" i="2"/>
  <c r="A1777" i="2"/>
  <c r="T1776" i="2"/>
  <c r="S1776" i="2"/>
  <c r="R1776" i="2"/>
  <c r="Q1776" i="2"/>
  <c r="P1776" i="2"/>
  <c r="O1776" i="2"/>
  <c r="N1776" i="2"/>
  <c r="M1776" i="2"/>
  <c r="L1776" i="2"/>
  <c r="K1776" i="2"/>
  <c r="J1776" i="2"/>
  <c r="I1776" i="2"/>
  <c r="H1776" i="2"/>
  <c r="G1776" i="2"/>
  <c r="F1776" i="2"/>
  <c r="D1776" i="2"/>
  <c r="B1776" i="2"/>
  <c r="A1776" i="2"/>
  <c r="T1775" i="2"/>
  <c r="S1775" i="2"/>
  <c r="R1775" i="2"/>
  <c r="Q1775" i="2"/>
  <c r="P1775" i="2"/>
  <c r="O1775" i="2"/>
  <c r="N1775" i="2"/>
  <c r="M1775" i="2"/>
  <c r="L1775" i="2"/>
  <c r="K1775" i="2"/>
  <c r="J1775" i="2"/>
  <c r="I1775" i="2"/>
  <c r="H1775" i="2"/>
  <c r="G1775" i="2"/>
  <c r="F1775" i="2"/>
  <c r="D1775" i="2"/>
  <c r="B1775" i="2"/>
  <c r="A1775" i="2"/>
  <c r="T1774" i="2"/>
  <c r="S1774" i="2"/>
  <c r="R1774" i="2"/>
  <c r="Q1774" i="2"/>
  <c r="P1774" i="2"/>
  <c r="O1774" i="2"/>
  <c r="N1774" i="2"/>
  <c r="M1774" i="2"/>
  <c r="L1774" i="2"/>
  <c r="K1774" i="2"/>
  <c r="J1774" i="2"/>
  <c r="I1774" i="2"/>
  <c r="H1774" i="2"/>
  <c r="G1774" i="2"/>
  <c r="F1774" i="2"/>
  <c r="D1774" i="2"/>
  <c r="B1774" i="2"/>
  <c r="A1774" i="2"/>
  <c r="T1773" i="2"/>
  <c r="S1773" i="2"/>
  <c r="R1773" i="2"/>
  <c r="Q1773" i="2"/>
  <c r="P1773" i="2"/>
  <c r="O1773" i="2"/>
  <c r="N1773" i="2"/>
  <c r="M1773" i="2"/>
  <c r="L1773" i="2"/>
  <c r="K1773" i="2"/>
  <c r="J1773" i="2"/>
  <c r="I1773" i="2"/>
  <c r="H1773" i="2"/>
  <c r="G1773" i="2"/>
  <c r="F1773" i="2"/>
  <c r="D1773" i="2"/>
  <c r="B1773" i="2"/>
  <c r="A1773" i="2"/>
  <c r="T1772" i="2"/>
  <c r="S1772" i="2"/>
  <c r="R1772" i="2"/>
  <c r="Q1772" i="2"/>
  <c r="P1772" i="2"/>
  <c r="O1772" i="2"/>
  <c r="N1772" i="2"/>
  <c r="M1772" i="2"/>
  <c r="L1772" i="2"/>
  <c r="K1772" i="2"/>
  <c r="J1772" i="2"/>
  <c r="I1772" i="2"/>
  <c r="H1772" i="2"/>
  <c r="G1772" i="2"/>
  <c r="F1772" i="2"/>
  <c r="D1772" i="2"/>
  <c r="B1772" i="2"/>
  <c r="A1772" i="2"/>
  <c r="T1771" i="2"/>
  <c r="S1771" i="2"/>
  <c r="R1771" i="2"/>
  <c r="Q1771" i="2"/>
  <c r="P1771" i="2"/>
  <c r="O1771" i="2"/>
  <c r="N1771" i="2"/>
  <c r="M1771" i="2"/>
  <c r="L1771" i="2"/>
  <c r="K1771" i="2"/>
  <c r="J1771" i="2"/>
  <c r="I1771" i="2"/>
  <c r="H1771" i="2"/>
  <c r="G1771" i="2"/>
  <c r="F1771" i="2"/>
  <c r="D1771" i="2"/>
  <c r="B1771" i="2"/>
  <c r="A1771" i="2"/>
  <c r="T1770" i="2"/>
  <c r="S1770" i="2"/>
  <c r="R1770" i="2"/>
  <c r="Q1770" i="2"/>
  <c r="P1770" i="2"/>
  <c r="O1770" i="2"/>
  <c r="N1770" i="2"/>
  <c r="M1770" i="2"/>
  <c r="L1770" i="2"/>
  <c r="K1770" i="2"/>
  <c r="J1770" i="2"/>
  <c r="I1770" i="2"/>
  <c r="H1770" i="2"/>
  <c r="G1770" i="2"/>
  <c r="F1770" i="2"/>
  <c r="D1770" i="2"/>
  <c r="B1770" i="2"/>
  <c r="A1770" i="2"/>
  <c r="T1769" i="2"/>
  <c r="S1769" i="2"/>
  <c r="R1769" i="2"/>
  <c r="Q1769" i="2"/>
  <c r="P1769" i="2"/>
  <c r="O1769" i="2"/>
  <c r="N1769" i="2"/>
  <c r="M1769" i="2"/>
  <c r="L1769" i="2"/>
  <c r="K1769" i="2"/>
  <c r="J1769" i="2"/>
  <c r="I1769" i="2"/>
  <c r="H1769" i="2"/>
  <c r="G1769" i="2"/>
  <c r="F1769" i="2"/>
  <c r="D1769" i="2"/>
  <c r="B1769" i="2"/>
  <c r="A1769" i="2"/>
  <c r="T1768" i="2"/>
  <c r="S1768" i="2"/>
  <c r="R1768" i="2"/>
  <c r="Q1768" i="2"/>
  <c r="P1768" i="2"/>
  <c r="O1768" i="2"/>
  <c r="N1768" i="2"/>
  <c r="M1768" i="2"/>
  <c r="L1768" i="2"/>
  <c r="K1768" i="2"/>
  <c r="J1768" i="2"/>
  <c r="I1768" i="2"/>
  <c r="H1768" i="2"/>
  <c r="G1768" i="2"/>
  <c r="F1768" i="2"/>
  <c r="D1768" i="2"/>
  <c r="B1768" i="2"/>
  <c r="A1768" i="2"/>
  <c r="T1767" i="2"/>
  <c r="S1767" i="2"/>
  <c r="R1767" i="2"/>
  <c r="Q1767" i="2"/>
  <c r="P1767" i="2"/>
  <c r="O1767" i="2"/>
  <c r="N1767" i="2"/>
  <c r="M1767" i="2"/>
  <c r="L1767" i="2"/>
  <c r="K1767" i="2"/>
  <c r="J1767" i="2"/>
  <c r="I1767" i="2"/>
  <c r="H1767" i="2"/>
  <c r="G1767" i="2"/>
  <c r="F1767" i="2"/>
  <c r="D1767" i="2"/>
  <c r="B1767" i="2"/>
  <c r="A1767" i="2"/>
  <c r="T1766" i="2"/>
  <c r="S1766" i="2"/>
  <c r="R1766" i="2"/>
  <c r="Q1766" i="2"/>
  <c r="P1766" i="2"/>
  <c r="O1766" i="2"/>
  <c r="N1766" i="2"/>
  <c r="M1766" i="2"/>
  <c r="L1766" i="2"/>
  <c r="K1766" i="2"/>
  <c r="J1766" i="2"/>
  <c r="I1766" i="2"/>
  <c r="H1766" i="2"/>
  <c r="G1766" i="2"/>
  <c r="F1766" i="2"/>
  <c r="D1766" i="2"/>
  <c r="B1766" i="2"/>
  <c r="A1766" i="2"/>
  <c r="T1765" i="2"/>
  <c r="S1765" i="2"/>
  <c r="R1765" i="2"/>
  <c r="Q1765" i="2"/>
  <c r="P1765" i="2"/>
  <c r="O1765" i="2"/>
  <c r="N1765" i="2"/>
  <c r="M1765" i="2"/>
  <c r="L1765" i="2"/>
  <c r="K1765" i="2"/>
  <c r="J1765" i="2"/>
  <c r="I1765" i="2"/>
  <c r="H1765" i="2"/>
  <c r="G1765" i="2"/>
  <c r="F1765" i="2"/>
  <c r="D1765" i="2"/>
  <c r="B1765" i="2"/>
  <c r="A1765" i="2"/>
  <c r="T1764" i="2"/>
  <c r="S1764" i="2"/>
  <c r="R1764" i="2"/>
  <c r="Q1764" i="2"/>
  <c r="P1764" i="2"/>
  <c r="O1764" i="2"/>
  <c r="N1764" i="2"/>
  <c r="M1764" i="2"/>
  <c r="L1764" i="2"/>
  <c r="K1764" i="2"/>
  <c r="J1764" i="2"/>
  <c r="I1764" i="2"/>
  <c r="H1764" i="2"/>
  <c r="G1764" i="2"/>
  <c r="F1764" i="2"/>
  <c r="D1764" i="2"/>
  <c r="B1764" i="2"/>
  <c r="A1764" i="2"/>
  <c r="T1763" i="2"/>
  <c r="S1763" i="2"/>
  <c r="R1763" i="2"/>
  <c r="Q1763" i="2"/>
  <c r="P1763" i="2"/>
  <c r="O1763" i="2"/>
  <c r="N1763" i="2"/>
  <c r="M1763" i="2"/>
  <c r="L1763" i="2"/>
  <c r="K1763" i="2"/>
  <c r="J1763" i="2"/>
  <c r="I1763" i="2"/>
  <c r="H1763" i="2"/>
  <c r="G1763" i="2"/>
  <c r="F1763" i="2"/>
  <c r="D1763" i="2"/>
  <c r="B1763" i="2"/>
  <c r="A1763" i="2"/>
  <c r="T1762" i="2"/>
  <c r="S1762" i="2"/>
  <c r="R1762" i="2"/>
  <c r="Q1762" i="2"/>
  <c r="P1762" i="2"/>
  <c r="O1762" i="2"/>
  <c r="N1762" i="2"/>
  <c r="M1762" i="2"/>
  <c r="L1762" i="2"/>
  <c r="K1762" i="2"/>
  <c r="J1762" i="2"/>
  <c r="I1762" i="2"/>
  <c r="H1762" i="2"/>
  <c r="G1762" i="2"/>
  <c r="F1762" i="2"/>
  <c r="D1762" i="2"/>
  <c r="B1762" i="2"/>
  <c r="A1762" i="2"/>
  <c r="T1761" i="2"/>
  <c r="S1761" i="2"/>
  <c r="R1761" i="2"/>
  <c r="Q1761" i="2"/>
  <c r="P1761" i="2"/>
  <c r="O1761" i="2"/>
  <c r="N1761" i="2"/>
  <c r="M1761" i="2"/>
  <c r="L1761" i="2"/>
  <c r="K1761" i="2"/>
  <c r="J1761" i="2"/>
  <c r="I1761" i="2"/>
  <c r="H1761" i="2"/>
  <c r="G1761" i="2"/>
  <c r="F1761" i="2"/>
  <c r="D1761" i="2"/>
  <c r="B1761" i="2"/>
  <c r="A1761" i="2"/>
  <c r="T1760" i="2"/>
  <c r="S1760" i="2"/>
  <c r="R1760" i="2"/>
  <c r="Q1760" i="2"/>
  <c r="P1760" i="2"/>
  <c r="O1760" i="2"/>
  <c r="N1760" i="2"/>
  <c r="M1760" i="2"/>
  <c r="L1760" i="2"/>
  <c r="K1760" i="2"/>
  <c r="J1760" i="2"/>
  <c r="I1760" i="2"/>
  <c r="H1760" i="2"/>
  <c r="G1760" i="2"/>
  <c r="F1760" i="2"/>
  <c r="D1760" i="2"/>
  <c r="B1760" i="2"/>
  <c r="A1760" i="2"/>
  <c r="T1759" i="2"/>
  <c r="S1759" i="2"/>
  <c r="R1759" i="2"/>
  <c r="Q1759" i="2"/>
  <c r="P1759" i="2"/>
  <c r="O1759" i="2"/>
  <c r="N1759" i="2"/>
  <c r="M1759" i="2"/>
  <c r="L1759" i="2"/>
  <c r="K1759" i="2"/>
  <c r="J1759" i="2"/>
  <c r="I1759" i="2"/>
  <c r="H1759" i="2"/>
  <c r="G1759" i="2"/>
  <c r="F1759" i="2"/>
  <c r="D1759" i="2"/>
  <c r="B1759" i="2"/>
  <c r="A1759" i="2"/>
  <c r="T1758" i="2"/>
  <c r="S1758" i="2"/>
  <c r="R1758" i="2"/>
  <c r="Q1758" i="2"/>
  <c r="P1758" i="2"/>
  <c r="O1758" i="2"/>
  <c r="N1758" i="2"/>
  <c r="M1758" i="2"/>
  <c r="L1758" i="2"/>
  <c r="K1758" i="2"/>
  <c r="J1758" i="2"/>
  <c r="I1758" i="2"/>
  <c r="H1758" i="2"/>
  <c r="G1758" i="2"/>
  <c r="F1758" i="2"/>
  <c r="D1758" i="2"/>
  <c r="B1758" i="2"/>
  <c r="A1758" i="2"/>
  <c r="T1757" i="2"/>
  <c r="S1757" i="2"/>
  <c r="R1757" i="2"/>
  <c r="Q1757" i="2"/>
  <c r="P1757" i="2"/>
  <c r="O1757" i="2"/>
  <c r="N1757" i="2"/>
  <c r="M1757" i="2"/>
  <c r="L1757" i="2"/>
  <c r="K1757" i="2"/>
  <c r="J1757" i="2"/>
  <c r="I1757" i="2"/>
  <c r="H1757" i="2"/>
  <c r="G1757" i="2"/>
  <c r="F1757" i="2"/>
  <c r="D1757" i="2"/>
  <c r="B1757" i="2"/>
  <c r="A1757" i="2"/>
  <c r="T1756" i="2"/>
  <c r="S1756" i="2"/>
  <c r="R1756" i="2"/>
  <c r="Q1756" i="2"/>
  <c r="P1756" i="2"/>
  <c r="O1756" i="2"/>
  <c r="N1756" i="2"/>
  <c r="M1756" i="2"/>
  <c r="L1756" i="2"/>
  <c r="K1756" i="2"/>
  <c r="J1756" i="2"/>
  <c r="I1756" i="2"/>
  <c r="H1756" i="2"/>
  <c r="G1756" i="2"/>
  <c r="F1756" i="2"/>
  <c r="D1756" i="2"/>
  <c r="B1756" i="2"/>
  <c r="A1756" i="2"/>
  <c r="T1755" i="2"/>
  <c r="S1755" i="2"/>
  <c r="R1755" i="2"/>
  <c r="Q1755" i="2"/>
  <c r="P1755" i="2"/>
  <c r="O1755" i="2"/>
  <c r="N1755" i="2"/>
  <c r="M1755" i="2"/>
  <c r="L1755" i="2"/>
  <c r="K1755" i="2"/>
  <c r="J1755" i="2"/>
  <c r="I1755" i="2"/>
  <c r="H1755" i="2"/>
  <c r="G1755" i="2"/>
  <c r="F1755" i="2"/>
  <c r="D1755" i="2"/>
  <c r="B1755" i="2"/>
  <c r="A1755" i="2"/>
  <c r="T1754" i="2"/>
  <c r="S1754" i="2"/>
  <c r="R1754" i="2"/>
  <c r="Q1754" i="2"/>
  <c r="P1754" i="2"/>
  <c r="O1754" i="2"/>
  <c r="N1754" i="2"/>
  <c r="M1754" i="2"/>
  <c r="L1754" i="2"/>
  <c r="K1754" i="2"/>
  <c r="J1754" i="2"/>
  <c r="I1754" i="2"/>
  <c r="H1754" i="2"/>
  <c r="G1754" i="2"/>
  <c r="F1754" i="2"/>
  <c r="D1754" i="2"/>
  <c r="B1754" i="2"/>
  <c r="A1754" i="2"/>
  <c r="T1753" i="2"/>
  <c r="S1753" i="2"/>
  <c r="R1753" i="2"/>
  <c r="Q1753" i="2"/>
  <c r="P1753" i="2"/>
  <c r="O1753" i="2"/>
  <c r="N1753" i="2"/>
  <c r="M1753" i="2"/>
  <c r="L1753" i="2"/>
  <c r="K1753" i="2"/>
  <c r="J1753" i="2"/>
  <c r="I1753" i="2"/>
  <c r="H1753" i="2"/>
  <c r="G1753" i="2"/>
  <c r="F1753" i="2"/>
  <c r="D1753" i="2"/>
  <c r="B1753" i="2"/>
  <c r="A1753" i="2"/>
  <c r="T1752" i="2"/>
  <c r="S1752" i="2"/>
  <c r="R1752" i="2"/>
  <c r="Q1752" i="2"/>
  <c r="P1752" i="2"/>
  <c r="O1752" i="2"/>
  <c r="N1752" i="2"/>
  <c r="M1752" i="2"/>
  <c r="L1752" i="2"/>
  <c r="K1752" i="2"/>
  <c r="J1752" i="2"/>
  <c r="I1752" i="2"/>
  <c r="H1752" i="2"/>
  <c r="G1752" i="2"/>
  <c r="F1752" i="2"/>
  <c r="D1752" i="2"/>
  <c r="B1752" i="2"/>
  <c r="A1752" i="2"/>
  <c r="T1751" i="2"/>
  <c r="S1751" i="2"/>
  <c r="R1751" i="2"/>
  <c r="Q1751" i="2"/>
  <c r="P1751" i="2"/>
  <c r="O1751" i="2"/>
  <c r="N1751" i="2"/>
  <c r="M1751" i="2"/>
  <c r="L1751" i="2"/>
  <c r="K1751" i="2"/>
  <c r="J1751" i="2"/>
  <c r="I1751" i="2"/>
  <c r="H1751" i="2"/>
  <c r="G1751" i="2"/>
  <c r="F1751" i="2"/>
  <c r="D1751" i="2"/>
  <c r="B1751" i="2"/>
  <c r="A1751" i="2"/>
  <c r="T1750" i="2"/>
  <c r="S1750" i="2"/>
  <c r="R1750" i="2"/>
  <c r="Q1750" i="2"/>
  <c r="P1750" i="2"/>
  <c r="O1750" i="2"/>
  <c r="N1750" i="2"/>
  <c r="M1750" i="2"/>
  <c r="L1750" i="2"/>
  <c r="K1750" i="2"/>
  <c r="J1750" i="2"/>
  <c r="I1750" i="2"/>
  <c r="H1750" i="2"/>
  <c r="G1750" i="2"/>
  <c r="F1750" i="2"/>
  <c r="D1750" i="2"/>
  <c r="B1750" i="2"/>
  <c r="A1750" i="2"/>
  <c r="T1749" i="2"/>
  <c r="S1749" i="2"/>
  <c r="R1749" i="2"/>
  <c r="Q1749" i="2"/>
  <c r="P1749" i="2"/>
  <c r="O1749" i="2"/>
  <c r="N1749" i="2"/>
  <c r="M1749" i="2"/>
  <c r="L1749" i="2"/>
  <c r="K1749" i="2"/>
  <c r="J1749" i="2"/>
  <c r="I1749" i="2"/>
  <c r="H1749" i="2"/>
  <c r="G1749" i="2"/>
  <c r="F1749" i="2"/>
  <c r="D1749" i="2"/>
  <c r="B1749" i="2"/>
  <c r="A1749" i="2"/>
  <c r="T1748" i="2"/>
  <c r="S1748" i="2"/>
  <c r="R1748" i="2"/>
  <c r="Q1748" i="2"/>
  <c r="P1748" i="2"/>
  <c r="O1748" i="2"/>
  <c r="N1748" i="2"/>
  <c r="M1748" i="2"/>
  <c r="L1748" i="2"/>
  <c r="K1748" i="2"/>
  <c r="J1748" i="2"/>
  <c r="I1748" i="2"/>
  <c r="H1748" i="2"/>
  <c r="G1748" i="2"/>
  <c r="F1748" i="2"/>
  <c r="D1748" i="2"/>
  <c r="B1748" i="2"/>
  <c r="A1748" i="2"/>
  <c r="T1747" i="2"/>
  <c r="S1747" i="2"/>
  <c r="R1747" i="2"/>
  <c r="Q1747" i="2"/>
  <c r="P1747" i="2"/>
  <c r="O1747" i="2"/>
  <c r="N1747" i="2"/>
  <c r="M1747" i="2"/>
  <c r="L1747" i="2"/>
  <c r="K1747" i="2"/>
  <c r="J1747" i="2"/>
  <c r="I1747" i="2"/>
  <c r="H1747" i="2"/>
  <c r="G1747" i="2"/>
  <c r="F1747" i="2"/>
  <c r="D1747" i="2"/>
  <c r="B1747" i="2"/>
  <c r="A1747" i="2"/>
  <c r="T1746" i="2"/>
  <c r="S1746" i="2"/>
  <c r="R1746" i="2"/>
  <c r="Q1746" i="2"/>
  <c r="P1746" i="2"/>
  <c r="O1746" i="2"/>
  <c r="N1746" i="2"/>
  <c r="M1746" i="2"/>
  <c r="L1746" i="2"/>
  <c r="K1746" i="2"/>
  <c r="J1746" i="2"/>
  <c r="I1746" i="2"/>
  <c r="H1746" i="2"/>
  <c r="G1746" i="2"/>
  <c r="F1746" i="2"/>
  <c r="D1746" i="2"/>
  <c r="B1746" i="2"/>
  <c r="A1746" i="2"/>
  <c r="T1745" i="2"/>
  <c r="S1745" i="2"/>
  <c r="R1745" i="2"/>
  <c r="Q1745" i="2"/>
  <c r="P1745" i="2"/>
  <c r="O1745" i="2"/>
  <c r="N1745" i="2"/>
  <c r="M1745" i="2"/>
  <c r="L1745" i="2"/>
  <c r="K1745" i="2"/>
  <c r="J1745" i="2"/>
  <c r="I1745" i="2"/>
  <c r="H1745" i="2"/>
  <c r="G1745" i="2"/>
  <c r="F1745" i="2"/>
  <c r="D1745" i="2"/>
  <c r="B1745" i="2"/>
  <c r="A1745" i="2"/>
  <c r="T1744" i="2"/>
  <c r="S1744" i="2"/>
  <c r="R1744" i="2"/>
  <c r="Q1744" i="2"/>
  <c r="P1744" i="2"/>
  <c r="O1744" i="2"/>
  <c r="N1744" i="2"/>
  <c r="M1744" i="2"/>
  <c r="L1744" i="2"/>
  <c r="K1744" i="2"/>
  <c r="J1744" i="2"/>
  <c r="I1744" i="2"/>
  <c r="H1744" i="2"/>
  <c r="G1744" i="2"/>
  <c r="F1744" i="2"/>
  <c r="D1744" i="2"/>
  <c r="B1744" i="2"/>
  <c r="A1744" i="2"/>
  <c r="T1743" i="2"/>
  <c r="S1743" i="2"/>
  <c r="R1743" i="2"/>
  <c r="Q1743" i="2"/>
  <c r="P1743" i="2"/>
  <c r="O1743" i="2"/>
  <c r="N1743" i="2"/>
  <c r="M1743" i="2"/>
  <c r="L1743" i="2"/>
  <c r="K1743" i="2"/>
  <c r="J1743" i="2"/>
  <c r="I1743" i="2"/>
  <c r="H1743" i="2"/>
  <c r="G1743" i="2"/>
  <c r="F1743" i="2"/>
  <c r="D1743" i="2"/>
  <c r="B1743" i="2"/>
  <c r="A1743" i="2"/>
  <c r="T1742" i="2"/>
  <c r="S1742" i="2"/>
  <c r="R1742" i="2"/>
  <c r="Q1742" i="2"/>
  <c r="P1742" i="2"/>
  <c r="O1742" i="2"/>
  <c r="N1742" i="2"/>
  <c r="M1742" i="2"/>
  <c r="L1742" i="2"/>
  <c r="K1742" i="2"/>
  <c r="J1742" i="2"/>
  <c r="I1742" i="2"/>
  <c r="H1742" i="2"/>
  <c r="G1742" i="2"/>
  <c r="F1742" i="2"/>
  <c r="D1742" i="2"/>
  <c r="B1742" i="2"/>
  <c r="A1742" i="2"/>
  <c r="T1741" i="2"/>
  <c r="S1741" i="2"/>
  <c r="R1741" i="2"/>
  <c r="Q1741" i="2"/>
  <c r="P1741" i="2"/>
  <c r="O1741" i="2"/>
  <c r="N1741" i="2"/>
  <c r="M1741" i="2"/>
  <c r="L1741" i="2"/>
  <c r="K1741" i="2"/>
  <c r="J1741" i="2"/>
  <c r="I1741" i="2"/>
  <c r="H1741" i="2"/>
  <c r="G1741" i="2"/>
  <c r="F1741" i="2"/>
  <c r="D1741" i="2"/>
  <c r="B1741" i="2"/>
  <c r="A1741" i="2"/>
  <c r="T1740" i="2"/>
  <c r="S1740" i="2"/>
  <c r="R1740" i="2"/>
  <c r="Q1740" i="2"/>
  <c r="P1740" i="2"/>
  <c r="O1740" i="2"/>
  <c r="N1740" i="2"/>
  <c r="M1740" i="2"/>
  <c r="L1740" i="2"/>
  <c r="K1740" i="2"/>
  <c r="J1740" i="2"/>
  <c r="I1740" i="2"/>
  <c r="H1740" i="2"/>
  <c r="G1740" i="2"/>
  <c r="F1740" i="2"/>
  <c r="D1740" i="2"/>
  <c r="B1740" i="2"/>
  <c r="A1740" i="2"/>
  <c r="T1739" i="2"/>
  <c r="S1739" i="2"/>
  <c r="R1739" i="2"/>
  <c r="Q1739" i="2"/>
  <c r="P1739" i="2"/>
  <c r="O1739" i="2"/>
  <c r="N1739" i="2"/>
  <c r="M1739" i="2"/>
  <c r="L1739" i="2"/>
  <c r="K1739" i="2"/>
  <c r="J1739" i="2"/>
  <c r="I1739" i="2"/>
  <c r="H1739" i="2"/>
  <c r="G1739" i="2"/>
  <c r="F1739" i="2"/>
  <c r="D1739" i="2"/>
  <c r="B1739" i="2"/>
  <c r="A1739" i="2"/>
  <c r="T1738" i="2"/>
  <c r="S1738" i="2"/>
  <c r="R1738" i="2"/>
  <c r="Q1738" i="2"/>
  <c r="P1738" i="2"/>
  <c r="O1738" i="2"/>
  <c r="N1738" i="2"/>
  <c r="M1738" i="2"/>
  <c r="L1738" i="2"/>
  <c r="K1738" i="2"/>
  <c r="J1738" i="2"/>
  <c r="I1738" i="2"/>
  <c r="H1738" i="2"/>
  <c r="G1738" i="2"/>
  <c r="F1738" i="2"/>
  <c r="D1738" i="2"/>
  <c r="B1738" i="2"/>
  <c r="A1738" i="2"/>
  <c r="T1737" i="2"/>
  <c r="S1737" i="2"/>
  <c r="R1737" i="2"/>
  <c r="Q1737" i="2"/>
  <c r="P1737" i="2"/>
  <c r="O1737" i="2"/>
  <c r="N1737" i="2"/>
  <c r="M1737" i="2"/>
  <c r="L1737" i="2"/>
  <c r="K1737" i="2"/>
  <c r="J1737" i="2"/>
  <c r="I1737" i="2"/>
  <c r="H1737" i="2"/>
  <c r="G1737" i="2"/>
  <c r="F1737" i="2"/>
  <c r="D1737" i="2"/>
  <c r="B1737" i="2"/>
  <c r="A1737" i="2"/>
  <c r="T1736" i="2"/>
  <c r="S1736" i="2"/>
  <c r="R1736" i="2"/>
  <c r="Q1736" i="2"/>
  <c r="P1736" i="2"/>
  <c r="O1736" i="2"/>
  <c r="N1736" i="2"/>
  <c r="M1736" i="2"/>
  <c r="L1736" i="2"/>
  <c r="K1736" i="2"/>
  <c r="J1736" i="2"/>
  <c r="I1736" i="2"/>
  <c r="H1736" i="2"/>
  <c r="G1736" i="2"/>
  <c r="F1736" i="2"/>
  <c r="D1736" i="2"/>
  <c r="B1736" i="2"/>
  <c r="A1736" i="2"/>
  <c r="T1735" i="2"/>
  <c r="S1735" i="2"/>
  <c r="R1735" i="2"/>
  <c r="Q1735" i="2"/>
  <c r="P1735" i="2"/>
  <c r="O1735" i="2"/>
  <c r="N1735" i="2"/>
  <c r="M1735" i="2"/>
  <c r="L1735" i="2"/>
  <c r="K1735" i="2"/>
  <c r="J1735" i="2"/>
  <c r="I1735" i="2"/>
  <c r="H1735" i="2"/>
  <c r="G1735" i="2"/>
  <c r="F1735" i="2"/>
  <c r="D1735" i="2"/>
  <c r="B1735" i="2"/>
  <c r="A1735" i="2"/>
  <c r="T1734" i="2"/>
  <c r="S1734" i="2"/>
  <c r="R1734" i="2"/>
  <c r="Q1734" i="2"/>
  <c r="P1734" i="2"/>
  <c r="O1734" i="2"/>
  <c r="N1734" i="2"/>
  <c r="M1734" i="2"/>
  <c r="L1734" i="2"/>
  <c r="K1734" i="2"/>
  <c r="J1734" i="2"/>
  <c r="I1734" i="2"/>
  <c r="H1734" i="2"/>
  <c r="G1734" i="2"/>
  <c r="F1734" i="2"/>
  <c r="D1734" i="2"/>
  <c r="B1734" i="2"/>
  <c r="A1734" i="2"/>
  <c r="T1733" i="2"/>
  <c r="S1733" i="2"/>
  <c r="R1733" i="2"/>
  <c r="Q1733" i="2"/>
  <c r="P1733" i="2"/>
  <c r="O1733" i="2"/>
  <c r="N1733" i="2"/>
  <c r="M1733" i="2"/>
  <c r="L1733" i="2"/>
  <c r="K1733" i="2"/>
  <c r="J1733" i="2"/>
  <c r="I1733" i="2"/>
  <c r="H1733" i="2"/>
  <c r="G1733" i="2"/>
  <c r="F1733" i="2"/>
  <c r="D1733" i="2"/>
  <c r="B1733" i="2"/>
  <c r="A1733" i="2"/>
  <c r="T1732" i="2"/>
  <c r="S1732" i="2"/>
  <c r="R1732" i="2"/>
  <c r="Q1732" i="2"/>
  <c r="P1732" i="2"/>
  <c r="O1732" i="2"/>
  <c r="N1732" i="2"/>
  <c r="M1732" i="2"/>
  <c r="L1732" i="2"/>
  <c r="K1732" i="2"/>
  <c r="J1732" i="2"/>
  <c r="I1732" i="2"/>
  <c r="H1732" i="2"/>
  <c r="G1732" i="2"/>
  <c r="F1732" i="2"/>
  <c r="D1732" i="2"/>
  <c r="B1732" i="2"/>
  <c r="A1732" i="2"/>
  <c r="T1731" i="2"/>
  <c r="S1731" i="2"/>
  <c r="R1731" i="2"/>
  <c r="Q1731" i="2"/>
  <c r="P1731" i="2"/>
  <c r="O1731" i="2"/>
  <c r="N1731" i="2"/>
  <c r="M1731" i="2"/>
  <c r="L1731" i="2"/>
  <c r="K1731" i="2"/>
  <c r="J1731" i="2"/>
  <c r="I1731" i="2"/>
  <c r="H1731" i="2"/>
  <c r="G1731" i="2"/>
  <c r="F1731" i="2"/>
  <c r="D1731" i="2"/>
  <c r="B1731" i="2"/>
  <c r="A1731" i="2"/>
  <c r="T1730" i="2"/>
  <c r="S1730" i="2"/>
  <c r="R1730" i="2"/>
  <c r="Q1730" i="2"/>
  <c r="P1730" i="2"/>
  <c r="O1730" i="2"/>
  <c r="N1730" i="2"/>
  <c r="M1730" i="2"/>
  <c r="L1730" i="2"/>
  <c r="K1730" i="2"/>
  <c r="J1730" i="2"/>
  <c r="I1730" i="2"/>
  <c r="H1730" i="2"/>
  <c r="G1730" i="2"/>
  <c r="F1730" i="2"/>
  <c r="D1730" i="2"/>
  <c r="B1730" i="2"/>
  <c r="A1730" i="2"/>
  <c r="T1729" i="2"/>
  <c r="S1729" i="2"/>
  <c r="R1729" i="2"/>
  <c r="Q1729" i="2"/>
  <c r="P1729" i="2"/>
  <c r="O1729" i="2"/>
  <c r="N1729" i="2"/>
  <c r="M1729" i="2"/>
  <c r="L1729" i="2"/>
  <c r="K1729" i="2"/>
  <c r="J1729" i="2"/>
  <c r="I1729" i="2"/>
  <c r="H1729" i="2"/>
  <c r="G1729" i="2"/>
  <c r="F1729" i="2"/>
  <c r="D1729" i="2"/>
  <c r="B1729" i="2"/>
  <c r="A1729" i="2"/>
  <c r="T1728" i="2"/>
  <c r="S1728" i="2"/>
  <c r="R1728" i="2"/>
  <c r="Q1728" i="2"/>
  <c r="P1728" i="2"/>
  <c r="O1728" i="2"/>
  <c r="N1728" i="2"/>
  <c r="M1728" i="2"/>
  <c r="L1728" i="2"/>
  <c r="K1728" i="2"/>
  <c r="J1728" i="2"/>
  <c r="I1728" i="2"/>
  <c r="H1728" i="2"/>
  <c r="G1728" i="2"/>
  <c r="F1728" i="2"/>
  <c r="D1728" i="2"/>
  <c r="B1728" i="2"/>
  <c r="A1728" i="2"/>
  <c r="T1727" i="2"/>
  <c r="S1727" i="2"/>
  <c r="R1727" i="2"/>
  <c r="Q1727" i="2"/>
  <c r="P1727" i="2"/>
  <c r="O1727" i="2"/>
  <c r="N1727" i="2"/>
  <c r="M1727" i="2"/>
  <c r="L1727" i="2"/>
  <c r="K1727" i="2"/>
  <c r="J1727" i="2"/>
  <c r="I1727" i="2"/>
  <c r="H1727" i="2"/>
  <c r="G1727" i="2"/>
  <c r="F1727" i="2"/>
  <c r="D1727" i="2"/>
  <c r="B1727" i="2"/>
  <c r="A1727" i="2"/>
  <c r="T1726" i="2"/>
  <c r="S1726" i="2"/>
  <c r="R1726" i="2"/>
  <c r="Q1726" i="2"/>
  <c r="P1726" i="2"/>
  <c r="O1726" i="2"/>
  <c r="N1726" i="2"/>
  <c r="M1726" i="2"/>
  <c r="L1726" i="2"/>
  <c r="K1726" i="2"/>
  <c r="J1726" i="2"/>
  <c r="I1726" i="2"/>
  <c r="H1726" i="2"/>
  <c r="G1726" i="2"/>
  <c r="F1726" i="2"/>
  <c r="D1726" i="2"/>
  <c r="B1726" i="2"/>
  <c r="A1726" i="2"/>
  <c r="T1725" i="2"/>
  <c r="S1725" i="2"/>
  <c r="R1725" i="2"/>
  <c r="Q1725" i="2"/>
  <c r="P1725" i="2"/>
  <c r="O1725" i="2"/>
  <c r="N1725" i="2"/>
  <c r="M1725" i="2"/>
  <c r="L1725" i="2"/>
  <c r="K1725" i="2"/>
  <c r="J1725" i="2"/>
  <c r="I1725" i="2"/>
  <c r="H1725" i="2"/>
  <c r="G1725" i="2"/>
  <c r="F1725" i="2"/>
  <c r="D1725" i="2"/>
  <c r="B1725" i="2"/>
  <c r="A1725" i="2"/>
  <c r="T1724" i="2"/>
  <c r="S1724" i="2"/>
  <c r="R1724" i="2"/>
  <c r="Q1724" i="2"/>
  <c r="P1724" i="2"/>
  <c r="O1724" i="2"/>
  <c r="N1724" i="2"/>
  <c r="M1724" i="2"/>
  <c r="L1724" i="2"/>
  <c r="K1724" i="2"/>
  <c r="J1724" i="2"/>
  <c r="I1724" i="2"/>
  <c r="H1724" i="2"/>
  <c r="G1724" i="2"/>
  <c r="F1724" i="2"/>
  <c r="D1724" i="2"/>
  <c r="B1724" i="2"/>
  <c r="A1724" i="2"/>
  <c r="T1723" i="2"/>
  <c r="S1723" i="2"/>
  <c r="R1723" i="2"/>
  <c r="Q1723" i="2"/>
  <c r="P1723" i="2"/>
  <c r="O1723" i="2"/>
  <c r="N1723" i="2"/>
  <c r="M1723" i="2"/>
  <c r="L1723" i="2"/>
  <c r="K1723" i="2"/>
  <c r="J1723" i="2"/>
  <c r="I1723" i="2"/>
  <c r="H1723" i="2"/>
  <c r="G1723" i="2"/>
  <c r="F1723" i="2"/>
  <c r="D1723" i="2"/>
  <c r="B1723" i="2"/>
  <c r="A1723" i="2"/>
  <c r="T1722" i="2"/>
  <c r="S1722" i="2"/>
  <c r="R1722" i="2"/>
  <c r="Q1722" i="2"/>
  <c r="P1722" i="2"/>
  <c r="O1722" i="2"/>
  <c r="N1722" i="2"/>
  <c r="M1722" i="2"/>
  <c r="L1722" i="2"/>
  <c r="K1722" i="2"/>
  <c r="J1722" i="2"/>
  <c r="I1722" i="2"/>
  <c r="H1722" i="2"/>
  <c r="G1722" i="2"/>
  <c r="F1722" i="2"/>
  <c r="D1722" i="2"/>
  <c r="B1722" i="2"/>
  <c r="A1722" i="2"/>
  <c r="T1721" i="2"/>
  <c r="S1721" i="2"/>
  <c r="R1721" i="2"/>
  <c r="Q1721" i="2"/>
  <c r="P1721" i="2"/>
  <c r="O1721" i="2"/>
  <c r="N1721" i="2"/>
  <c r="M1721" i="2"/>
  <c r="L1721" i="2"/>
  <c r="K1721" i="2"/>
  <c r="J1721" i="2"/>
  <c r="I1721" i="2"/>
  <c r="H1721" i="2"/>
  <c r="G1721" i="2"/>
  <c r="F1721" i="2"/>
  <c r="D1721" i="2"/>
  <c r="B1721" i="2"/>
  <c r="A1721" i="2"/>
  <c r="T1720" i="2"/>
  <c r="S1720" i="2"/>
  <c r="R1720" i="2"/>
  <c r="Q1720" i="2"/>
  <c r="P1720" i="2"/>
  <c r="O1720" i="2"/>
  <c r="N1720" i="2"/>
  <c r="M1720" i="2"/>
  <c r="L1720" i="2"/>
  <c r="K1720" i="2"/>
  <c r="J1720" i="2"/>
  <c r="I1720" i="2"/>
  <c r="H1720" i="2"/>
  <c r="G1720" i="2"/>
  <c r="F1720" i="2"/>
  <c r="D1720" i="2"/>
  <c r="B1720" i="2"/>
  <c r="A1720" i="2"/>
  <c r="T1719" i="2"/>
  <c r="S1719" i="2"/>
  <c r="R1719" i="2"/>
  <c r="Q1719" i="2"/>
  <c r="P1719" i="2"/>
  <c r="O1719" i="2"/>
  <c r="N1719" i="2"/>
  <c r="M1719" i="2"/>
  <c r="L1719" i="2"/>
  <c r="K1719" i="2"/>
  <c r="J1719" i="2"/>
  <c r="I1719" i="2"/>
  <c r="H1719" i="2"/>
  <c r="G1719" i="2"/>
  <c r="F1719" i="2"/>
  <c r="D1719" i="2"/>
  <c r="B1719" i="2"/>
  <c r="A1719" i="2"/>
  <c r="T1718" i="2"/>
  <c r="S1718" i="2"/>
  <c r="R1718" i="2"/>
  <c r="Q1718" i="2"/>
  <c r="P1718" i="2"/>
  <c r="O1718" i="2"/>
  <c r="N1718" i="2"/>
  <c r="M1718" i="2"/>
  <c r="L1718" i="2"/>
  <c r="K1718" i="2"/>
  <c r="J1718" i="2"/>
  <c r="I1718" i="2"/>
  <c r="H1718" i="2"/>
  <c r="G1718" i="2"/>
  <c r="F1718" i="2"/>
  <c r="D1718" i="2"/>
  <c r="B1718" i="2"/>
  <c r="A1718" i="2"/>
  <c r="T1717" i="2"/>
  <c r="S1717" i="2"/>
  <c r="R1717" i="2"/>
  <c r="Q1717" i="2"/>
  <c r="P1717" i="2"/>
  <c r="O1717" i="2"/>
  <c r="N1717" i="2"/>
  <c r="M1717" i="2"/>
  <c r="L1717" i="2"/>
  <c r="K1717" i="2"/>
  <c r="J1717" i="2"/>
  <c r="I1717" i="2"/>
  <c r="H1717" i="2"/>
  <c r="G1717" i="2"/>
  <c r="F1717" i="2"/>
  <c r="D1717" i="2"/>
  <c r="B1717" i="2"/>
  <c r="A1717" i="2"/>
  <c r="T1716" i="2"/>
  <c r="S1716" i="2"/>
  <c r="R1716" i="2"/>
  <c r="Q1716" i="2"/>
  <c r="P1716" i="2"/>
  <c r="O1716" i="2"/>
  <c r="N1716" i="2"/>
  <c r="M1716" i="2"/>
  <c r="L1716" i="2"/>
  <c r="K1716" i="2"/>
  <c r="J1716" i="2"/>
  <c r="I1716" i="2"/>
  <c r="H1716" i="2"/>
  <c r="G1716" i="2"/>
  <c r="F1716" i="2"/>
  <c r="D1716" i="2"/>
  <c r="B1716" i="2"/>
  <c r="A1716" i="2"/>
  <c r="T1715" i="2"/>
  <c r="S1715" i="2"/>
  <c r="R1715" i="2"/>
  <c r="Q1715" i="2"/>
  <c r="P1715" i="2"/>
  <c r="O1715" i="2"/>
  <c r="N1715" i="2"/>
  <c r="M1715" i="2"/>
  <c r="L1715" i="2"/>
  <c r="K1715" i="2"/>
  <c r="J1715" i="2"/>
  <c r="I1715" i="2"/>
  <c r="H1715" i="2"/>
  <c r="G1715" i="2"/>
  <c r="F1715" i="2"/>
  <c r="D1715" i="2"/>
  <c r="B1715" i="2"/>
  <c r="A1715" i="2"/>
  <c r="T1714" i="2"/>
  <c r="S1714" i="2"/>
  <c r="R1714" i="2"/>
  <c r="Q1714" i="2"/>
  <c r="P1714" i="2"/>
  <c r="O1714" i="2"/>
  <c r="N1714" i="2"/>
  <c r="M1714" i="2"/>
  <c r="L1714" i="2"/>
  <c r="K1714" i="2"/>
  <c r="J1714" i="2"/>
  <c r="I1714" i="2"/>
  <c r="H1714" i="2"/>
  <c r="G1714" i="2"/>
  <c r="F1714" i="2"/>
  <c r="D1714" i="2"/>
  <c r="B1714" i="2"/>
  <c r="A1714" i="2"/>
  <c r="T1713" i="2"/>
  <c r="S1713" i="2"/>
  <c r="R1713" i="2"/>
  <c r="Q1713" i="2"/>
  <c r="P1713" i="2"/>
  <c r="O1713" i="2"/>
  <c r="N1713" i="2"/>
  <c r="M1713" i="2"/>
  <c r="L1713" i="2"/>
  <c r="K1713" i="2"/>
  <c r="J1713" i="2"/>
  <c r="I1713" i="2"/>
  <c r="H1713" i="2"/>
  <c r="G1713" i="2"/>
  <c r="F1713" i="2"/>
  <c r="D1713" i="2"/>
  <c r="B1713" i="2"/>
  <c r="A1713" i="2"/>
  <c r="T1712" i="2"/>
  <c r="S1712" i="2"/>
  <c r="R1712" i="2"/>
  <c r="Q1712" i="2"/>
  <c r="P1712" i="2"/>
  <c r="O1712" i="2"/>
  <c r="N1712" i="2"/>
  <c r="M1712" i="2"/>
  <c r="L1712" i="2"/>
  <c r="K1712" i="2"/>
  <c r="J1712" i="2"/>
  <c r="I1712" i="2"/>
  <c r="H1712" i="2"/>
  <c r="G1712" i="2"/>
  <c r="F1712" i="2"/>
  <c r="D1712" i="2"/>
  <c r="B1712" i="2"/>
  <c r="A1712" i="2"/>
  <c r="T1711" i="2"/>
  <c r="S1711" i="2"/>
  <c r="R1711" i="2"/>
  <c r="Q1711" i="2"/>
  <c r="P1711" i="2"/>
  <c r="O1711" i="2"/>
  <c r="N1711" i="2"/>
  <c r="M1711" i="2"/>
  <c r="L1711" i="2"/>
  <c r="K1711" i="2"/>
  <c r="J1711" i="2"/>
  <c r="I1711" i="2"/>
  <c r="H1711" i="2"/>
  <c r="G1711" i="2"/>
  <c r="F1711" i="2"/>
  <c r="D1711" i="2"/>
  <c r="B1711" i="2"/>
  <c r="A1711" i="2"/>
  <c r="T1710" i="2"/>
  <c r="S1710" i="2"/>
  <c r="R1710" i="2"/>
  <c r="Q1710" i="2"/>
  <c r="P1710" i="2"/>
  <c r="O1710" i="2"/>
  <c r="N1710" i="2"/>
  <c r="M1710" i="2"/>
  <c r="L1710" i="2"/>
  <c r="K1710" i="2"/>
  <c r="J1710" i="2"/>
  <c r="I1710" i="2"/>
  <c r="H1710" i="2"/>
  <c r="G1710" i="2"/>
  <c r="F1710" i="2"/>
  <c r="D1710" i="2"/>
  <c r="B1710" i="2"/>
  <c r="A1710" i="2"/>
  <c r="T1709" i="2"/>
  <c r="S1709" i="2"/>
  <c r="R1709" i="2"/>
  <c r="Q1709" i="2"/>
  <c r="P1709" i="2"/>
  <c r="O1709" i="2"/>
  <c r="N1709" i="2"/>
  <c r="M1709" i="2"/>
  <c r="L1709" i="2"/>
  <c r="K1709" i="2"/>
  <c r="J1709" i="2"/>
  <c r="I1709" i="2"/>
  <c r="H1709" i="2"/>
  <c r="G1709" i="2"/>
  <c r="F1709" i="2"/>
  <c r="D1709" i="2"/>
  <c r="B1709" i="2"/>
  <c r="A1709" i="2"/>
  <c r="T1708" i="2"/>
  <c r="S1708" i="2"/>
  <c r="R1708" i="2"/>
  <c r="Q1708" i="2"/>
  <c r="P1708" i="2"/>
  <c r="O1708" i="2"/>
  <c r="N1708" i="2"/>
  <c r="M1708" i="2"/>
  <c r="L1708" i="2"/>
  <c r="K1708" i="2"/>
  <c r="J1708" i="2"/>
  <c r="I1708" i="2"/>
  <c r="H1708" i="2"/>
  <c r="G1708" i="2"/>
  <c r="F1708" i="2"/>
  <c r="D1708" i="2"/>
  <c r="B1708" i="2"/>
  <c r="A1708" i="2"/>
  <c r="T1707" i="2"/>
  <c r="S1707" i="2"/>
  <c r="R1707" i="2"/>
  <c r="Q1707" i="2"/>
  <c r="P1707" i="2"/>
  <c r="O1707" i="2"/>
  <c r="N1707" i="2"/>
  <c r="M1707" i="2"/>
  <c r="L1707" i="2"/>
  <c r="K1707" i="2"/>
  <c r="J1707" i="2"/>
  <c r="I1707" i="2"/>
  <c r="H1707" i="2"/>
  <c r="G1707" i="2"/>
  <c r="F1707" i="2"/>
  <c r="D1707" i="2"/>
  <c r="B1707" i="2"/>
  <c r="A1707" i="2"/>
  <c r="T1706" i="2"/>
  <c r="S1706" i="2"/>
  <c r="R1706" i="2"/>
  <c r="Q1706" i="2"/>
  <c r="P1706" i="2"/>
  <c r="O1706" i="2"/>
  <c r="N1706" i="2"/>
  <c r="M1706" i="2"/>
  <c r="L1706" i="2"/>
  <c r="K1706" i="2"/>
  <c r="J1706" i="2"/>
  <c r="I1706" i="2"/>
  <c r="H1706" i="2"/>
  <c r="G1706" i="2"/>
  <c r="F1706" i="2"/>
  <c r="D1706" i="2"/>
  <c r="B1706" i="2"/>
  <c r="A1706" i="2"/>
  <c r="T1705" i="2"/>
  <c r="S1705" i="2"/>
  <c r="R1705" i="2"/>
  <c r="Q1705" i="2"/>
  <c r="P1705" i="2"/>
  <c r="O1705" i="2"/>
  <c r="N1705" i="2"/>
  <c r="M1705" i="2"/>
  <c r="L1705" i="2"/>
  <c r="K1705" i="2"/>
  <c r="J1705" i="2"/>
  <c r="I1705" i="2"/>
  <c r="H1705" i="2"/>
  <c r="G1705" i="2"/>
  <c r="F1705" i="2"/>
  <c r="D1705" i="2"/>
  <c r="B1705" i="2"/>
  <c r="A1705" i="2"/>
  <c r="T1704" i="2"/>
  <c r="S1704" i="2"/>
  <c r="R1704" i="2"/>
  <c r="Q1704" i="2"/>
  <c r="P1704" i="2"/>
  <c r="O1704" i="2"/>
  <c r="N1704" i="2"/>
  <c r="M1704" i="2"/>
  <c r="L1704" i="2"/>
  <c r="K1704" i="2"/>
  <c r="J1704" i="2"/>
  <c r="I1704" i="2"/>
  <c r="H1704" i="2"/>
  <c r="G1704" i="2"/>
  <c r="F1704" i="2"/>
  <c r="D1704" i="2"/>
  <c r="B1704" i="2"/>
  <c r="A1704" i="2"/>
  <c r="T1703" i="2"/>
  <c r="S1703" i="2"/>
  <c r="R1703" i="2"/>
  <c r="Q1703" i="2"/>
  <c r="P1703" i="2"/>
  <c r="O1703" i="2"/>
  <c r="N1703" i="2"/>
  <c r="M1703" i="2"/>
  <c r="L1703" i="2"/>
  <c r="K1703" i="2"/>
  <c r="J1703" i="2"/>
  <c r="I1703" i="2"/>
  <c r="H1703" i="2"/>
  <c r="G1703" i="2"/>
  <c r="F1703" i="2"/>
  <c r="D1703" i="2"/>
  <c r="B1703" i="2"/>
  <c r="A1703" i="2"/>
  <c r="T1702" i="2"/>
  <c r="S1702" i="2"/>
  <c r="R1702" i="2"/>
  <c r="Q1702" i="2"/>
  <c r="P1702" i="2"/>
  <c r="O1702" i="2"/>
  <c r="N1702" i="2"/>
  <c r="M1702" i="2"/>
  <c r="L1702" i="2"/>
  <c r="K1702" i="2"/>
  <c r="J1702" i="2"/>
  <c r="I1702" i="2"/>
  <c r="H1702" i="2"/>
  <c r="G1702" i="2"/>
  <c r="F1702" i="2"/>
  <c r="D1702" i="2"/>
  <c r="B1702" i="2"/>
  <c r="A1702" i="2"/>
  <c r="T1701" i="2"/>
  <c r="S1701" i="2"/>
  <c r="R1701" i="2"/>
  <c r="Q1701" i="2"/>
  <c r="P1701" i="2"/>
  <c r="O1701" i="2"/>
  <c r="N1701" i="2"/>
  <c r="M1701" i="2"/>
  <c r="L1701" i="2"/>
  <c r="K1701" i="2"/>
  <c r="J1701" i="2"/>
  <c r="I1701" i="2"/>
  <c r="H1701" i="2"/>
  <c r="G1701" i="2"/>
  <c r="F1701" i="2"/>
  <c r="D1701" i="2"/>
  <c r="B1701" i="2"/>
  <c r="A1701" i="2"/>
  <c r="T1700" i="2"/>
  <c r="S1700" i="2"/>
  <c r="R1700" i="2"/>
  <c r="Q1700" i="2"/>
  <c r="P1700" i="2"/>
  <c r="O1700" i="2"/>
  <c r="N1700" i="2"/>
  <c r="M1700" i="2"/>
  <c r="L1700" i="2"/>
  <c r="K1700" i="2"/>
  <c r="J1700" i="2"/>
  <c r="I1700" i="2"/>
  <c r="H1700" i="2"/>
  <c r="G1700" i="2"/>
  <c r="F1700" i="2"/>
  <c r="D1700" i="2"/>
  <c r="B1700" i="2"/>
  <c r="A1700" i="2"/>
  <c r="T1699" i="2"/>
  <c r="S1699" i="2"/>
  <c r="R1699" i="2"/>
  <c r="Q1699" i="2"/>
  <c r="P1699" i="2"/>
  <c r="O1699" i="2"/>
  <c r="N1699" i="2"/>
  <c r="M1699" i="2"/>
  <c r="L1699" i="2"/>
  <c r="K1699" i="2"/>
  <c r="J1699" i="2"/>
  <c r="I1699" i="2"/>
  <c r="H1699" i="2"/>
  <c r="G1699" i="2"/>
  <c r="F1699" i="2"/>
  <c r="D1699" i="2"/>
  <c r="B1699" i="2"/>
  <c r="A1699" i="2"/>
  <c r="T1698" i="2"/>
  <c r="S1698" i="2"/>
  <c r="R1698" i="2"/>
  <c r="Q1698" i="2"/>
  <c r="P1698" i="2"/>
  <c r="O1698" i="2"/>
  <c r="N1698" i="2"/>
  <c r="M1698" i="2"/>
  <c r="L1698" i="2"/>
  <c r="K1698" i="2"/>
  <c r="J1698" i="2"/>
  <c r="I1698" i="2"/>
  <c r="H1698" i="2"/>
  <c r="G1698" i="2"/>
  <c r="F1698" i="2"/>
  <c r="D1698" i="2"/>
  <c r="B1698" i="2"/>
  <c r="A1698" i="2"/>
  <c r="T1697" i="2"/>
  <c r="S1697" i="2"/>
  <c r="R1697" i="2"/>
  <c r="Q1697" i="2"/>
  <c r="P1697" i="2"/>
  <c r="O1697" i="2"/>
  <c r="N1697" i="2"/>
  <c r="M1697" i="2"/>
  <c r="L1697" i="2"/>
  <c r="K1697" i="2"/>
  <c r="J1697" i="2"/>
  <c r="I1697" i="2"/>
  <c r="H1697" i="2"/>
  <c r="G1697" i="2"/>
  <c r="F1697" i="2"/>
  <c r="D1697" i="2"/>
  <c r="B1697" i="2"/>
  <c r="A1697" i="2"/>
  <c r="T1696" i="2"/>
  <c r="S1696" i="2"/>
  <c r="R1696" i="2"/>
  <c r="Q1696" i="2"/>
  <c r="P1696" i="2"/>
  <c r="O1696" i="2"/>
  <c r="N1696" i="2"/>
  <c r="M1696" i="2"/>
  <c r="L1696" i="2"/>
  <c r="K1696" i="2"/>
  <c r="J1696" i="2"/>
  <c r="I1696" i="2"/>
  <c r="H1696" i="2"/>
  <c r="G1696" i="2"/>
  <c r="F1696" i="2"/>
  <c r="D1696" i="2"/>
  <c r="B1696" i="2"/>
  <c r="A1696" i="2"/>
  <c r="T1695" i="2"/>
  <c r="S1695" i="2"/>
  <c r="R1695" i="2"/>
  <c r="Q1695" i="2"/>
  <c r="P1695" i="2"/>
  <c r="O1695" i="2"/>
  <c r="N1695" i="2"/>
  <c r="M1695" i="2"/>
  <c r="L1695" i="2"/>
  <c r="K1695" i="2"/>
  <c r="J1695" i="2"/>
  <c r="I1695" i="2"/>
  <c r="H1695" i="2"/>
  <c r="G1695" i="2"/>
  <c r="F1695" i="2"/>
  <c r="D1695" i="2"/>
  <c r="B1695" i="2"/>
  <c r="A1695" i="2"/>
  <c r="T1694" i="2"/>
  <c r="S1694" i="2"/>
  <c r="R1694" i="2"/>
  <c r="Q1694" i="2"/>
  <c r="P1694" i="2"/>
  <c r="O1694" i="2"/>
  <c r="N1694" i="2"/>
  <c r="M1694" i="2"/>
  <c r="L1694" i="2"/>
  <c r="K1694" i="2"/>
  <c r="J1694" i="2"/>
  <c r="I1694" i="2"/>
  <c r="H1694" i="2"/>
  <c r="G1694" i="2"/>
  <c r="F1694" i="2"/>
  <c r="D1694" i="2"/>
  <c r="B1694" i="2"/>
  <c r="A1694" i="2"/>
  <c r="T1693" i="2"/>
  <c r="S1693" i="2"/>
  <c r="R1693" i="2"/>
  <c r="Q1693" i="2"/>
  <c r="P1693" i="2"/>
  <c r="O1693" i="2"/>
  <c r="N1693" i="2"/>
  <c r="M1693" i="2"/>
  <c r="L1693" i="2"/>
  <c r="K1693" i="2"/>
  <c r="J1693" i="2"/>
  <c r="I1693" i="2"/>
  <c r="H1693" i="2"/>
  <c r="G1693" i="2"/>
  <c r="F1693" i="2"/>
  <c r="D1693" i="2"/>
  <c r="B1693" i="2"/>
  <c r="A1693" i="2"/>
  <c r="T1692" i="2"/>
  <c r="S1692" i="2"/>
  <c r="R1692" i="2"/>
  <c r="Q1692" i="2"/>
  <c r="P1692" i="2"/>
  <c r="O1692" i="2"/>
  <c r="N1692" i="2"/>
  <c r="M1692" i="2"/>
  <c r="L1692" i="2"/>
  <c r="K1692" i="2"/>
  <c r="J1692" i="2"/>
  <c r="I1692" i="2"/>
  <c r="H1692" i="2"/>
  <c r="G1692" i="2"/>
  <c r="F1692" i="2"/>
  <c r="D1692" i="2"/>
  <c r="B1692" i="2"/>
  <c r="A1692" i="2"/>
  <c r="T1691" i="2"/>
  <c r="S1691" i="2"/>
  <c r="R1691" i="2"/>
  <c r="Q1691" i="2"/>
  <c r="P1691" i="2"/>
  <c r="O1691" i="2"/>
  <c r="N1691" i="2"/>
  <c r="M1691" i="2"/>
  <c r="L1691" i="2"/>
  <c r="K1691" i="2"/>
  <c r="J1691" i="2"/>
  <c r="I1691" i="2"/>
  <c r="H1691" i="2"/>
  <c r="G1691" i="2"/>
  <c r="F1691" i="2"/>
  <c r="D1691" i="2"/>
  <c r="B1691" i="2"/>
  <c r="A1691" i="2"/>
  <c r="T1690" i="2"/>
  <c r="S1690" i="2"/>
  <c r="R1690" i="2"/>
  <c r="Q1690" i="2"/>
  <c r="P1690" i="2"/>
  <c r="O1690" i="2"/>
  <c r="N1690" i="2"/>
  <c r="M1690" i="2"/>
  <c r="L1690" i="2"/>
  <c r="K1690" i="2"/>
  <c r="J1690" i="2"/>
  <c r="I1690" i="2"/>
  <c r="H1690" i="2"/>
  <c r="G1690" i="2"/>
  <c r="F1690" i="2"/>
  <c r="D1690" i="2"/>
  <c r="B1690" i="2"/>
  <c r="A1690" i="2"/>
  <c r="T1689" i="2"/>
  <c r="S1689" i="2"/>
  <c r="R1689" i="2"/>
  <c r="Q1689" i="2"/>
  <c r="P1689" i="2"/>
  <c r="O1689" i="2"/>
  <c r="N1689" i="2"/>
  <c r="M1689" i="2"/>
  <c r="L1689" i="2"/>
  <c r="K1689" i="2"/>
  <c r="J1689" i="2"/>
  <c r="I1689" i="2"/>
  <c r="H1689" i="2"/>
  <c r="G1689" i="2"/>
  <c r="F1689" i="2"/>
  <c r="D1689" i="2"/>
  <c r="B1689" i="2"/>
  <c r="A1689" i="2"/>
  <c r="T1688" i="2"/>
  <c r="S1688" i="2"/>
  <c r="R1688" i="2"/>
  <c r="Q1688" i="2"/>
  <c r="P1688" i="2"/>
  <c r="O1688" i="2"/>
  <c r="N1688" i="2"/>
  <c r="M1688" i="2"/>
  <c r="L1688" i="2"/>
  <c r="K1688" i="2"/>
  <c r="J1688" i="2"/>
  <c r="I1688" i="2"/>
  <c r="H1688" i="2"/>
  <c r="G1688" i="2"/>
  <c r="F1688" i="2"/>
  <c r="D1688" i="2"/>
  <c r="B1688" i="2"/>
  <c r="A1688" i="2"/>
  <c r="T1687" i="2"/>
  <c r="S1687" i="2"/>
  <c r="R1687" i="2"/>
  <c r="Q1687" i="2"/>
  <c r="P1687" i="2"/>
  <c r="O1687" i="2"/>
  <c r="N1687" i="2"/>
  <c r="M1687" i="2"/>
  <c r="L1687" i="2"/>
  <c r="K1687" i="2"/>
  <c r="J1687" i="2"/>
  <c r="I1687" i="2"/>
  <c r="H1687" i="2"/>
  <c r="G1687" i="2"/>
  <c r="F1687" i="2"/>
  <c r="D1687" i="2"/>
  <c r="B1687" i="2"/>
  <c r="A1687" i="2"/>
  <c r="T1686" i="2"/>
  <c r="S1686" i="2"/>
  <c r="R1686" i="2"/>
  <c r="Q1686" i="2"/>
  <c r="P1686" i="2"/>
  <c r="O1686" i="2"/>
  <c r="N1686" i="2"/>
  <c r="M1686" i="2"/>
  <c r="L1686" i="2"/>
  <c r="K1686" i="2"/>
  <c r="J1686" i="2"/>
  <c r="I1686" i="2"/>
  <c r="H1686" i="2"/>
  <c r="G1686" i="2"/>
  <c r="F1686" i="2"/>
  <c r="D1686" i="2"/>
  <c r="B1686" i="2"/>
  <c r="A1686" i="2"/>
  <c r="T1685" i="2"/>
  <c r="S1685" i="2"/>
  <c r="R1685" i="2"/>
  <c r="Q1685" i="2"/>
  <c r="P1685" i="2"/>
  <c r="O1685" i="2"/>
  <c r="N1685" i="2"/>
  <c r="M1685" i="2"/>
  <c r="L1685" i="2"/>
  <c r="K1685" i="2"/>
  <c r="J1685" i="2"/>
  <c r="I1685" i="2"/>
  <c r="H1685" i="2"/>
  <c r="G1685" i="2"/>
  <c r="F1685" i="2"/>
  <c r="D1685" i="2"/>
  <c r="B1685" i="2"/>
  <c r="A1685" i="2"/>
  <c r="T1684" i="2"/>
  <c r="S1684" i="2"/>
  <c r="R1684" i="2"/>
  <c r="Q1684" i="2"/>
  <c r="P1684" i="2"/>
  <c r="O1684" i="2"/>
  <c r="N1684" i="2"/>
  <c r="M1684" i="2"/>
  <c r="L1684" i="2"/>
  <c r="K1684" i="2"/>
  <c r="J1684" i="2"/>
  <c r="I1684" i="2"/>
  <c r="H1684" i="2"/>
  <c r="G1684" i="2"/>
  <c r="F1684" i="2"/>
  <c r="D1684" i="2"/>
  <c r="B1684" i="2"/>
  <c r="A1684" i="2"/>
  <c r="T1683" i="2"/>
  <c r="S1683" i="2"/>
  <c r="R1683" i="2"/>
  <c r="Q1683" i="2"/>
  <c r="P1683" i="2"/>
  <c r="O1683" i="2"/>
  <c r="N1683" i="2"/>
  <c r="M1683" i="2"/>
  <c r="L1683" i="2"/>
  <c r="K1683" i="2"/>
  <c r="J1683" i="2"/>
  <c r="I1683" i="2"/>
  <c r="H1683" i="2"/>
  <c r="G1683" i="2"/>
  <c r="F1683" i="2"/>
  <c r="D1683" i="2"/>
  <c r="B1683" i="2"/>
  <c r="A1683" i="2"/>
  <c r="T1682" i="2"/>
  <c r="S1682" i="2"/>
  <c r="R1682" i="2"/>
  <c r="Q1682" i="2"/>
  <c r="P1682" i="2"/>
  <c r="O1682" i="2"/>
  <c r="N1682" i="2"/>
  <c r="M1682" i="2"/>
  <c r="L1682" i="2"/>
  <c r="K1682" i="2"/>
  <c r="J1682" i="2"/>
  <c r="I1682" i="2"/>
  <c r="H1682" i="2"/>
  <c r="G1682" i="2"/>
  <c r="F1682" i="2"/>
  <c r="D1682" i="2"/>
  <c r="B1682" i="2"/>
  <c r="A1682" i="2"/>
  <c r="T1681" i="2"/>
  <c r="S1681" i="2"/>
  <c r="R1681" i="2"/>
  <c r="Q1681" i="2"/>
  <c r="P1681" i="2"/>
  <c r="O1681" i="2"/>
  <c r="N1681" i="2"/>
  <c r="M1681" i="2"/>
  <c r="L1681" i="2"/>
  <c r="K1681" i="2"/>
  <c r="J1681" i="2"/>
  <c r="I1681" i="2"/>
  <c r="H1681" i="2"/>
  <c r="G1681" i="2"/>
  <c r="F1681" i="2"/>
  <c r="D1681" i="2"/>
  <c r="B1681" i="2"/>
  <c r="A1681" i="2"/>
  <c r="T1680" i="2"/>
  <c r="S1680" i="2"/>
  <c r="R1680" i="2"/>
  <c r="Q1680" i="2"/>
  <c r="P1680" i="2"/>
  <c r="O1680" i="2"/>
  <c r="N1680" i="2"/>
  <c r="M1680" i="2"/>
  <c r="L1680" i="2"/>
  <c r="K1680" i="2"/>
  <c r="J1680" i="2"/>
  <c r="I1680" i="2"/>
  <c r="H1680" i="2"/>
  <c r="G1680" i="2"/>
  <c r="F1680" i="2"/>
  <c r="D1680" i="2"/>
  <c r="B1680" i="2"/>
  <c r="A1680" i="2"/>
  <c r="T1679" i="2"/>
  <c r="S1679" i="2"/>
  <c r="R1679" i="2"/>
  <c r="Q1679" i="2"/>
  <c r="P1679" i="2"/>
  <c r="O1679" i="2"/>
  <c r="N1679" i="2"/>
  <c r="M1679" i="2"/>
  <c r="L1679" i="2"/>
  <c r="K1679" i="2"/>
  <c r="J1679" i="2"/>
  <c r="I1679" i="2"/>
  <c r="H1679" i="2"/>
  <c r="G1679" i="2"/>
  <c r="F1679" i="2"/>
  <c r="D1679" i="2"/>
  <c r="B1679" i="2"/>
  <c r="A1679" i="2"/>
  <c r="T1678" i="2"/>
  <c r="S1678" i="2"/>
  <c r="R1678" i="2"/>
  <c r="Q1678" i="2"/>
  <c r="P1678" i="2"/>
  <c r="O1678" i="2"/>
  <c r="N1678" i="2"/>
  <c r="M1678" i="2"/>
  <c r="L1678" i="2"/>
  <c r="K1678" i="2"/>
  <c r="J1678" i="2"/>
  <c r="I1678" i="2"/>
  <c r="H1678" i="2"/>
  <c r="G1678" i="2"/>
  <c r="F1678" i="2"/>
  <c r="D1678" i="2"/>
  <c r="B1678" i="2"/>
  <c r="A1678" i="2"/>
  <c r="T1677" i="2"/>
  <c r="S1677" i="2"/>
  <c r="R1677" i="2"/>
  <c r="Q1677" i="2"/>
  <c r="P1677" i="2"/>
  <c r="O1677" i="2"/>
  <c r="N1677" i="2"/>
  <c r="M1677" i="2"/>
  <c r="L1677" i="2"/>
  <c r="K1677" i="2"/>
  <c r="J1677" i="2"/>
  <c r="I1677" i="2"/>
  <c r="H1677" i="2"/>
  <c r="G1677" i="2"/>
  <c r="F1677" i="2"/>
  <c r="D1677" i="2"/>
  <c r="B1677" i="2"/>
  <c r="A1677" i="2"/>
  <c r="T1676" i="2"/>
  <c r="S1676" i="2"/>
  <c r="R1676" i="2"/>
  <c r="Q1676" i="2"/>
  <c r="P1676" i="2"/>
  <c r="O1676" i="2"/>
  <c r="N1676" i="2"/>
  <c r="M1676" i="2"/>
  <c r="L1676" i="2"/>
  <c r="K1676" i="2"/>
  <c r="J1676" i="2"/>
  <c r="I1676" i="2"/>
  <c r="H1676" i="2"/>
  <c r="G1676" i="2"/>
  <c r="F1676" i="2"/>
  <c r="D1676" i="2"/>
  <c r="B1676" i="2"/>
  <c r="A1676" i="2"/>
  <c r="T1675" i="2"/>
  <c r="S1675" i="2"/>
  <c r="R1675" i="2"/>
  <c r="Q1675" i="2"/>
  <c r="P1675" i="2"/>
  <c r="O1675" i="2"/>
  <c r="N1675" i="2"/>
  <c r="M1675" i="2"/>
  <c r="L1675" i="2"/>
  <c r="K1675" i="2"/>
  <c r="J1675" i="2"/>
  <c r="I1675" i="2"/>
  <c r="H1675" i="2"/>
  <c r="G1675" i="2"/>
  <c r="F1675" i="2"/>
  <c r="D1675" i="2"/>
  <c r="B1675" i="2"/>
  <c r="A1675" i="2"/>
  <c r="T1674" i="2"/>
  <c r="S1674" i="2"/>
  <c r="R1674" i="2"/>
  <c r="Q1674" i="2"/>
  <c r="P1674" i="2"/>
  <c r="O1674" i="2"/>
  <c r="N1674" i="2"/>
  <c r="M1674" i="2"/>
  <c r="L1674" i="2"/>
  <c r="K1674" i="2"/>
  <c r="J1674" i="2"/>
  <c r="I1674" i="2"/>
  <c r="H1674" i="2"/>
  <c r="G1674" i="2"/>
  <c r="F1674" i="2"/>
  <c r="D1674" i="2"/>
  <c r="B1674" i="2"/>
  <c r="A1674" i="2"/>
  <c r="T1673" i="2"/>
  <c r="S1673" i="2"/>
  <c r="R1673" i="2"/>
  <c r="Q1673" i="2"/>
  <c r="P1673" i="2"/>
  <c r="O1673" i="2"/>
  <c r="N1673" i="2"/>
  <c r="M1673" i="2"/>
  <c r="L1673" i="2"/>
  <c r="K1673" i="2"/>
  <c r="J1673" i="2"/>
  <c r="I1673" i="2"/>
  <c r="H1673" i="2"/>
  <c r="G1673" i="2"/>
  <c r="F1673" i="2"/>
  <c r="D1673" i="2"/>
  <c r="B1673" i="2"/>
  <c r="A1673" i="2"/>
  <c r="T1672" i="2"/>
  <c r="S1672" i="2"/>
  <c r="R1672" i="2"/>
  <c r="Q1672" i="2"/>
  <c r="P1672" i="2"/>
  <c r="O1672" i="2"/>
  <c r="N1672" i="2"/>
  <c r="M1672" i="2"/>
  <c r="L1672" i="2"/>
  <c r="K1672" i="2"/>
  <c r="J1672" i="2"/>
  <c r="I1672" i="2"/>
  <c r="H1672" i="2"/>
  <c r="G1672" i="2"/>
  <c r="F1672" i="2"/>
  <c r="D1672" i="2"/>
  <c r="B1672" i="2"/>
  <c r="A1672" i="2"/>
  <c r="T1671" i="2"/>
  <c r="S1671" i="2"/>
  <c r="R1671" i="2"/>
  <c r="Q1671" i="2"/>
  <c r="P1671" i="2"/>
  <c r="O1671" i="2"/>
  <c r="N1671" i="2"/>
  <c r="M1671" i="2"/>
  <c r="L1671" i="2"/>
  <c r="K1671" i="2"/>
  <c r="J1671" i="2"/>
  <c r="I1671" i="2"/>
  <c r="H1671" i="2"/>
  <c r="G1671" i="2"/>
  <c r="F1671" i="2"/>
  <c r="D1671" i="2"/>
  <c r="B1671" i="2"/>
  <c r="A1671" i="2"/>
  <c r="T1670" i="2"/>
  <c r="S1670" i="2"/>
  <c r="R1670" i="2"/>
  <c r="Q1670" i="2"/>
  <c r="P1670" i="2"/>
  <c r="O1670" i="2"/>
  <c r="N1670" i="2"/>
  <c r="M1670" i="2"/>
  <c r="L1670" i="2"/>
  <c r="K1670" i="2"/>
  <c r="J1670" i="2"/>
  <c r="I1670" i="2"/>
  <c r="H1670" i="2"/>
  <c r="G1670" i="2"/>
  <c r="F1670" i="2"/>
  <c r="D1670" i="2"/>
  <c r="B1670" i="2"/>
  <c r="A1670" i="2"/>
  <c r="T1669" i="2"/>
  <c r="S1669" i="2"/>
  <c r="R1669" i="2"/>
  <c r="Q1669" i="2"/>
  <c r="P1669" i="2"/>
  <c r="O1669" i="2"/>
  <c r="N1669" i="2"/>
  <c r="M1669" i="2"/>
  <c r="L1669" i="2"/>
  <c r="K1669" i="2"/>
  <c r="J1669" i="2"/>
  <c r="I1669" i="2"/>
  <c r="H1669" i="2"/>
  <c r="G1669" i="2"/>
  <c r="F1669" i="2"/>
  <c r="D1669" i="2"/>
  <c r="B1669" i="2"/>
  <c r="A1669" i="2"/>
  <c r="T1668" i="2"/>
  <c r="S1668" i="2"/>
  <c r="R1668" i="2"/>
  <c r="Q1668" i="2"/>
  <c r="P1668" i="2"/>
  <c r="O1668" i="2"/>
  <c r="N1668" i="2"/>
  <c r="M1668" i="2"/>
  <c r="L1668" i="2"/>
  <c r="K1668" i="2"/>
  <c r="J1668" i="2"/>
  <c r="I1668" i="2"/>
  <c r="H1668" i="2"/>
  <c r="G1668" i="2"/>
  <c r="F1668" i="2"/>
  <c r="D1668" i="2"/>
  <c r="B1668" i="2"/>
  <c r="A1668" i="2"/>
  <c r="T1667" i="2"/>
  <c r="S1667" i="2"/>
  <c r="R1667" i="2"/>
  <c r="Q1667" i="2"/>
  <c r="P1667" i="2"/>
  <c r="O1667" i="2"/>
  <c r="N1667" i="2"/>
  <c r="M1667" i="2"/>
  <c r="L1667" i="2"/>
  <c r="K1667" i="2"/>
  <c r="J1667" i="2"/>
  <c r="I1667" i="2"/>
  <c r="H1667" i="2"/>
  <c r="G1667" i="2"/>
  <c r="F1667" i="2"/>
  <c r="D1667" i="2"/>
  <c r="B1667" i="2"/>
  <c r="A1667" i="2"/>
  <c r="T1666" i="2"/>
  <c r="S1666" i="2"/>
  <c r="R1666" i="2"/>
  <c r="Q1666" i="2"/>
  <c r="P1666" i="2"/>
  <c r="O1666" i="2"/>
  <c r="N1666" i="2"/>
  <c r="M1666" i="2"/>
  <c r="L1666" i="2"/>
  <c r="K1666" i="2"/>
  <c r="J1666" i="2"/>
  <c r="I1666" i="2"/>
  <c r="H1666" i="2"/>
  <c r="G1666" i="2"/>
  <c r="F1666" i="2"/>
  <c r="D1666" i="2"/>
  <c r="B1666" i="2"/>
  <c r="A1666" i="2"/>
  <c r="T1665" i="2"/>
  <c r="S1665" i="2"/>
  <c r="R1665" i="2"/>
  <c r="Q1665" i="2"/>
  <c r="P1665" i="2"/>
  <c r="O1665" i="2"/>
  <c r="N1665" i="2"/>
  <c r="M1665" i="2"/>
  <c r="L1665" i="2"/>
  <c r="K1665" i="2"/>
  <c r="J1665" i="2"/>
  <c r="I1665" i="2"/>
  <c r="H1665" i="2"/>
  <c r="G1665" i="2"/>
  <c r="F1665" i="2"/>
  <c r="D1665" i="2"/>
  <c r="B1665" i="2"/>
  <c r="A1665" i="2"/>
  <c r="T1664" i="2"/>
  <c r="S1664" i="2"/>
  <c r="R1664" i="2"/>
  <c r="Q1664" i="2"/>
  <c r="P1664" i="2"/>
  <c r="O1664" i="2"/>
  <c r="N1664" i="2"/>
  <c r="M1664" i="2"/>
  <c r="L1664" i="2"/>
  <c r="K1664" i="2"/>
  <c r="J1664" i="2"/>
  <c r="I1664" i="2"/>
  <c r="H1664" i="2"/>
  <c r="G1664" i="2"/>
  <c r="F1664" i="2"/>
  <c r="D1664" i="2"/>
  <c r="B1664" i="2"/>
  <c r="A1664" i="2"/>
  <c r="T1663" i="2"/>
  <c r="S1663" i="2"/>
  <c r="R1663" i="2"/>
  <c r="Q1663" i="2"/>
  <c r="P1663" i="2"/>
  <c r="O1663" i="2"/>
  <c r="N1663" i="2"/>
  <c r="M1663" i="2"/>
  <c r="L1663" i="2"/>
  <c r="K1663" i="2"/>
  <c r="J1663" i="2"/>
  <c r="I1663" i="2"/>
  <c r="H1663" i="2"/>
  <c r="G1663" i="2"/>
  <c r="F1663" i="2"/>
  <c r="D1663" i="2"/>
  <c r="B1663" i="2"/>
  <c r="A1663" i="2"/>
  <c r="T1662" i="2"/>
  <c r="S1662" i="2"/>
  <c r="R1662" i="2"/>
  <c r="Q1662" i="2"/>
  <c r="P1662" i="2"/>
  <c r="O1662" i="2"/>
  <c r="N1662" i="2"/>
  <c r="M1662" i="2"/>
  <c r="L1662" i="2"/>
  <c r="K1662" i="2"/>
  <c r="J1662" i="2"/>
  <c r="I1662" i="2"/>
  <c r="H1662" i="2"/>
  <c r="G1662" i="2"/>
  <c r="F1662" i="2"/>
  <c r="D1662" i="2"/>
  <c r="B1662" i="2"/>
  <c r="A1662" i="2"/>
  <c r="T1661" i="2"/>
  <c r="S1661" i="2"/>
  <c r="R1661" i="2"/>
  <c r="Q1661" i="2"/>
  <c r="P1661" i="2"/>
  <c r="O1661" i="2"/>
  <c r="N1661" i="2"/>
  <c r="M1661" i="2"/>
  <c r="L1661" i="2"/>
  <c r="K1661" i="2"/>
  <c r="J1661" i="2"/>
  <c r="I1661" i="2"/>
  <c r="H1661" i="2"/>
  <c r="G1661" i="2"/>
  <c r="F1661" i="2"/>
  <c r="D1661" i="2"/>
  <c r="B1661" i="2"/>
  <c r="A1661" i="2"/>
  <c r="T1660" i="2"/>
  <c r="S1660" i="2"/>
  <c r="R1660" i="2"/>
  <c r="Q1660" i="2"/>
  <c r="P1660" i="2"/>
  <c r="O1660" i="2"/>
  <c r="N1660" i="2"/>
  <c r="M1660" i="2"/>
  <c r="L1660" i="2"/>
  <c r="K1660" i="2"/>
  <c r="J1660" i="2"/>
  <c r="I1660" i="2"/>
  <c r="H1660" i="2"/>
  <c r="G1660" i="2"/>
  <c r="F1660" i="2"/>
  <c r="D1660" i="2"/>
  <c r="B1660" i="2"/>
  <c r="A1660" i="2"/>
  <c r="T1659" i="2"/>
  <c r="S1659" i="2"/>
  <c r="R1659" i="2"/>
  <c r="Q1659" i="2"/>
  <c r="P1659" i="2"/>
  <c r="O1659" i="2"/>
  <c r="N1659" i="2"/>
  <c r="M1659" i="2"/>
  <c r="L1659" i="2"/>
  <c r="K1659" i="2"/>
  <c r="J1659" i="2"/>
  <c r="I1659" i="2"/>
  <c r="H1659" i="2"/>
  <c r="G1659" i="2"/>
  <c r="F1659" i="2"/>
  <c r="D1659" i="2"/>
  <c r="B1659" i="2"/>
  <c r="A1659" i="2"/>
  <c r="T1658" i="2"/>
  <c r="S1658" i="2"/>
  <c r="R1658" i="2"/>
  <c r="Q1658" i="2"/>
  <c r="P1658" i="2"/>
  <c r="O1658" i="2"/>
  <c r="N1658" i="2"/>
  <c r="M1658" i="2"/>
  <c r="L1658" i="2"/>
  <c r="K1658" i="2"/>
  <c r="J1658" i="2"/>
  <c r="I1658" i="2"/>
  <c r="H1658" i="2"/>
  <c r="G1658" i="2"/>
  <c r="F1658" i="2"/>
  <c r="D1658" i="2"/>
  <c r="B1658" i="2"/>
  <c r="A1658" i="2"/>
  <c r="T1657" i="2"/>
  <c r="S1657" i="2"/>
  <c r="R1657" i="2"/>
  <c r="Q1657" i="2"/>
  <c r="P1657" i="2"/>
  <c r="O1657" i="2"/>
  <c r="N1657" i="2"/>
  <c r="M1657" i="2"/>
  <c r="L1657" i="2"/>
  <c r="K1657" i="2"/>
  <c r="J1657" i="2"/>
  <c r="I1657" i="2"/>
  <c r="H1657" i="2"/>
  <c r="G1657" i="2"/>
  <c r="F1657" i="2"/>
  <c r="D1657" i="2"/>
  <c r="B1657" i="2"/>
  <c r="A1657" i="2"/>
  <c r="T1656" i="2"/>
  <c r="S1656" i="2"/>
  <c r="R1656" i="2"/>
  <c r="Q1656" i="2"/>
  <c r="P1656" i="2"/>
  <c r="O1656" i="2"/>
  <c r="N1656" i="2"/>
  <c r="M1656" i="2"/>
  <c r="L1656" i="2"/>
  <c r="K1656" i="2"/>
  <c r="J1656" i="2"/>
  <c r="I1656" i="2"/>
  <c r="H1656" i="2"/>
  <c r="G1656" i="2"/>
  <c r="F1656" i="2"/>
  <c r="D1656" i="2"/>
  <c r="B1656" i="2"/>
  <c r="A1656" i="2"/>
  <c r="T1655" i="2"/>
  <c r="S1655" i="2"/>
  <c r="R1655" i="2"/>
  <c r="Q1655" i="2"/>
  <c r="P1655" i="2"/>
  <c r="O1655" i="2"/>
  <c r="N1655" i="2"/>
  <c r="M1655" i="2"/>
  <c r="L1655" i="2"/>
  <c r="K1655" i="2"/>
  <c r="J1655" i="2"/>
  <c r="I1655" i="2"/>
  <c r="H1655" i="2"/>
  <c r="G1655" i="2"/>
  <c r="F1655" i="2"/>
  <c r="D1655" i="2"/>
  <c r="B1655" i="2"/>
  <c r="A1655" i="2"/>
  <c r="T1654" i="2"/>
  <c r="S1654" i="2"/>
  <c r="R1654" i="2"/>
  <c r="Q1654" i="2"/>
  <c r="P1654" i="2"/>
  <c r="O1654" i="2"/>
  <c r="N1654" i="2"/>
  <c r="M1654" i="2"/>
  <c r="L1654" i="2"/>
  <c r="K1654" i="2"/>
  <c r="J1654" i="2"/>
  <c r="I1654" i="2"/>
  <c r="H1654" i="2"/>
  <c r="G1654" i="2"/>
  <c r="F1654" i="2"/>
  <c r="D1654" i="2"/>
  <c r="B1654" i="2"/>
  <c r="A1654" i="2"/>
  <c r="T1653" i="2"/>
  <c r="S1653" i="2"/>
  <c r="R1653" i="2"/>
  <c r="Q1653" i="2"/>
  <c r="P1653" i="2"/>
  <c r="O1653" i="2"/>
  <c r="N1653" i="2"/>
  <c r="M1653" i="2"/>
  <c r="L1653" i="2"/>
  <c r="K1653" i="2"/>
  <c r="J1653" i="2"/>
  <c r="I1653" i="2"/>
  <c r="H1653" i="2"/>
  <c r="G1653" i="2"/>
  <c r="F1653" i="2"/>
  <c r="D1653" i="2"/>
  <c r="B1653" i="2"/>
  <c r="A1653" i="2"/>
  <c r="T1652" i="2"/>
  <c r="S1652" i="2"/>
  <c r="R1652" i="2"/>
  <c r="Q1652" i="2"/>
  <c r="P1652" i="2"/>
  <c r="O1652" i="2"/>
  <c r="N1652" i="2"/>
  <c r="M1652" i="2"/>
  <c r="L1652" i="2"/>
  <c r="K1652" i="2"/>
  <c r="J1652" i="2"/>
  <c r="I1652" i="2"/>
  <c r="H1652" i="2"/>
  <c r="G1652" i="2"/>
  <c r="F1652" i="2"/>
  <c r="D1652" i="2"/>
  <c r="B1652" i="2"/>
  <c r="A1652" i="2"/>
  <c r="T1651" i="2"/>
  <c r="S1651" i="2"/>
  <c r="R1651" i="2"/>
  <c r="Q1651" i="2"/>
  <c r="P1651" i="2"/>
  <c r="O1651" i="2"/>
  <c r="N1651" i="2"/>
  <c r="M1651" i="2"/>
  <c r="L1651" i="2"/>
  <c r="K1651" i="2"/>
  <c r="J1651" i="2"/>
  <c r="I1651" i="2"/>
  <c r="H1651" i="2"/>
  <c r="G1651" i="2"/>
  <c r="F1651" i="2"/>
  <c r="D1651" i="2"/>
  <c r="B1651" i="2"/>
  <c r="A1651" i="2"/>
  <c r="T1650" i="2"/>
  <c r="S1650" i="2"/>
  <c r="R1650" i="2"/>
  <c r="Q1650" i="2"/>
  <c r="P1650" i="2"/>
  <c r="O1650" i="2"/>
  <c r="N1650" i="2"/>
  <c r="M1650" i="2"/>
  <c r="L1650" i="2"/>
  <c r="K1650" i="2"/>
  <c r="J1650" i="2"/>
  <c r="I1650" i="2"/>
  <c r="H1650" i="2"/>
  <c r="G1650" i="2"/>
  <c r="F1650" i="2"/>
  <c r="D1650" i="2"/>
  <c r="B1650" i="2"/>
  <c r="A1650" i="2"/>
  <c r="T1649" i="2"/>
  <c r="S1649" i="2"/>
  <c r="R1649" i="2"/>
  <c r="Q1649" i="2"/>
  <c r="P1649" i="2"/>
  <c r="O1649" i="2"/>
  <c r="N1649" i="2"/>
  <c r="M1649" i="2"/>
  <c r="L1649" i="2"/>
  <c r="K1649" i="2"/>
  <c r="J1649" i="2"/>
  <c r="I1649" i="2"/>
  <c r="H1649" i="2"/>
  <c r="G1649" i="2"/>
  <c r="F1649" i="2"/>
  <c r="D1649" i="2"/>
  <c r="B1649" i="2"/>
  <c r="A1649" i="2"/>
  <c r="T1648" i="2"/>
  <c r="S1648" i="2"/>
  <c r="R1648" i="2"/>
  <c r="Q1648" i="2"/>
  <c r="P1648" i="2"/>
  <c r="O1648" i="2"/>
  <c r="N1648" i="2"/>
  <c r="M1648" i="2"/>
  <c r="L1648" i="2"/>
  <c r="K1648" i="2"/>
  <c r="J1648" i="2"/>
  <c r="I1648" i="2"/>
  <c r="H1648" i="2"/>
  <c r="G1648" i="2"/>
  <c r="F1648" i="2"/>
  <c r="D1648" i="2"/>
  <c r="B1648" i="2"/>
  <c r="A1648" i="2"/>
  <c r="T1647" i="2"/>
  <c r="S1647" i="2"/>
  <c r="R1647" i="2"/>
  <c r="Q1647" i="2"/>
  <c r="P1647" i="2"/>
  <c r="O1647" i="2"/>
  <c r="N1647" i="2"/>
  <c r="M1647" i="2"/>
  <c r="L1647" i="2"/>
  <c r="K1647" i="2"/>
  <c r="J1647" i="2"/>
  <c r="I1647" i="2"/>
  <c r="H1647" i="2"/>
  <c r="G1647" i="2"/>
  <c r="F1647" i="2"/>
  <c r="D1647" i="2"/>
  <c r="B1647" i="2"/>
  <c r="A1647" i="2"/>
  <c r="T1646" i="2"/>
  <c r="S1646" i="2"/>
  <c r="R1646" i="2"/>
  <c r="Q1646" i="2"/>
  <c r="P1646" i="2"/>
  <c r="O1646" i="2"/>
  <c r="N1646" i="2"/>
  <c r="M1646" i="2"/>
  <c r="L1646" i="2"/>
  <c r="K1646" i="2"/>
  <c r="J1646" i="2"/>
  <c r="I1646" i="2"/>
  <c r="H1646" i="2"/>
  <c r="G1646" i="2"/>
  <c r="F1646" i="2"/>
  <c r="D1646" i="2"/>
  <c r="B1646" i="2"/>
  <c r="A1646" i="2"/>
  <c r="T1645" i="2"/>
  <c r="S1645" i="2"/>
  <c r="R1645" i="2"/>
  <c r="Q1645" i="2"/>
  <c r="P1645" i="2"/>
  <c r="O1645" i="2"/>
  <c r="N1645" i="2"/>
  <c r="M1645" i="2"/>
  <c r="L1645" i="2"/>
  <c r="K1645" i="2"/>
  <c r="J1645" i="2"/>
  <c r="I1645" i="2"/>
  <c r="H1645" i="2"/>
  <c r="G1645" i="2"/>
  <c r="F1645" i="2"/>
  <c r="D1645" i="2"/>
  <c r="B1645" i="2"/>
  <c r="A1645" i="2"/>
  <c r="T1644" i="2"/>
  <c r="S1644" i="2"/>
  <c r="R1644" i="2"/>
  <c r="Q1644" i="2"/>
  <c r="P1644" i="2"/>
  <c r="O1644" i="2"/>
  <c r="N1644" i="2"/>
  <c r="M1644" i="2"/>
  <c r="L1644" i="2"/>
  <c r="K1644" i="2"/>
  <c r="J1644" i="2"/>
  <c r="I1644" i="2"/>
  <c r="H1644" i="2"/>
  <c r="G1644" i="2"/>
  <c r="F1644" i="2"/>
  <c r="D1644" i="2"/>
  <c r="B1644" i="2"/>
  <c r="A1644" i="2"/>
  <c r="T1643" i="2"/>
  <c r="S1643" i="2"/>
  <c r="R1643" i="2"/>
  <c r="Q1643" i="2"/>
  <c r="P1643" i="2"/>
  <c r="O1643" i="2"/>
  <c r="N1643" i="2"/>
  <c r="M1643" i="2"/>
  <c r="L1643" i="2"/>
  <c r="K1643" i="2"/>
  <c r="J1643" i="2"/>
  <c r="I1643" i="2"/>
  <c r="H1643" i="2"/>
  <c r="G1643" i="2"/>
  <c r="F1643" i="2"/>
  <c r="D1643" i="2"/>
  <c r="B1643" i="2"/>
  <c r="A1643" i="2"/>
  <c r="T1642" i="2"/>
  <c r="S1642" i="2"/>
  <c r="R1642" i="2"/>
  <c r="Q1642" i="2"/>
  <c r="P1642" i="2"/>
  <c r="O1642" i="2"/>
  <c r="N1642" i="2"/>
  <c r="M1642" i="2"/>
  <c r="L1642" i="2"/>
  <c r="K1642" i="2"/>
  <c r="J1642" i="2"/>
  <c r="I1642" i="2"/>
  <c r="H1642" i="2"/>
  <c r="G1642" i="2"/>
  <c r="F1642" i="2"/>
  <c r="D1642" i="2"/>
  <c r="B1642" i="2"/>
  <c r="A1642" i="2"/>
  <c r="T1641" i="2"/>
  <c r="S1641" i="2"/>
  <c r="R1641" i="2"/>
  <c r="Q1641" i="2"/>
  <c r="P1641" i="2"/>
  <c r="O1641" i="2"/>
  <c r="N1641" i="2"/>
  <c r="M1641" i="2"/>
  <c r="L1641" i="2"/>
  <c r="K1641" i="2"/>
  <c r="J1641" i="2"/>
  <c r="I1641" i="2"/>
  <c r="H1641" i="2"/>
  <c r="G1641" i="2"/>
  <c r="F1641" i="2"/>
  <c r="D1641" i="2"/>
  <c r="B1641" i="2"/>
  <c r="A1641" i="2"/>
  <c r="T1640" i="2"/>
  <c r="S1640" i="2"/>
  <c r="R1640" i="2"/>
  <c r="Q1640" i="2"/>
  <c r="P1640" i="2"/>
  <c r="O1640" i="2"/>
  <c r="N1640" i="2"/>
  <c r="M1640" i="2"/>
  <c r="L1640" i="2"/>
  <c r="K1640" i="2"/>
  <c r="J1640" i="2"/>
  <c r="I1640" i="2"/>
  <c r="H1640" i="2"/>
  <c r="G1640" i="2"/>
  <c r="F1640" i="2"/>
  <c r="D1640" i="2"/>
  <c r="B1640" i="2"/>
  <c r="A1640" i="2"/>
  <c r="T1639" i="2"/>
  <c r="S1639" i="2"/>
  <c r="R1639" i="2"/>
  <c r="Q1639" i="2"/>
  <c r="P1639" i="2"/>
  <c r="O1639" i="2"/>
  <c r="N1639" i="2"/>
  <c r="M1639" i="2"/>
  <c r="L1639" i="2"/>
  <c r="K1639" i="2"/>
  <c r="J1639" i="2"/>
  <c r="I1639" i="2"/>
  <c r="H1639" i="2"/>
  <c r="G1639" i="2"/>
  <c r="F1639" i="2"/>
  <c r="D1639" i="2"/>
  <c r="B1639" i="2"/>
  <c r="A1639" i="2"/>
  <c r="T1638" i="2"/>
  <c r="S1638" i="2"/>
  <c r="R1638" i="2"/>
  <c r="Q1638" i="2"/>
  <c r="P1638" i="2"/>
  <c r="O1638" i="2"/>
  <c r="N1638" i="2"/>
  <c r="M1638" i="2"/>
  <c r="L1638" i="2"/>
  <c r="K1638" i="2"/>
  <c r="J1638" i="2"/>
  <c r="I1638" i="2"/>
  <c r="H1638" i="2"/>
  <c r="G1638" i="2"/>
  <c r="F1638" i="2"/>
  <c r="D1638" i="2"/>
  <c r="B1638" i="2"/>
  <c r="A1638" i="2"/>
  <c r="T1637" i="2"/>
  <c r="S1637" i="2"/>
  <c r="R1637" i="2"/>
  <c r="Q1637" i="2"/>
  <c r="P1637" i="2"/>
  <c r="O1637" i="2"/>
  <c r="N1637" i="2"/>
  <c r="M1637" i="2"/>
  <c r="L1637" i="2"/>
  <c r="K1637" i="2"/>
  <c r="J1637" i="2"/>
  <c r="I1637" i="2"/>
  <c r="H1637" i="2"/>
  <c r="G1637" i="2"/>
  <c r="F1637" i="2"/>
  <c r="D1637" i="2"/>
  <c r="B1637" i="2"/>
  <c r="A1637" i="2"/>
  <c r="T1636" i="2"/>
  <c r="S1636" i="2"/>
  <c r="R1636" i="2"/>
  <c r="Q1636" i="2"/>
  <c r="P1636" i="2"/>
  <c r="O1636" i="2"/>
  <c r="N1636" i="2"/>
  <c r="M1636" i="2"/>
  <c r="L1636" i="2"/>
  <c r="K1636" i="2"/>
  <c r="J1636" i="2"/>
  <c r="I1636" i="2"/>
  <c r="H1636" i="2"/>
  <c r="G1636" i="2"/>
  <c r="F1636" i="2"/>
  <c r="D1636" i="2"/>
  <c r="B1636" i="2"/>
  <c r="A1636" i="2"/>
  <c r="T1635" i="2"/>
  <c r="S1635" i="2"/>
  <c r="R1635" i="2"/>
  <c r="Q1635" i="2"/>
  <c r="P1635" i="2"/>
  <c r="O1635" i="2"/>
  <c r="N1635" i="2"/>
  <c r="M1635" i="2"/>
  <c r="L1635" i="2"/>
  <c r="K1635" i="2"/>
  <c r="J1635" i="2"/>
  <c r="I1635" i="2"/>
  <c r="H1635" i="2"/>
  <c r="G1635" i="2"/>
  <c r="F1635" i="2"/>
  <c r="D1635" i="2"/>
  <c r="B1635" i="2"/>
  <c r="A1635" i="2"/>
  <c r="T1634" i="2"/>
  <c r="S1634" i="2"/>
  <c r="R1634" i="2"/>
  <c r="Q1634" i="2"/>
  <c r="P1634" i="2"/>
  <c r="O1634" i="2"/>
  <c r="N1634" i="2"/>
  <c r="M1634" i="2"/>
  <c r="L1634" i="2"/>
  <c r="K1634" i="2"/>
  <c r="J1634" i="2"/>
  <c r="I1634" i="2"/>
  <c r="H1634" i="2"/>
  <c r="G1634" i="2"/>
  <c r="F1634" i="2"/>
  <c r="D1634" i="2"/>
  <c r="B1634" i="2"/>
  <c r="A1634" i="2"/>
  <c r="T1633" i="2"/>
  <c r="S1633" i="2"/>
  <c r="R1633" i="2"/>
  <c r="Q1633" i="2"/>
  <c r="P1633" i="2"/>
  <c r="O1633" i="2"/>
  <c r="N1633" i="2"/>
  <c r="M1633" i="2"/>
  <c r="L1633" i="2"/>
  <c r="K1633" i="2"/>
  <c r="J1633" i="2"/>
  <c r="I1633" i="2"/>
  <c r="H1633" i="2"/>
  <c r="G1633" i="2"/>
  <c r="F1633" i="2"/>
  <c r="D1633" i="2"/>
  <c r="B1633" i="2"/>
  <c r="A1633" i="2"/>
  <c r="T1632" i="2"/>
  <c r="S1632" i="2"/>
  <c r="R1632" i="2"/>
  <c r="Q1632" i="2"/>
  <c r="P1632" i="2"/>
  <c r="O1632" i="2"/>
  <c r="N1632" i="2"/>
  <c r="M1632" i="2"/>
  <c r="L1632" i="2"/>
  <c r="K1632" i="2"/>
  <c r="J1632" i="2"/>
  <c r="I1632" i="2"/>
  <c r="H1632" i="2"/>
  <c r="G1632" i="2"/>
  <c r="F1632" i="2"/>
  <c r="D1632" i="2"/>
  <c r="B1632" i="2"/>
  <c r="A1632" i="2"/>
  <c r="T1631" i="2"/>
  <c r="S1631" i="2"/>
  <c r="R1631" i="2"/>
  <c r="Q1631" i="2"/>
  <c r="P1631" i="2"/>
  <c r="O1631" i="2"/>
  <c r="N1631" i="2"/>
  <c r="M1631" i="2"/>
  <c r="L1631" i="2"/>
  <c r="K1631" i="2"/>
  <c r="J1631" i="2"/>
  <c r="I1631" i="2"/>
  <c r="H1631" i="2"/>
  <c r="G1631" i="2"/>
  <c r="F1631" i="2"/>
  <c r="D1631" i="2"/>
  <c r="B1631" i="2"/>
  <c r="A1631" i="2"/>
  <c r="T1630" i="2"/>
  <c r="S1630" i="2"/>
  <c r="R1630" i="2"/>
  <c r="Q1630" i="2"/>
  <c r="P1630" i="2"/>
  <c r="O1630" i="2"/>
  <c r="N1630" i="2"/>
  <c r="M1630" i="2"/>
  <c r="L1630" i="2"/>
  <c r="K1630" i="2"/>
  <c r="J1630" i="2"/>
  <c r="I1630" i="2"/>
  <c r="H1630" i="2"/>
  <c r="G1630" i="2"/>
  <c r="F1630" i="2"/>
  <c r="D1630" i="2"/>
  <c r="B1630" i="2"/>
  <c r="A1630" i="2"/>
  <c r="T1629" i="2"/>
  <c r="S1629" i="2"/>
  <c r="R1629" i="2"/>
  <c r="Q1629" i="2"/>
  <c r="P1629" i="2"/>
  <c r="O1629" i="2"/>
  <c r="N1629" i="2"/>
  <c r="M1629" i="2"/>
  <c r="L1629" i="2"/>
  <c r="K1629" i="2"/>
  <c r="J1629" i="2"/>
  <c r="I1629" i="2"/>
  <c r="H1629" i="2"/>
  <c r="G1629" i="2"/>
  <c r="F1629" i="2"/>
  <c r="D1629" i="2"/>
  <c r="B1629" i="2"/>
  <c r="A1629" i="2"/>
  <c r="T1628" i="2"/>
  <c r="S1628" i="2"/>
  <c r="R1628" i="2"/>
  <c r="Q1628" i="2"/>
  <c r="P1628" i="2"/>
  <c r="O1628" i="2"/>
  <c r="N1628" i="2"/>
  <c r="M1628" i="2"/>
  <c r="L1628" i="2"/>
  <c r="K1628" i="2"/>
  <c r="J1628" i="2"/>
  <c r="I1628" i="2"/>
  <c r="H1628" i="2"/>
  <c r="G1628" i="2"/>
  <c r="F1628" i="2"/>
  <c r="D1628" i="2"/>
  <c r="B1628" i="2"/>
  <c r="A1628" i="2"/>
  <c r="T1627" i="2"/>
  <c r="S1627" i="2"/>
  <c r="R1627" i="2"/>
  <c r="Q1627" i="2"/>
  <c r="P1627" i="2"/>
  <c r="O1627" i="2"/>
  <c r="N1627" i="2"/>
  <c r="M1627" i="2"/>
  <c r="L1627" i="2"/>
  <c r="K1627" i="2"/>
  <c r="J1627" i="2"/>
  <c r="I1627" i="2"/>
  <c r="H1627" i="2"/>
  <c r="G1627" i="2"/>
  <c r="F1627" i="2"/>
  <c r="D1627" i="2"/>
  <c r="B1627" i="2"/>
  <c r="A1627" i="2"/>
  <c r="T1626" i="2"/>
  <c r="S1626" i="2"/>
  <c r="R1626" i="2"/>
  <c r="Q1626" i="2"/>
  <c r="P1626" i="2"/>
  <c r="O1626" i="2"/>
  <c r="N1626" i="2"/>
  <c r="M1626" i="2"/>
  <c r="L1626" i="2"/>
  <c r="K1626" i="2"/>
  <c r="J1626" i="2"/>
  <c r="I1626" i="2"/>
  <c r="H1626" i="2"/>
  <c r="G1626" i="2"/>
  <c r="F1626" i="2"/>
  <c r="D1626" i="2"/>
  <c r="B1626" i="2"/>
  <c r="A1626" i="2"/>
  <c r="T1625" i="2"/>
  <c r="S1625" i="2"/>
  <c r="R1625" i="2"/>
  <c r="Q1625" i="2"/>
  <c r="P1625" i="2"/>
  <c r="O1625" i="2"/>
  <c r="N1625" i="2"/>
  <c r="M1625" i="2"/>
  <c r="L1625" i="2"/>
  <c r="K1625" i="2"/>
  <c r="J1625" i="2"/>
  <c r="I1625" i="2"/>
  <c r="H1625" i="2"/>
  <c r="G1625" i="2"/>
  <c r="F1625" i="2"/>
  <c r="D1625" i="2"/>
  <c r="B1625" i="2"/>
  <c r="A1625" i="2"/>
  <c r="T1624" i="2"/>
  <c r="S1624" i="2"/>
  <c r="R1624" i="2"/>
  <c r="Q1624" i="2"/>
  <c r="P1624" i="2"/>
  <c r="O1624" i="2"/>
  <c r="N1624" i="2"/>
  <c r="M1624" i="2"/>
  <c r="L1624" i="2"/>
  <c r="K1624" i="2"/>
  <c r="J1624" i="2"/>
  <c r="I1624" i="2"/>
  <c r="H1624" i="2"/>
  <c r="G1624" i="2"/>
  <c r="F1624" i="2"/>
  <c r="D1624" i="2"/>
  <c r="B1624" i="2"/>
  <c r="A1624" i="2"/>
  <c r="T1623" i="2"/>
  <c r="S1623" i="2"/>
  <c r="R1623" i="2"/>
  <c r="Q1623" i="2"/>
  <c r="P1623" i="2"/>
  <c r="O1623" i="2"/>
  <c r="N1623" i="2"/>
  <c r="M1623" i="2"/>
  <c r="L1623" i="2"/>
  <c r="K1623" i="2"/>
  <c r="J1623" i="2"/>
  <c r="I1623" i="2"/>
  <c r="H1623" i="2"/>
  <c r="G1623" i="2"/>
  <c r="F1623" i="2"/>
  <c r="D1623" i="2"/>
  <c r="B1623" i="2"/>
  <c r="A1623" i="2"/>
  <c r="T1622" i="2"/>
  <c r="S1622" i="2"/>
  <c r="R1622" i="2"/>
  <c r="Q1622" i="2"/>
  <c r="P1622" i="2"/>
  <c r="O1622" i="2"/>
  <c r="N1622" i="2"/>
  <c r="M1622" i="2"/>
  <c r="L1622" i="2"/>
  <c r="K1622" i="2"/>
  <c r="J1622" i="2"/>
  <c r="I1622" i="2"/>
  <c r="H1622" i="2"/>
  <c r="G1622" i="2"/>
  <c r="F1622" i="2"/>
  <c r="D1622" i="2"/>
  <c r="B1622" i="2"/>
  <c r="A1622" i="2"/>
  <c r="T1621" i="2"/>
  <c r="S1621" i="2"/>
  <c r="R1621" i="2"/>
  <c r="Q1621" i="2"/>
  <c r="P1621" i="2"/>
  <c r="O1621" i="2"/>
  <c r="N1621" i="2"/>
  <c r="M1621" i="2"/>
  <c r="L1621" i="2"/>
  <c r="K1621" i="2"/>
  <c r="J1621" i="2"/>
  <c r="I1621" i="2"/>
  <c r="H1621" i="2"/>
  <c r="G1621" i="2"/>
  <c r="F1621" i="2"/>
  <c r="D1621" i="2"/>
  <c r="B1621" i="2"/>
  <c r="A1621" i="2"/>
  <c r="T1620" i="2"/>
  <c r="S1620" i="2"/>
  <c r="R1620" i="2"/>
  <c r="Q1620" i="2"/>
  <c r="P1620" i="2"/>
  <c r="O1620" i="2"/>
  <c r="N1620" i="2"/>
  <c r="M1620" i="2"/>
  <c r="L1620" i="2"/>
  <c r="K1620" i="2"/>
  <c r="J1620" i="2"/>
  <c r="I1620" i="2"/>
  <c r="H1620" i="2"/>
  <c r="G1620" i="2"/>
  <c r="F1620" i="2"/>
  <c r="D1620" i="2"/>
  <c r="B1620" i="2"/>
  <c r="A1620" i="2"/>
  <c r="T1619" i="2"/>
  <c r="S1619" i="2"/>
  <c r="R1619" i="2"/>
  <c r="Q1619" i="2"/>
  <c r="P1619" i="2"/>
  <c r="O1619" i="2"/>
  <c r="N1619" i="2"/>
  <c r="M1619" i="2"/>
  <c r="L1619" i="2"/>
  <c r="K1619" i="2"/>
  <c r="J1619" i="2"/>
  <c r="I1619" i="2"/>
  <c r="H1619" i="2"/>
  <c r="G1619" i="2"/>
  <c r="F1619" i="2"/>
  <c r="D1619" i="2"/>
  <c r="B1619" i="2"/>
  <c r="A1619" i="2"/>
  <c r="T1618" i="2"/>
  <c r="S1618" i="2"/>
  <c r="R1618" i="2"/>
  <c r="Q1618" i="2"/>
  <c r="P1618" i="2"/>
  <c r="O1618" i="2"/>
  <c r="N1618" i="2"/>
  <c r="M1618" i="2"/>
  <c r="L1618" i="2"/>
  <c r="K1618" i="2"/>
  <c r="J1618" i="2"/>
  <c r="I1618" i="2"/>
  <c r="H1618" i="2"/>
  <c r="G1618" i="2"/>
  <c r="F1618" i="2"/>
  <c r="D1618" i="2"/>
  <c r="B1618" i="2"/>
  <c r="A1618" i="2"/>
  <c r="T1617" i="2"/>
  <c r="S1617" i="2"/>
  <c r="R1617" i="2"/>
  <c r="Q1617" i="2"/>
  <c r="P1617" i="2"/>
  <c r="O1617" i="2"/>
  <c r="N1617" i="2"/>
  <c r="M1617" i="2"/>
  <c r="L1617" i="2"/>
  <c r="K1617" i="2"/>
  <c r="J1617" i="2"/>
  <c r="I1617" i="2"/>
  <c r="H1617" i="2"/>
  <c r="G1617" i="2"/>
  <c r="F1617" i="2"/>
  <c r="D1617" i="2"/>
  <c r="B1617" i="2"/>
  <c r="A1617" i="2"/>
  <c r="T1616" i="2"/>
  <c r="S1616" i="2"/>
  <c r="R1616" i="2"/>
  <c r="Q1616" i="2"/>
  <c r="P1616" i="2"/>
  <c r="O1616" i="2"/>
  <c r="N1616" i="2"/>
  <c r="M1616" i="2"/>
  <c r="L1616" i="2"/>
  <c r="K1616" i="2"/>
  <c r="J1616" i="2"/>
  <c r="I1616" i="2"/>
  <c r="H1616" i="2"/>
  <c r="G1616" i="2"/>
  <c r="F1616" i="2"/>
  <c r="D1616" i="2"/>
  <c r="B1616" i="2"/>
  <c r="A1616" i="2"/>
  <c r="T1615" i="2"/>
  <c r="S1615" i="2"/>
  <c r="R1615" i="2"/>
  <c r="Q1615" i="2"/>
  <c r="P1615" i="2"/>
  <c r="O1615" i="2"/>
  <c r="N1615" i="2"/>
  <c r="M1615" i="2"/>
  <c r="L1615" i="2"/>
  <c r="K1615" i="2"/>
  <c r="J1615" i="2"/>
  <c r="I1615" i="2"/>
  <c r="H1615" i="2"/>
  <c r="G1615" i="2"/>
  <c r="F1615" i="2"/>
  <c r="D1615" i="2"/>
  <c r="B1615" i="2"/>
  <c r="A1615" i="2"/>
  <c r="T1614" i="2"/>
  <c r="S1614" i="2"/>
  <c r="R1614" i="2"/>
  <c r="Q1614" i="2"/>
  <c r="P1614" i="2"/>
  <c r="O1614" i="2"/>
  <c r="N1614" i="2"/>
  <c r="M1614" i="2"/>
  <c r="L1614" i="2"/>
  <c r="K1614" i="2"/>
  <c r="J1614" i="2"/>
  <c r="I1614" i="2"/>
  <c r="H1614" i="2"/>
  <c r="G1614" i="2"/>
  <c r="F1614" i="2"/>
  <c r="D1614" i="2"/>
  <c r="B1614" i="2"/>
  <c r="A1614" i="2"/>
  <c r="T1613" i="2"/>
  <c r="S1613" i="2"/>
  <c r="R1613" i="2"/>
  <c r="Q1613" i="2"/>
  <c r="P1613" i="2"/>
  <c r="O1613" i="2"/>
  <c r="N1613" i="2"/>
  <c r="M1613" i="2"/>
  <c r="L1613" i="2"/>
  <c r="K1613" i="2"/>
  <c r="J1613" i="2"/>
  <c r="I1613" i="2"/>
  <c r="H1613" i="2"/>
  <c r="G1613" i="2"/>
  <c r="F1613" i="2"/>
  <c r="D1613" i="2"/>
  <c r="B1613" i="2"/>
  <c r="A1613" i="2"/>
  <c r="T1612" i="2"/>
  <c r="S1612" i="2"/>
  <c r="R1612" i="2"/>
  <c r="Q1612" i="2"/>
  <c r="P1612" i="2"/>
  <c r="O1612" i="2"/>
  <c r="N1612" i="2"/>
  <c r="M1612" i="2"/>
  <c r="L1612" i="2"/>
  <c r="K1612" i="2"/>
  <c r="J1612" i="2"/>
  <c r="I1612" i="2"/>
  <c r="H1612" i="2"/>
  <c r="G1612" i="2"/>
  <c r="F1612" i="2"/>
  <c r="D1612" i="2"/>
  <c r="B1612" i="2"/>
  <c r="A1612" i="2"/>
  <c r="T1611" i="2"/>
  <c r="S1611" i="2"/>
  <c r="R1611" i="2"/>
  <c r="Q1611" i="2"/>
  <c r="P1611" i="2"/>
  <c r="O1611" i="2"/>
  <c r="N1611" i="2"/>
  <c r="M1611" i="2"/>
  <c r="L1611" i="2"/>
  <c r="K1611" i="2"/>
  <c r="J1611" i="2"/>
  <c r="I1611" i="2"/>
  <c r="H1611" i="2"/>
  <c r="G1611" i="2"/>
  <c r="F1611" i="2"/>
  <c r="D1611" i="2"/>
  <c r="B1611" i="2"/>
  <c r="A1611" i="2"/>
  <c r="T1610" i="2"/>
  <c r="S1610" i="2"/>
  <c r="R1610" i="2"/>
  <c r="Q1610" i="2"/>
  <c r="P1610" i="2"/>
  <c r="O1610" i="2"/>
  <c r="N1610" i="2"/>
  <c r="M1610" i="2"/>
  <c r="L1610" i="2"/>
  <c r="K1610" i="2"/>
  <c r="J1610" i="2"/>
  <c r="I1610" i="2"/>
  <c r="H1610" i="2"/>
  <c r="G1610" i="2"/>
  <c r="F1610" i="2"/>
  <c r="D1610" i="2"/>
  <c r="B1610" i="2"/>
  <c r="A1610" i="2"/>
  <c r="T1609" i="2"/>
  <c r="S1609" i="2"/>
  <c r="R1609" i="2"/>
  <c r="Q1609" i="2"/>
  <c r="P1609" i="2"/>
  <c r="O1609" i="2"/>
  <c r="N1609" i="2"/>
  <c r="M1609" i="2"/>
  <c r="L1609" i="2"/>
  <c r="K1609" i="2"/>
  <c r="J1609" i="2"/>
  <c r="I1609" i="2"/>
  <c r="H1609" i="2"/>
  <c r="G1609" i="2"/>
  <c r="F1609" i="2"/>
  <c r="D1609" i="2"/>
  <c r="B1609" i="2"/>
  <c r="A1609" i="2"/>
  <c r="T1608" i="2"/>
  <c r="S1608" i="2"/>
  <c r="R1608" i="2"/>
  <c r="Q1608" i="2"/>
  <c r="P1608" i="2"/>
  <c r="O1608" i="2"/>
  <c r="N1608" i="2"/>
  <c r="M1608" i="2"/>
  <c r="L1608" i="2"/>
  <c r="K1608" i="2"/>
  <c r="J1608" i="2"/>
  <c r="I1608" i="2"/>
  <c r="H1608" i="2"/>
  <c r="G1608" i="2"/>
  <c r="F1608" i="2"/>
  <c r="D1608" i="2"/>
  <c r="B1608" i="2"/>
  <c r="A1608" i="2"/>
  <c r="T1607" i="2"/>
  <c r="S1607" i="2"/>
  <c r="R1607" i="2"/>
  <c r="Q1607" i="2"/>
  <c r="P1607" i="2"/>
  <c r="O1607" i="2"/>
  <c r="N1607" i="2"/>
  <c r="M1607" i="2"/>
  <c r="L1607" i="2"/>
  <c r="K1607" i="2"/>
  <c r="J1607" i="2"/>
  <c r="I1607" i="2"/>
  <c r="H1607" i="2"/>
  <c r="G1607" i="2"/>
  <c r="F1607" i="2"/>
  <c r="D1607" i="2"/>
  <c r="B1607" i="2"/>
  <c r="A1607" i="2"/>
  <c r="T1606" i="2"/>
  <c r="S1606" i="2"/>
  <c r="R1606" i="2"/>
  <c r="Q1606" i="2"/>
  <c r="P1606" i="2"/>
  <c r="O1606" i="2"/>
  <c r="N1606" i="2"/>
  <c r="M1606" i="2"/>
  <c r="L1606" i="2"/>
  <c r="K1606" i="2"/>
  <c r="J1606" i="2"/>
  <c r="I1606" i="2"/>
  <c r="H1606" i="2"/>
  <c r="G1606" i="2"/>
  <c r="F1606" i="2"/>
  <c r="D1606" i="2"/>
  <c r="B1606" i="2"/>
  <c r="A1606" i="2"/>
  <c r="T1605" i="2"/>
  <c r="S1605" i="2"/>
  <c r="R1605" i="2"/>
  <c r="Q1605" i="2"/>
  <c r="P1605" i="2"/>
  <c r="O1605" i="2"/>
  <c r="N1605" i="2"/>
  <c r="M1605" i="2"/>
  <c r="L1605" i="2"/>
  <c r="K1605" i="2"/>
  <c r="J1605" i="2"/>
  <c r="I1605" i="2"/>
  <c r="H1605" i="2"/>
  <c r="G1605" i="2"/>
  <c r="F1605" i="2"/>
  <c r="D1605" i="2"/>
  <c r="B1605" i="2"/>
  <c r="A1605" i="2"/>
  <c r="T1604" i="2"/>
  <c r="S1604" i="2"/>
  <c r="R1604" i="2"/>
  <c r="Q1604" i="2"/>
  <c r="P1604" i="2"/>
  <c r="O1604" i="2"/>
  <c r="N1604" i="2"/>
  <c r="M1604" i="2"/>
  <c r="L1604" i="2"/>
  <c r="K1604" i="2"/>
  <c r="J1604" i="2"/>
  <c r="I1604" i="2"/>
  <c r="H1604" i="2"/>
  <c r="G1604" i="2"/>
  <c r="F1604" i="2"/>
  <c r="D1604" i="2"/>
  <c r="B1604" i="2"/>
  <c r="A1604" i="2"/>
  <c r="T1603" i="2"/>
  <c r="S1603" i="2"/>
  <c r="R1603" i="2"/>
  <c r="Q1603" i="2"/>
  <c r="P1603" i="2"/>
  <c r="O1603" i="2"/>
  <c r="N1603" i="2"/>
  <c r="M1603" i="2"/>
  <c r="L1603" i="2"/>
  <c r="K1603" i="2"/>
  <c r="J1603" i="2"/>
  <c r="I1603" i="2"/>
  <c r="H1603" i="2"/>
  <c r="G1603" i="2"/>
  <c r="F1603" i="2"/>
  <c r="D1603" i="2"/>
  <c r="B1603" i="2"/>
  <c r="A1603" i="2"/>
  <c r="T1602" i="2"/>
  <c r="S1602" i="2"/>
  <c r="R1602" i="2"/>
  <c r="Q1602" i="2"/>
  <c r="P1602" i="2"/>
  <c r="O1602" i="2"/>
  <c r="N1602" i="2"/>
  <c r="M1602" i="2"/>
  <c r="L1602" i="2"/>
  <c r="K1602" i="2"/>
  <c r="J1602" i="2"/>
  <c r="I1602" i="2"/>
  <c r="H1602" i="2"/>
  <c r="G1602" i="2"/>
  <c r="F1602" i="2"/>
  <c r="D1602" i="2"/>
  <c r="B1602" i="2"/>
  <c r="A1602" i="2"/>
  <c r="T1601" i="2"/>
  <c r="S1601" i="2"/>
  <c r="R1601" i="2"/>
  <c r="Q1601" i="2"/>
  <c r="P1601" i="2"/>
  <c r="O1601" i="2"/>
  <c r="N1601" i="2"/>
  <c r="M1601" i="2"/>
  <c r="L1601" i="2"/>
  <c r="K1601" i="2"/>
  <c r="J1601" i="2"/>
  <c r="I1601" i="2"/>
  <c r="H1601" i="2"/>
  <c r="G1601" i="2"/>
  <c r="F1601" i="2"/>
  <c r="D1601" i="2"/>
  <c r="B1601" i="2"/>
  <c r="A1601" i="2"/>
  <c r="T1600" i="2"/>
  <c r="S1600" i="2"/>
  <c r="R1600" i="2"/>
  <c r="Q1600" i="2"/>
  <c r="P1600" i="2"/>
  <c r="O1600" i="2"/>
  <c r="N1600" i="2"/>
  <c r="M1600" i="2"/>
  <c r="L1600" i="2"/>
  <c r="K1600" i="2"/>
  <c r="J1600" i="2"/>
  <c r="I1600" i="2"/>
  <c r="H1600" i="2"/>
  <c r="G1600" i="2"/>
  <c r="F1600" i="2"/>
  <c r="D1600" i="2"/>
  <c r="B1600" i="2"/>
  <c r="A1600" i="2"/>
  <c r="T1599" i="2"/>
  <c r="S1599" i="2"/>
  <c r="R1599" i="2"/>
  <c r="Q1599" i="2"/>
  <c r="P1599" i="2"/>
  <c r="O1599" i="2"/>
  <c r="N1599" i="2"/>
  <c r="M1599" i="2"/>
  <c r="L1599" i="2"/>
  <c r="K1599" i="2"/>
  <c r="J1599" i="2"/>
  <c r="I1599" i="2"/>
  <c r="H1599" i="2"/>
  <c r="G1599" i="2"/>
  <c r="F1599" i="2"/>
  <c r="D1599" i="2"/>
  <c r="B1599" i="2"/>
  <c r="A1599" i="2"/>
  <c r="T1598" i="2"/>
  <c r="S1598" i="2"/>
  <c r="R1598" i="2"/>
  <c r="Q1598" i="2"/>
  <c r="P1598" i="2"/>
  <c r="O1598" i="2"/>
  <c r="N1598" i="2"/>
  <c r="M1598" i="2"/>
  <c r="L1598" i="2"/>
  <c r="K1598" i="2"/>
  <c r="J1598" i="2"/>
  <c r="I1598" i="2"/>
  <c r="H1598" i="2"/>
  <c r="G1598" i="2"/>
  <c r="F1598" i="2"/>
  <c r="D1598" i="2"/>
  <c r="B1598" i="2"/>
  <c r="A1598" i="2"/>
  <c r="T1597" i="2"/>
  <c r="S1597" i="2"/>
  <c r="R1597" i="2"/>
  <c r="Q1597" i="2"/>
  <c r="P1597" i="2"/>
  <c r="O1597" i="2"/>
  <c r="N1597" i="2"/>
  <c r="M1597" i="2"/>
  <c r="L1597" i="2"/>
  <c r="K1597" i="2"/>
  <c r="J1597" i="2"/>
  <c r="I1597" i="2"/>
  <c r="H1597" i="2"/>
  <c r="G1597" i="2"/>
  <c r="F1597" i="2"/>
  <c r="D1597" i="2"/>
  <c r="B1597" i="2"/>
  <c r="A1597" i="2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H1596" i="2"/>
  <c r="G1596" i="2"/>
  <c r="F1596" i="2"/>
  <c r="D1596" i="2"/>
  <c r="B1596" i="2"/>
  <c r="A1596" i="2"/>
  <c r="T1595" i="2"/>
  <c r="S1595" i="2"/>
  <c r="R1595" i="2"/>
  <c r="Q1595" i="2"/>
  <c r="P1595" i="2"/>
  <c r="O1595" i="2"/>
  <c r="N1595" i="2"/>
  <c r="M1595" i="2"/>
  <c r="L1595" i="2"/>
  <c r="K1595" i="2"/>
  <c r="J1595" i="2"/>
  <c r="I1595" i="2"/>
  <c r="H1595" i="2"/>
  <c r="G1595" i="2"/>
  <c r="F1595" i="2"/>
  <c r="D1595" i="2"/>
  <c r="B1595" i="2"/>
  <c r="A1595" i="2"/>
  <c r="T1594" i="2"/>
  <c r="S1594" i="2"/>
  <c r="R1594" i="2"/>
  <c r="Q1594" i="2"/>
  <c r="P1594" i="2"/>
  <c r="O1594" i="2"/>
  <c r="N1594" i="2"/>
  <c r="M1594" i="2"/>
  <c r="L1594" i="2"/>
  <c r="K1594" i="2"/>
  <c r="J1594" i="2"/>
  <c r="I1594" i="2"/>
  <c r="H1594" i="2"/>
  <c r="G1594" i="2"/>
  <c r="F1594" i="2"/>
  <c r="D1594" i="2"/>
  <c r="B1594" i="2"/>
  <c r="A1594" i="2"/>
  <c r="T1593" i="2"/>
  <c r="S1593" i="2"/>
  <c r="R1593" i="2"/>
  <c r="Q1593" i="2"/>
  <c r="P1593" i="2"/>
  <c r="O1593" i="2"/>
  <c r="N1593" i="2"/>
  <c r="M1593" i="2"/>
  <c r="L1593" i="2"/>
  <c r="K1593" i="2"/>
  <c r="J1593" i="2"/>
  <c r="I1593" i="2"/>
  <c r="H1593" i="2"/>
  <c r="G1593" i="2"/>
  <c r="F1593" i="2"/>
  <c r="D1593" i="2"/>
  <c r="B1593" i="2"/>
  <c r="A1593" i="2"/>
  <c r="T1592" i="2"/>
  <c r="S1592" i="2"/>
  <c r="R1592" i="2"/>
  <c r="Q1592" i="2"/>
  <c r="P1592" i="2"/>
  <c r="O1592" i="2"/>
  <c r="N1592" i="2"/>
  <c r="M1592" i="2"/>
  <c r="L1592" i="2"/>
  <c r="K1592" i="2"/>
  <c r="J1592" i="2"/>
  <c r="I1592" i="2"/>
  <c r="H1592" i="2"/>
  <c r="G1592" i="2"/>
  <c r="F1592" i="2"/>
  <c r="D1592" i="2"/>
  <c r="B1592" i="2"/>
  <c r="A1592" i="2"/>
  <c r="T1591" i="2"/>
  <c r="S1591" i="2"/>
  <c r="R1591" i="2"/>
  <c r="Q1591" i="2"/>
  <c r="P1591" i="2"/>
  <c r="O1591" i="2"/>
  <c r="N1591" i="2"/>
  <c r="M1591" i="2"/>
  <c r="L1591" i="2"/>
  <c r="K1591" i="2"/>
  <c r="J1591" i="2"/>
  <c r="I1591" i="2"/>
  <c r="H1591" i="2"/>
  <c r="G1591" i="2"/>
  <c r="F1591" i="2"/>
  <c r="D1591" i="2"/>
  <c r="B1591" i="2"/>
  <c r="A1591" i="2"/>
  <c r="T1590" i="2"/>
  <c r="S1590" i="2"/>
  <c r="R1590" i="2"/>
  <c r="Q1590" i="2"/>
  <c r="P1590" i="2"/>
  <c r="O1590" i="2"/>
  <c r="N1590" i="2"/>
  <c r="M1590" i="2"/>
  <c r="L1590" i="2"/>
  <c r="K1590" i="2"/>
  <c r="J1590" i="2"/>
  <c r="I1590" i="2"/>
  <c r="H1590" i="2"/>
  <c r="G1590" i="2"/>
  <c r="F1590" i="2"/>
  <c r="D1590" i="2"/>
  <c r="B1590" i="2"/>
  <c r="A1590" i="2"/>
  <c r="T1589" i="2"/>
  <c r="S1589" i="2"/>
  <c r="R1589" i="2"/>
  <c r="Q1589" i="2"/>
  <c r="P1589" i="2"/>
  <c r="O1589" i="2"/>
  <c r="N1589" i="2"/>
  <c r="M1589" i="2"/>
  <c r="L1589" i="2"/>
  <c r="K1589" i="2"/>
  <c r="J1589" i="2"/>
  <c r="I1589" i="2"/>
  <c r="H1589" i="2"/>
  <c r="G1589" i="2"/>
  <c r="F1589" i="2"/>
  <c r="D1589" i="2"/>
  <c r="B1589" i="2"/>
  <c r="A1589" i="2"/>
  <c r="T1588" i="2"/>
  <c r="S1588" i="2"/>
  <c r="R1588" i="2"/>
  <c r="Q1588" i="2"/>
  <c r="P1588" i="2"/>
  <c r="O1588" i="2"/>
  <c r="N1588" i="2"/>
  <c r="M1588" i="2"/>
  <c r="L1588" i="2"/>
  <c r="K1588" i="2"/>
  <c r="J1588" i="2"/>
  <c r="I1588" i="2"/>
  <c r="H1588" i="2"/>
  <c r="G1588" i="2"/>
  <c r="F1588" i="2"/>
  <c r="D1588" i="2"/>
  <c r="B1588" i="2"/>
  <c r="A1588" i="2"/>
  <c r="T1587" i="2"/>
  <c r="S1587" i="2"/>
  <c r="R1587" i="2"/>
  <c r="Q1587" i="2"/>
  <c r="P1587" i="2"/>
  <c r="O1587" i="2"/>
  <c r="N1587" i="2"/>
  <c r="M1587" i="2"/>
  <c r="L1587" i="2"/>
  <c r="K1587" i="2"/>
  <c r="J1587" i="2"/>
  <c r="I1587" i="2"/>
  <c r="H1587" i="2"/>
  <c r="G1587" i="2"/>
  <c r="F1587" i="2"/>
  <c r="D1587" i="2"/>
  <c r="B1587" i="2"/>
  <c r="A1587" i="2"/>
  <c r="T1586" i="2"/>
  <c r="S1586" i="2"/>
  <c r="R1586" i="2"/>
  <c r="Q1586" i="2"/>
  <c r="P1586" i="2"/>
  <c r="O1586" i="2"/>
  <c r="N1586" i="2"/>
  <c r="M1586" i="2"/>
  <c r="L1586" i="2"/>
  <c r="K1586" i="2"/>
  <c r="J1586" i="2"/>
  <c r="I1586" i="2"/>
  <c r="H1586" i="2"/>
  <c r="G1586" i="2"/>
  <c r="F1586" i="2"/>
  <c r="D1586" i="2"/>
  <c r="B1586" i="2"/>
  <c r="A1586" i="2"/>
  <c r="T1585" i="2"/>
  <c r="S1585" i="2"/>
  <c r="R1585" i="2"/>
  <c r="Q1585" i="2"/>
  <c r="P1585" i="2"/>
  <c r="O1585" i="2"/>
  <c r="N1585" i="2"/>
  <c r="M1585" i="2"/>
  <c r="L1585" i="2"/>
  <c r="K1585" i="2"/>
  <c r="J1585" i="2"/>
  <c r="I1585" i="2"/>
  <c r="H1585" i="2"/>
  <c r="G1585" i="2"/>
  <c r="F1585" i="2"/>
  <c r="D1585" i="2"/>
  <c r="B1585" i="2"/>
  <c r="A1585" i="2"/>
  <c r="T1584" i="2"/>
  <c r="S1584" i="2"/>
  <c r="R1584" i="2"/>
  <c r="Q1584" i="2"/>
  <c r="P1584" i="2"/>
  <c r="O1584" i="2"/>
  <c r="N1584" i="2"/>
  <c r="M1584" i="2"/>
  <c r="L1584" i="2"/>
  <c r="K1584" i="2"/>
  <c r="J1584" i="2"/>
  <c r="I1584" i="2"/>
  <c r="H1584" i="2"/>
  <c r="G1584" i="2"/>
  <c r="F1584" i="2"/>
  <c r="D1584" i="2"/>
  <c r="B1584" i="2"/>
  <c r="A1584" i="2"/>
  <c r="T1583" i="2"/>
  <c r="S1583" i="2"/>
  <c r="R1583" i="2"/>
  <c r="Q1583" i="2"/>
  <c r="P1583" i="2"/>
  <c r="O1583" i="2"/>
  <c r="N1583" i="2"/>
  <c r="M1583" i="2"/>
  <c r="L1583" i="2"/>
  <c r="K1583" i="2"/>
  <c r="J1583" i="2"/>
  <c r="I1583" i="2"/>
  <c r="H1583" i="2"/>
  <c r="G1583" i="2"/>
  <c r="F1583" i="2"/>
  <c r="D1583" i="2"/>
  <c r="B1583" i="2"/>
  <c r="A1583" i="2"/>
  <c r="T1582" i="2"/>
  <c r="S1582" i="2"/>
  <c r="R1582" i="2"/>
  <c r="Q1582" i="2"/>
  <c r="P1582" i="2"/>
  <c r="O1582" i="2"/>
  <c r="N1582" i="2"/>
  <c r="M1582" i="2"/>
  <c r="L1582" i="2"/>
  <c r="K1582" i="2"/>
  <c r="J1582" i="2"/>
  <c r="I1582" i="2"/>
  <c r="H1582" i="2"/>
  <c r="G1582" i="2"/>
  <c r="F1582" i="2"/>
  <c r="D1582" i="2"/>
  <c r="B1582" i="2"/>
  <c r="A1582" i="2"/>
  <c r="T1581" i="2"/>
  <c r="S1581" i="2"/>
  <c r="R1581" i="2"/>
  <c r="Q1581" i="2"/>
  <c r="P1581" i="2"/>
  <c r="O1581" i="2"/>
  <c r="N1581" i="2"/>
  <c r="M1581" i="2"/>
  <c r="L1581" i="2"/>
  <c r="K1581" i="2"/>
  <c r="J1581" i="2"/>
  <c r="I1581" i="2"/>
  <c r="H1581" i="2"/>
  <c r="G1581" i="2"/>
  <c r="F1581" i="2"/>
  <c r="D1581" i="2"/>
  <c r="B1581" i="2"/>
  <c r="A1581" i="2"/>
  <c r="T1580" i="2"/>
  <c r="S1580" i="2"/>
  <c r="R1580" i="2"/>
  <c r="Q1580" i="2"/>
  <c r="P1580" i="2"/>
  <c r="O1580" i="2"/>
  <c r="N1580" i="2"/>
  <c r="M1580" i="2"/>
  <c r="L1580" i="2"/>
  <c r="K1580" i="2"/>
  <c r="J1580" i="2"/>
  <c r="I1580" i="2"/>
  <c r="H1580" i="2"/>
  <c r="G1580" i="2"/>
  <c r="F1580" i="2"/>
  <c r="D1580" i="2"/>
  <c r="B1580" i="2"/>
  <c r="A1580" i="2"/>
  <c r="T1579" i="2"/>
  <c r="S1579" i="2"/>
  <c r="R1579" i="2"/>
  <c r="Q1579" i="2"/>
  <c r="P1579" i="2"/>
  <c r="O1579" i="2"/>
  <c r="N1579" i="2"/>
  <c r="M1579" i="2"/>
  <c r="L1579" i="2"/>
  <c r="K1579" i="2"/>
  <c r="J1579" i="2"/>
  <c r="I1579" i="2"/>
  <c r="H1579" i="2"/>
  <c r="G1579" i="2"/>
  <c r="F1579" i="2"/>
  <c r="D1579" i="2"/>
  <c r="B1579" i="2"/>
  <c r="A1579" i="2"/>
  <c r="T1578" i="2"/>
  <c r="S1578" i="2"/>
  <c r="R1578" i="2"/>
  <c r="Q1578" i="2"/>
  <c r="P1578" i="2"/>
  <c r="O1578" i="2"/>
  <c r="N1578" i="2"/>
  <c r="M1578" i="2"/>
  <c r="L1578" i="2"/>
  <c r="K1578" i="2"/>
  <c r="J1578" i="2"/>
  <c r="I1578" i="2"/>
  <c r="H1578" i="2"/>
  <c r="G1578" i="2"/>
  <c r="F1578" i="2"/>
  <c r="D1578" i="2"/>
  <c r="B1578" i="2"/>
  <c r="A1578" i="2"/>
  <c r="T1577" i="2"/>
  <c r="S1577" i="2"/>
  <c r="R1577" i="2"/>
  <c r="Q1577" i="2"/>
  <c r="P1577" i="2"/>
  <c r="O1577" i="2"/>
  <c r="N1577" i="2"/>
  <c r="M1577" i="2"/>
  <c r="L1577" i="2"/>
  <c r="K1577" i="2"/>
  <c r="J1577" i="2"/>
  <c r="I1577" i="2"/>
  <c r="H1577" i="2"/>
  <c r="G1577" i="2"/>
  <c r="F1577" i="2"/>
  <c r="D1577" i="2"/>
  <c r="B1577" i="2"/>
  <c r="A1577" i="2"/>
  <c r="T1576" i="2"/>
  <c r="S1576" i="2"/>
  <c r="R1576" i="2"/>
  <c r="Q1576" i="2"/>
  <c r="P1576" i="2"/>
  <c r="O1576" i="2"/>
  <c r="N1576" i="2"/>
  <c r="M1576" i="2"/>
  <c r="L1576" i="2"/>
  <c r="K1576" i="2"/>
  <c r="J1576" i="2"/>
  <c r="I1576" i="2"/>
  <c r="H1576" i="2"/>
  <c r="G1576" i="2"/>
  <c r="F1576" i="2"/>
  <c r="D1576" i="2"/>
  <c r="B1576" i="2"/>
  <c r="A1576" i="2"/>
  <c r="T1575" i="2"/>
  <c r="S1575" i="2"/>
  <c r="R1575" i="2"/>
  <c r="Q1575" i="2"/>
  <c r="P1575" i="2"/>
  <c r="O1575" i="2"/>
  <c r="N1575" i="2"/>
  <c r="M1575" i="2"/>
  <c r="L1575" i="2"/>
  <c r="K1575" i="2"/>
  <c r="J1575" i="2"/>
  <c r="I1575" i="2"/>
  <c r="H1575" i="2"/>
  <c r="G1575" i="2"/>
  <c r="F1575" i="2"/>
  <c r="D1575" i="2"/>
  <c r="B1575" i="2"/>
  <c r="A1575" i="2"/>
  <c r="T1574" i="2"/>
  <c r="S1574" i="2"/>
  <c r="R1574" i="2"/>
  <c r="Q1574" i="2"/>
  <c r="P1574" i="2"/>
  <c r="O1574" i="2"/>
  <c r="N1574" i="2"/>
  <c r="M1574" i="2"/>
  <c r="L1574" i="2"/>
  <c r="K1574" i="2"/>
  <c r="J1574" i="2"/>
  <c r="I1574" i="2"/>
  <c r="H1574" i="2"/>
  <c r="G1574" i="2"/>
  <c r="F1574" i="2"/>
  <c r="D1574" i="2"/>
  <c r="B1574" i="2"/>
  <c r="A1574" i="2"/>
  <c r="T1573" i="2"/>
  <c r="S1573" i="2"/>
  <c r="R1573" i="2"/>
  <c r="Q1573" i="2"/>
  <c r="P1573" i="2"/>
  <c r="O1573" i="2"/>
  <c r="N1573" i="2"/>
  <c r="M1573" i="2"/>
  <c r="L1573" i="2"/>
  <c r="K1573" i="2"/>
  <c r="J1573" i="2"/>
  <c r="I1573" i="2"/>
  <c r="H1573" i="2"/>
  <c r="G1573" i="2"/>
  <c r="F1573" i="2"/>
  <c r="D1573" i="2"/>
  <c r="B1573" i="2"/>
  <c r="A1573" i="2"/>
  <c r="T1572" i="2"/>
  <c r="S1572" i="2"/>
  <c r="R1572" i="2"/>
  <c r="Q1572" i="2"/>
  <c r="P1572" i="2"/>
  <c r="O1572" i="2"/>
  <c r="N1572" i="2"/>
  <c r="M1572" i="2"/>
  <c r="L1572" i="2"/>
  <c r="K1572" i="2"/>
  <c r="J1572" i="2"/>
  <c r="I1572" i="2"/>
  <c r="H1572" i="2"/>
  <c r="G1572" i="2"/>
  <c r="F1572" i="2"/>
  <c r="D1572" i="2"/>
  <c r="B1572" i="2"/>
  <c r="A1572" i="2"/>
  <c r="T1571" i="2"/>
  <c r="S1571" i="2"/>
  <c r="R1571" i="2"/>
  <c r="Q1571" i="2"/>
  <c r="P1571" i="2"/>
  <c r="O1571" i="2"/>
  <c r="N1571" i="2"/>
  <c r="M1571" i="2"/>
  <c r="L1571" i="2"/>
  <c r="K1571" i="2"/>
  <c r="J1571" i="2"/>
  <c r="I1571" i="2"/>
  <c r="H1571" i="2"/>
  <c r="G1571" i="2"/>
  <c r="F1571" i="2"/>
  <c r="D1571" i="2"/>
  <c r="B1571" i="2"/>
  <c r="A1571" i="2"/>
  <c r="T1570" i="2"/>
  <c r="S1570" i="2"/>
  <c r="R1570" i="2"/>
  <c r="Q1570" i="2"/>
  <c r="P1570" i="2"/>
  <c r="O1570" i="2"/>
  <c r="N1570" i="2"/>
  <c r="M1570" i="2"/>
  <c r="L1570" i="2"/>
  <c r="K1570" i="2"/>
  <c r="J1570" i="2"/>
  <c r="I1570" i="2"/>
  <c r="H1570" i="2"/>
  <c r="G1570" i="2"/>
  <c r="F1570" i="2"/>
  <c r="D1570" i="2"/>
  <c r="B1570" i="2"/>
  <c r="A1570" i="2"/>
  <c r="T1569" i="2"/>
  <c r="S1569" i="2"/>
  <c r="R1569" i="2"/>
  <c r="Q1569" i="2"/>
  <c r="P1569" i="2"/>
  <c r="O1569" i="2"/>
  <c r="N1569" i="2"/>
  <c r="M1569" i="2"/>
  <c r="L1569" i="2"/>
  <c r="K1569" i="2"/>
  <c r="J1569" i="2"/>
  <c r="I1569" i="2"/>
  <c r="H1569" i="2"/>
  <c r="G1569" i="2"/>
  <c r="F1569" i="2"/>
  <c r="D1569" i="2"/>
  <c r="B1569" i="2"/>
  <c r="A1569" i="2"/>
  <c r="T1568" i="2"/>
  <c r="S1568" i="2"/>
  <c r="R1568" i="2"/>
  <c r="Q1568" i="2"/>
  <c r="P1568" i="2"/>
  <c r="O1568" i="2"/>
  <c r="N1568" i="2"/>
  <c r="M1568" i="2"/>
  <c r="L1568" i="2"/>
  <c r="K1568" i="2"/>
  <c r="J1568" i="2"/>
  <c r="I1568" i="2"/>
  <c r="H1568" i="2"/>
  <c r="G1568" i="2"/>
  <c r="F1568" i="2"/>
  <c r="D1568" i="2"/>
  <c r="B1568" i="2"/>
  <c r="A1568" i="2"/>
  <c r="T1567" i="2"/>
  <c r="S1567" i="2"/>
  <c r="R1567" i="2"/>
  <c r="Q1567" i="2"/>
  <c r="P1567" i="2"/>
  <c r="O1567" i="2"/>
  <c r="N1567" i="2"/>
  <c r="M1567" i="2"/>
  <c r="L1567" i="2"/>
  <c r="K1567" i="2"/>
  <c r="J1567" i="2"/>
  <c r="I1567" i="2"/>
  <c r="H1567" i="2"/>
  <c r="G1567" i="2"/>
  <c r="F1567" i="2"/>
  <c r="D1567" i="2"/>
  <c r="B1567" i="2"/>
  <c r="A1567" i="2"/>
  <c r="T1566" i="2"/>
  <c r="S1566" i="2"/>
  <c r="R1566" i="2"/>
  <c r="Q1566" i="2"/>
  <c r="P1566" i="2"/>
  <c r="O1566" i="2"/>
  <c r="N1566" i="2"/>
  <c r="M1566" i="2"/>
  <c r="L1566" i="2"/>
  <c r="K1566" i="2"/>
  <c r="J1566" i="2"/>
  <c r="I1566" i="2"/>
  <c r="H1566" i="2"/>
  <c r="G1566" i="2"/>
  <c r="F1566" i="2"/>
  <c r="D1566" i="2"/>
  <c r="B1566" i="2"/>
  <c r="A1566" i="2"/>
  <c r="T1565" i="2"/>
  <c r="S1565" i="2"/>
  <c r="R1565" i="2"/>
  <c r="Q1565" i="2"/>
  <c r="P1565" i="2"/>
  <c r="O1565" i="2"/>
  <c r="N1565" i="2"/>
  <c r="M1565" i="2"/>
  <c r="L1565" i="2"/>
  <c r="K1565" i="2"/>
  <c r="J1565" i="2"/>
  <c r="I1565" i="2"/>
  <c r="H1565" i="2"/>
  <c r="G1565" i="2"/>
  <c r="F1565" i="2"/>
  <c r="D1565" i="2"/>
  <c r="B1565" i="2"/>
  <c r="A1565" i="2"/>
  <c r="T1564" i="2"/>
  <c r="S1564" i="2"/>
  <c r="R1564" i="2"/>
  <c r="Q1564" i="2"/>
  <c r="P1564" i="2"/>
  <c r="O1564" i="2"/>
  <c r="N1564" i="2"/>
  <c r="M1564" i="2"/>
  <c r="L1564" i="2"/>
  <c r="K1564" i="2"/>
  <c r="J1564" i="2"/>
  <c r="I1564" i="2"/>
  <c r="H1564" i="2"/>
  <c r="G1564" i="2"/>
  <c r="F1564" i="2"/>
  <c r="D1564" i="2"/>
  <c r="B1564" i="2"/>
  <c r="A1564" i="2"/>
  <c r="T1563" i="2"/>
  <c r="S1563" i="2"/>
  <c r="R1563" i="2"/>
  <c r="Q1563" i="2"/>
  <c r="P1563" i="2"/>
  <c r="O1563" i="2"/>
  <c r="N1563" i="2"/>
  <c r="M1563" i="2"/>
  <c r="L1563" i="2"/>
  <c r="K1563" i="2"/>
  <c r="J1563" i="2"/>
  <c r="I1563" i="2"/>
  <c r="H1563" i="2"/>
  <c r="G1563" i="2"/>
  <c r="F1563" i="2"/>
  <c r="D1563" i="2"/>
  <c r="B1563" i="2"/>
  <c r="A1563" i="2"/>
  <c r="T1562" i="2"/>
  <c r="S1562" i="2"/>
  <c r="R1562" i="2"/>
  <c r="Q1562" i="2"/>
  <c r="P1562" i="2"/>
  <c r="O1562" i="2"/>
  <c r="N1562" i="2"/>
  <c r="M1562" i="2"/>
  <c r="L1562" i="2"/>
  <c r="K1562" i="2"/>
  <c r="J1562" i="2"/>
  <c r="I1562" i="2"/>
  <c r="H1562" i="2"/>
  <c r="G1562" i="2"/>
  <c r="F1562" i="2"/>
  <c r="D1562" i="2"/>
  <c r="B1562" i="2"/>
  <c r="A1562" i="2"/>
  <c r="T1561" i="2"/>
  <c r="S1561" i="2"/>
  <c r="R1561" i="2"/>
  <c r="Q1561" i="2"/>
  <c r="P1561" i="2"/>
  <c r="O1561" i="2"/>
  <c r="N1561" i="2"/>
  <c r="M1561" i="2"/>
  <c r="L1561" i="2"/>
  <c r="K1561" i="2"/>
  <c r="J1561" i="2"/>
  <c r="I1561" i="2"/>
  <c r="H1561" i="2"/>
  <c r="G1561" i="2"/>
  <c r="F1561" i="2"/>
  <c r="D1561" i="2"/>
  <c r="B1561" i="2"/>
  <c r="A1561" i="2"/>
  <c r="T1560" i="2"/>
  <c r="S1560" i="2"/>
  <c r="R1560" i="2"/>
  <c r="Q1560" i="2"/>
  <c r="P1560" i="2"/>
  <c r="O1560" i="2"/>
  <c r="N1560" i="2"/>
  <c r="M1560" i="2"/>
  <c r="L1560" i="2"/>
  <c r="K1560" i="2"/>
  <c r="J1560" i="2"/>
  <c r="I1560" i="2"/>
  <c r="H1560" i="2"/>
  <c r="G1560" i="2"/>
  <c r="F1560" i="2"/>
  <c r="D1560" i="2"/>
  <c r="B1560" i="2"/>
  <c r="A1560" i="2"/>
  <c r="T1559" i="2"/>
  <c r="S1559" i="2"/>
  <c r="R1559" i="2"/>
  <c r="Q1559" i="2"/>
  <c r="P1559" i="2"/>
  <c r="O1559" i="2"/>
  <c r="N1559" i="2"/>
  <c r="M1559" i="2"/>
  <c r="L1559" i="2"/>
  <c r="K1559" i="2"/>
  <c r="J1559" i="2"/>
  <c r="I1559" i="2"/>
  <c r="H1559" i="2"/>
  <c r="G1559" i="2"/>
  <c r="F1559" i="2"/>
  <c r="D1559" i="2"/>
  <c r="B1559" i="2"/>
  <c r="A1559" i="2"/>
  <c r="T1558" i="2"/>
  <c r="S1558" i="2"/>
  <c r="R1558" i="2"/>
  <c r="Q1558" i="2"/>
  <c r="P1558" i="2"/>
  <c r="O1558" i="2"/>
  <c r="N1558" i="2"/>
  <c r="M1558" i="2"/>
  <c r="L1558" i="2"/>
  <c r="K1558" i="2"/>
  <c r="J1558" i="2"/>
  <c r="I1558" i="2"/>
  <c r="H1558" i="2"/>
  <c r="G1558" i="2"/>
  <c r="F1558" i="2"/>
  <c r="D1558" i="2"/>
  <c r="B1558" i="2"/>
  <c r="A1558" i="2"/>
  <c r="T1557" i="2"/>
  <c r="S1557" i="2"/>
  <c r="R1557" i="2"/>
  <c r="Q1557" i="2"/>
  <c r="P1557" i="2"/>
  <c r="O1557" i="2"/>
  <c r="N1557" i="2"/>
  <c r="M1557" i="2"/>
  <c r="L1557" i="2"/>
  <c r="K1557" i="2"/>
  <c r="J1557" i="2"/>
  <c r="I1557" i="2"/>
  <c r="H1557" i="2"/>
  <c r="G1557" i="2"/>
  <c r="F1557" i="2"/>
  <c r="D1557" i="2"/>
  <c r="B1557" i="2"/>
  <c r="A1557" i="2"/>
  <c r="T1556" i="2"/>
  <c r="S1556" i="2"/>
  <c r="R1556" i="2"/>
  <c r="Q1556" i="2"/>
  <c r="P1556" i="2"/>
  <c r="O1556" i="2"/>
  <c r="N1556" i="2"/>
  <c r="M1556" i="2"/>
  <c r="L1556" i="2"/>
  <c r="K1556" i="2"/>
  <c r="J1556" i="2"/>
  <c r="I1556" i="2"/>
  <c r="H1556" i="2"/>
  <c r="G1556" i="2"/>
  <c r="F1556" i="2"/>
  <c r="D1556" i="2"/>
  <c r="B1556" i="2"/>
  <c r="A1556" i="2"/>
  <c r="T1555" i="2"/>
  <c r="S1555" i="2"/>
  <c r="R1555" i="2"/>
  <c r="Q1555" i="2"/>
  <c r="P1555" i="2"/>
  <c r="O1555" i="2"/>
  <c r="N1555" i="2"/>
  <c r="M1555" i="2"/>
  <c r="L1555" i="2"/>
  <c r="K1555" i="2"/>
  <c r="J1555" i="2"/>
  <c r="I1555" i="2"/>
  <c r="H1555" i="2"/>
  <c r="G1555" i="2"/>
  <c r="F1555" i="2"/>
  <c r="D1555" i="2"/>
  <c r="B1555" i="2"/>
  <c r="A1555" i="2"/>
  <c r="T1554" i="2"/>
  <c r="S1554" i="2"/>
  <c r="R1554" i="2"/>
  <c r="Q1554" i="2"/>
  <c r="P1554" i="2"/>
  <c r="O1554" i="2"/>
  <c r="N1554" i="2"/>
  <c r="M1554" i="2"/>
  <c r="L1554" i="2"/>
  <c r="K1554" i="2"/>
  <c r="J1554" i="2"/>
  <c r="I1554" i="2"/>
  <c r="H1554" i="2"/>
  <c r="G1554" i="2"/>
  <c r="F1554" i="2"/>
  <c r="D1554" i="2"/>
  <c r="B1554" i="2"/>
  <c r="A1554" i="2"/>
  <c r="T1553" i="2"/>
  <c r="S1553" i="2"/>
  <c r="R1553" i="2"/>
  <c r="Q1553" i="2"/>
  <c r="P1553" i="2"/>
  <c r="O1553" i="2"/>
  <c r="N1553" i="2"/>
  <c r="M1553" i="2"/>
  <c r="L1553" i="2"/>
  <c r="K1553" i="2"/>
  <c r="J1553" i="2"/>
  <c r="I1553" i="2"/>
  <c r="H1553" i="2"/>
  <c r="G1553" i="2"/>
  <c r="F1553" i="2"/>
  <c r="D1553" i="2"/>
  <c r="B1553" i="2"/>
  <c r="A1553" i="2"/>
  <c r="T1552" i="2"/>
  <c r="S1552" i="2"/>
  <c r="R1552" i="2"/>
  <c r="Q1552" i="2"/>
  <c r="P1552" i="2"/>
  <c r="O1552" i="2"/>
  <c r="N1552" i="2"/>
  <c r="M1552" i="2"/>
  <c r="L1552" i="2"/>
  <c r="K1552" i="2"/>
  <c r="J1552" i="2"/>
  <c r="I1552" i="2"/>
  <c r="H1552" i="2"/>
  <c r="G1552" i="2"/>
  <c r="F1552" i="2"/>
  <c r="D1552" i="2"/>
  <c r="B1552" i="2"/>
  <c r="A1552" i="2"/>
  <c r="T1551" i="2"/>
  <c r="S1551" i="2"/>
  <c r="R1551" i="2"/>
  <c r="Q1551" i="2"/>
  <c r="P1551" i="2"/>
  <c r="O1551" i="2"/>
  <c r="N1551" i="2"/>
  <c r="M1551" i="2"/>
  <c r="L1551" i="2"/>
  <c r="K1551" i="2"/>
  <c r="J1551" i="2"/>
  <c r="I1551" i="2"/>
  <c r="H1551" i="2"/>
  <c r="G1551" i="2"/>
  <c r="F1551" i="2"/>
  <c r="D1551" i="2"/>
  <c r="B1551" i="2"/>
  <c r="A1551" i="2"/>
  <c r="T1550" i="2"/>
  <c r="S1550" i="2"/>
  <c r="R1550" i="2"/>
  <c r="Q1550" i="2"/>
  <c r="P1550" i="2"/>
  <c r="O1550" i="2"/>
  <c r="N1550" i="2"/>
  <c r="M1550" i="2"/>
  <c r="L1550" i="2"/>
  <c r="K1550" i="2"/>
  <c r="J1550" i="2"/>
  <c r="I1550" i="2"/>
  <c r="H1550" i="2"/>
  <c r="G1550" i="2"/>
  <c r="F1550" i="2"/>
  <c r="D1550" i="2"/>
  <c r="B1550" i="2"/>
  <c r="A1550" i="2"/>
  <c r="T1549" i="2"/>
  <c r="S1549" i="2"/>
  <c r="R1549" i="2"/>
  <c r="Q1549" i="2"/>
  <c r="P1549" i="2"/>
  <c r="O1549" i="2"/>
  <c r="N1549" i="2"/>
  <c r="M1549" i="2"/>
  <c r="L1549" i="2"/>
  <c r="K1549" i="2"/>
  <c r="J1549" i="2"/>
  <c r="I1549" i="2"/>
  <c r="H1549" i="2"/>
  <c r="G1549" i="2"/>
  <c r="F1549" i="2"/>
  <c r="D1549" i="2"/>
  <c r="B1549" i="2"/>
  <c r="A1549" i="2"/>
  <c r="T1548" i="2"/>
  <c r="S1548" i="2"/>
  <c r="R1548" i="2"/>
  <c r="Q1548" i="2"/>
  <c r="P1548" i="2"/>
  <c r="O1548" i="2"/>
  <c r="N1548" i="2"/>
  <c r="M1548" i="2"/>
  <c r="L1548" i="2"/>
  <c r="K1548" i="2"/>
  <c r="J1548" i="2"/>
  <c r="I1548" i="2"/>
  <c r="H1548" i="2"/>
  <c r="G1548" i="2"/>
  <c r="F1548" i="2"/>
  <c r="D1548" i="2"/>
  <c r="B1548" i="2"/>
  <c r="A1548" i="2"/>
  <c r="T1547" i="2"/>
  <c r="S1547" i="2"/>
  <c r="R1547" i="2"/>
  <c r="Q1547" i="2"/>
  <c r="P1547" i="2"/>
  <c r="O1547" i="2"/>
  <c r="N1547" i="2"/>
  <c r="M1547" i="2"/>
  <c r="L1547" i="2"/>
  <c r="K1547" i="2"/>
  <c r="J1547" i="2"/>
  <c r="I1547" i="2"/>
  <c r="H1547" i="2"/>
  <c r="G1547" i="2"/>
  <c r="F1547" i="2"/>
  <c r="D1547" i="2"/>
  <c r="B1547" i="2"/>
  <c r="A1547" i="2"/>
  <c r="T1546" i="2"/>
  <c r="S1546" i="2"/>
  <c r="R1546" i="2"/>
  <c r="Q1546" i="2"/>
  <c r="P1546" i="2"/>
  <c r="O1546" i="2"/>
  <c r="N1546" i="2"/>
  <c r="M1546" i="2"/>
  <c r="L1546" i="2"/>
  <c r="K1546" i="2"/>
  <c r="J1546" i="2"/>
  <c r="I1546" i="2"/>
  <c r="H1546" i="2"/>
  <c r="G1546" i="2"/>
  <c r="F1546" i="2"/>
  <c r="D1546" i="2"/>
  <c r="B1546" i="2"/>
  <c r="A1546" i="2"/>
  <c r="T1545" i="2"/>
  <c r="S1545" i="2"/>
  <c r="R1545" i="2"/>
  <c r="Q1545" i="2"/>
  <c r="P1545" i="2"/>
  <c r="O1545" i="2"/>
  <c r="N1545" i="2"/>
  <c r="M1545" i="2"/>
  <c r="L1545" i="2"/>
  <c r="K1545" i="2"/>
  <c r="J1545" i="2"/>
  <c r="I1545" i="2"/>
  <c r="H1545" i="2"/>
  <c r="G1545" i="2"/>
  <c r="F1545" i="2"/>
  <c r="D1545" i="2"/>
  <c r="B1545" i="2"/>
  <c r="A1545" i="2"/>
  <c r="T1544" i="2"/>
  <c r="S1544" i="2"/>
  <c r="R1544" i="2"/>
  <c r="Q1544" i="2"/>
  <c r="P1544" i="2"/>
  <c r="O1544" i="2"/>
  <c r="N1544" i="2"/>
  <c r="M1544" i="2"/>
  <c r="L1544" i="2"/>
  <c r="K1544" i="2"/>
  <c r="J1544" i="2"/>
  <c r="I1544" i="2"/>
  <c r="H1544" i="2"/>
  <c r="G1544" i="2"/>
  <c r="F1544" i="2"/>
  <c r="D1544" i="2"/>
  <c r="B1544" i="2"/>
  <c r="A1544" i="2"/>
  <c r="T1543" i="2"/>
  <c r="S1543" i="2"/>
  <c r="R1543" i="2"/>
  <c r="Q1543" i="2"/>
  <c r="P1543" i="2"/>
  <c r="O1543" i="2"/>
  <c r="N1543" i="2"/>
  <c r="M1543" i="2"/>
  <c r="L1543" i="2"/>
  <c r="K1543" i="2"/>
  <c r="J1543" i="2"/>
  <c r="I1543" i="2"/>
  <c r="H1543" i="2"/>
  <c r="G1543" i="2"/>
  <c r="F1543" i="2"/>
  <c r="D1543" i="2"/>
  <c r="B1543" i="2"/>
  <c r="A1543" i="2"/>
  <c r="T1542" i="2"/>
  <c r="S1542" i="2"/>
  <c r="R1542" i="2"/>
  <c r="Q1542" i="2"/>
  <c r="P1542" i="2"/>
  <c r="O1542" i="2"/>
  <c r="N1542" i="2"/>
  <c r="M1542" i="2"/>
  <c r="L1542" i="2"/>
  <c r="K1542" i="2"/>
  <c r="J1542" i="2"/>
  <c r="I1542" i="2"/>
  <c r="H1542" i="2"/>
  <c r="G1542" i="2"/>
  <c r="F1542" i="2"/>
  <c r="D1542" i="2"/>
  <c r="B1542" i="2"/>
  <c r="A1542" i="2"/>
  <c r="T1541" i="2"/>
  <c r="S1541" i="2"/>
  <c r="R1541" i="2"/>
  <c r="Q1541" i="2"/>
  <c r="P1541" i="2"/>
  <c r="O1541" i="2"/>
  <c r="N1541" i="2"/>
  <c r="M1541" i="2"/>
  <c r="L1541" i="2"/>
  <c r="K1541" i="2"/>
  <c r="J1541" i="2"/>
  <c r="I1541" i="2"/>
  <c r="H1541" i="2"/>
  <c r="G1541" i="2"/>
  <c r="F1541" i="2"/>
  <c r="D1541" i="2"/>
  <c r="B1541" i="2"/>
  <c r="A1541" i="2"/>
  <c r="T1540" i="2"/>
  <c r="S1540" i="2"/>
  <c r="R1540" i="2"/>
  <c r="Q1540" i="2"/>
  <c r="P1540" i="2"/>
  <c r="O1540" i="2"/>
  <c r="N1540" i="2"/>
  <c r="M1540" i="2"/>
  <c r="L1540" i="2"/>
  <c r="K1540" i="2"/>
  <c r="J1540" i="2"/>
  <c r="I1540" i="2"/>
  <c r="H1540" i="2"/>
  <c r="G1540" i="2"/>
  <c r="F1540" i="2"/>
  <c r="D1540" i="2"/>
  <c r="B1540" i="2"/>
  <c r="A1540" i="2"/>
  <c r="T1539" i="2"/>
  <c r="S1539" i="2"/>
  <c r="R1539" i="2"/>
  <c r="Q1539" i="2"/>
  <c r="P1539" i="2"/>
  <c r="O1539" i="2"/>
  <c r="N1539" i="2"/>
  <c r="M1539" i="2"/>
  <c r="L1539" i="2"/>
  <c r="K1539" i="2"/>
  <c r="J1539" i="2"/>
  <c r="I1539" i="2"/>
  <c r="H1539" i="2"/>
  <c r="G1539" i="2"/>
  <c r="F1539" i="2"/>
  <c r="D1539" i="2"/>
  <c r="B1539" i="2"/>
  <c r="A1539" i="2"/>
  <c r="T1538" i="2"/>
  <c r="S1538" i="2"/>
  <c r="R1538" i="2"/>
  <c r="Q1538" i="2"/>
  <c r="P1538" i="2"/>
  <c r="O1538" i="2"/>
  <c r="N1538" i="2"/>
  <c r="M1538" i="2"/>
  <c r="L1538" i="2"/>
  <c r="K1538" i="2"/>
  <c r="J1538" i="2"/>
  <c r="I1538" i="2"/>
  <c r="H1538" i="2"/>
  <c r="G1538" i="2"/>
  <c r="F1538" i="2"/>
  <c r="D1538" i="2"/>
  <c r="B1538" i="2"/>
  <c r="A1538" i="2"/>
  <c r="T1537" i="2"/>
  <c r="S1537" i="2"/>
  <c r="R1537" i="2"/>
  <c r="Q1537" i="2"/>
  <c r="P1537" i="2"/>
  <c r="O1537" i="2"/>
  <c r="N1537" i="2"/>
  <c r="M1537" i="2"/>
  <c r="L1537" i="2"/>
  <c r="K1537" i="2"/>
  <c r="J1537" i="2"/>
  <c r="I1537" i="2"/>
  <c r="H1537" i="2"/>
  <c r="G1537" i="2"/>
  <c r="F1537" i="2"/>
  <c r="D1537" i="2"/>
  <c r="B1537" i="2"/>
  <c r="A1537" i="2"/>
  <c r="T1536" i="2"/>
  <c r="S1536" i="2"/>
  <c r="R1536" i="2"/>
  <c r="Q1536" i="2"/>
  <c r="P1536" i="2"/>
  <c r="O1536" i="2"/>
  <c r="N1536" i="2"/>
  <c r="M1536" i="2"/>
  <c r="L1536" i="2"/>
  <c r="K1536" i="2"/>
  <c r="J1536" i="2"/>
  <c r="I1536" i="2"/>
  <c r="H1536" i="2"/>
  <c r="G1536" i="2"/>
  <c r="F1536" i="2"/>
  <c r="D1536" i="2"/>
  <c r="B1536" i="2"/>
  <c r="A1536" i="2"/>
  <c r="T1535" i="2"/>
  <c r="S1535" i="2"/>
  <c r="R1535" i="2"/>
  <c r="Q1535" i="2"/>
  <c r="P1535" i="2"/>
  <c r="O1535" i="2"/>
  <c r="N1535" i="2"/>
  <c r="M1535" i="2"/>
  <c r="L1535" i="2"/>
  <c r="K1535" i="2"/>
  <c r="J1535" i="2"/>
  <c r="I1535" i="2"/>
  <c r="H1535" i="2"/>
  <c r="G1535" i="2"/>
  <c r="F1535" i="2"/>
  <c r="D1535" i="2"/>
  <c r="B1535" i="2"/>
  <c r="A1535" i="2"/>
  <c r="T1534" i="2"/>
  <c r="S1534" i="2"/>
  <c r="R1534" i="2"/>
  <c r="Q1534" i="2"/>
  <c r="P1534" i="2"/>
  <c r="O1534" i="2"/>
  <c r="N1534" i="2"/>
  <c r="M1534" i="2"/>
  <c r="L1534" i="2"/>
  <c r="K1534" i="2"/>
  <c r="J1534" i="2"/>
  <c r="I1534" i="2"/>
  <c r="H1534" i="2"/>
  <c r="G1534" i="2"/>
  <c r="F1534" i="2"/>
  <c r="D1534" i="2"/>
  <c r="B1534" i="2"/>
  <c r="A1534" i="2"/>
  <c r="T1533" i="2"/>
  <c r="S1533" i="2"/>
  <c r="R1533" i="2"/>
  <c r="Q1533" i="2"/>
  <c r="P1533" i="2"/>
  <c r="O1533" i="2"/>
  <c r="N1533" i="2"/>
  <c r="M1533" i="2"/>
  <c r="L1533" i="2"/>
  <c r="K1533" i="2"/>
  <c r="J1533" i="2"/>
  <c r="I1533" i="2"/>
  <c r="H1533" i="2"/>
  <c r="G1533" i="2"/>
  <c r="F1533" i="2"/>
  <c r="D1533" i="2"/>
  <c r="B1533" i="2"/>
  <c r="A1533" i="2"/>
  <c r="T1532" i="2"/>
  <c r="S1532" i="2"/>
  <c r="R1532" i="2"/>
  <c r="Q1532" i="2"/>
  <c r="P1532" i="2"/>
  <c r="O1532" i="2"/>
  <c r="N1532" i="2"/>
  <c r="M1532" i="2"/>
  <c r="L1532" i="2"/>
  <c r="K1532" i="2"/>
  <c r="J1532" i="2"/>
  <c r="I1532" i="2"/>
  <c r="H1532" i="2"/>
  <c r="G1532" i="2"/>
  <c r="F1532" i="2"/>
  <c r="D1532" i="2"/>
  <c r="B1532" i="2"/>
  <c r="A1532" i="2"/>
  <c r="T1531" i="2"/>
  <c r="S1531" i="2"/>
  <c r="R1531" i="2"/>
  <c r="Q1531" i="2"/>
  <c r="P1531" i="2"/>
  <c r="O1531" i="2"/>
  <c r="N1531" i="2"/>
  <c r="M1531" i="2"/>
  <c r="L1531" i="2"/>
  <c r="K1531" i="2"/>
  <c r="J1531" i="2"/>
  <c r="I1531" i="2"/>
  <c r="H1531" i="2"/>
  <c r="G1531" i="2"/>
  <c r="F1531" i="2"/>
  <c r="D1531" i="2"/>
  <c r="B1531" i="2"/>
  <c r="A1531" i="2"/>
  <c r="T1530" i="2"/>
  <c r="S1530" i="2"/>
  <c r="R1530" i="2"/>
  <c r="Q1530" i="2"/>
  <c r="P1530" i="2"/>
  <c r="O1530" i="2"/>
  <c r="N1530" i="2"/>
  <c r="M1530" i="2"/>
  <c r="L1530" i="2"/>
  <c r="K1530" i="2"/>
  <c r="J1530" i="2"/>
  <c r="I1530" i="2"/>
  <c r="H1530" i="2"/>
  <c r="G1530" i="2"/>
  <c r="F1530" i="2"/>
  <c r="D1530" i="2"/>
  <c r="B1530" i="2"/>
  <c r="A1530" i="2"/>
  <c r="T1529" i="2"/>
  <c r="S1529" i="2"/>
  <c r="R1529" i="2"/>
  <c r="Q1529" i="2"/>
  <c r="P1529" i="2"/>
  <c r="O1529" i="2"/>
  <c r="N1529" i="2"/>
  <c r="M1529" i="2"/>
  <c r="L1529" i="2"/>
  <c r="K1529" i="2"/>
  <c r="J1529" i="2"/>
  <c r="I1529" i="2"/>
  <c r="H1529" i="2"/>
  <c r="G1529" i="2"/>
  <c r="F1529" i="2"/>
  <c r="D1529" i="2"/>
  <c r="B1529" i="2"/>
  <c r="A1529" i="2"/>
  <c r="T1528" i="2"/>
  <c r="S1528" i="2"/>
  <c r="R1528" i="2"/>
  <c r="Q1528" i="2"/>
  <c r="P1528" i="2"/>
  <c r="O1528" i="2"/>
  <c r="N1528" i="2"/>
  <c r="M1528" i="2"/>
  <c r="L1528" i="2"/>
  <c r="K1528" i="2"/>
  <c r="J1528" i="2"/>
  <c r="I1528" i="2"/>
  <c r="H1528" i="2"/>
  <c r="G1528" i="2"/>
  <c r="F1528" i="2"/>
  <c r="D1528" i="2"/>
  <c r="B1528" i="2"/>
  <c r="A1528" i="2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H1527" i="2"/>
  <c r="G1527" i="2"/>
  <c r="F1527" i="2"/>
  <c r="D1527" i="2"/>
  <c r="B1527" i="2"/>
  <c r="A1527" i="2"/>
  <c r="T1526" i="2"/>
  <c r="S1526" i="2"/>
  <c r="R1526" i="2"/>
  <c r="Q1526" i="2"/>
  <c r="P1526" i="2"/>
  <c r="O1526" i="2"/>
  <c r="N1526" i="2"/>
  <c r="M1526" i="2"/>
  <c r="L1526" i="2"/>
  <c r="K1526" i="2"/>
  <c r="J1526" i="2"/>
  <c r="I1526" i="2"/>
  <c r="H1526" i="2"/>
  <c r="G1526" i="2"/>
  <c r="F1526" i="2"/>
  <c r="D1526" i="2"/>
  <c r="B1526" i="2"/>
  <c r="A1526" i="2"/>
  <c r="T1525" i="2"/>
  <c r="S1525" i="2"/>
  <c r="R1525" i="2"/>
  <c r="Q1525" i="2"/>
  <c r="P1525" i="2"/>
  <c r="O1525" i="2"/>
  <c r="N1525" i="2"/>
  <c r="M1525" i="2"/>
  <c r="L1525" i="2"/>
  <c r="K1525" i="2"/>
  <c r="J1525" i="2"/>
  <c r="I1525" i="2"/>
  <c r="H1525" i="2"/>
  <c r="G1525" i="2"/>
  <c r="F1525" i="2"/>
  <c r="D1525" i="2"/>
  <c r="B1525" i="2"/>
  <c r="A1525" i="2"/>
  <c r="T1524" i="2"/>
  <c r="S1524" i="2"/>
  <c r="R1524" i="2"/>
  <c r="Q1524" i="2"/>
  <c r="P1524" i="2"/>
  <c r="O1524" i="2"/>
  <c r="N1524" i="2"/>
  <c r="M1524" i="2"/>
  <c r="L1524" i="2"/>
  <c r="K1524" i="2"/>
  <c r="J1524" i="2"/>
  <c r="I1524" i="2"/>
  <c r="H1524" i="2"/>
  <c r="G1524" i="2"/>
  <c r="F1524" i="2"/>
  <c r="D1524" i="2"/>
  <c r="B1524" i="2"/>
  <c r="A1524" i="2"/>
  <c r="T1523" i="2"/>
  <c r="S1523" i="2"/>
  <c r="R1523" i="2"/>
  <c r="Q1523" i="2"/>
  <c r="P1523" i="2"/>
  <c r="O1523" i="2"/>
  <c r="N1523" i="2"/>
  <c r="M1523" i="2"/>
  <c r="L1523" i="2"/>
  <c r="K1523" i="2"/>
  <c r="J1523" i="2"/>
  <c r="I1523" i="2"/>
  <c r="H1523" i="2"/>
  <c r="G1523" i="2"/>
  <c r="F1523" i="2"/>
  <c r="D1523" i="2"/>
  <c r="B1523" i="2"/>
  <c r="A1523" i="2"/>
  <c r="T1522" i="2"/>
  <c r="S1522" i="2"/>
  <c r="R1522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D1522" i="2"/>
  <c r="B1522" i="2"/>
  <c r="A1522" i="2"/>
  <c r="T1521" i="2"/>
  <c r="S1521" i="2"/>
  <c r="R1521" i="2"/>
  <c r="Q1521" i="2"/>
  <c r="P1521" i="2"/>
  <c r="O1521" i="2"/>
  <c r="N1521" i="2"/>
  <c r="M1521" i="2"/>
  <c r="L1521" i="2"/>
  <c r="K1521" i="2"/>
  <c r="J1521" i="2"/>
  <c r="I1521" i="2"/>
  <c r="H1521" i="2"/>
  <c r="G1521" i="2"/>
  <c r="F1521" i="2"/>
  <c r="D1521" i="2"/>
  <c r="B1521" i="2"/>
  <c r="A1521" i="2"/>
  <c r="T1520" i="2"/>
  <c r="S1520" i="2"/>
  <c r="R1520" i="2"/>
  <c r="Q1520" i="2"/>
  <c r="P1520" i="2"/>
  <c r="O1520" i="2"/>
  <c r="N1520" i="2"/>
  <c r="M1520" i="2"/>
  <c r="L1520" i="2"/>
  <c r="K1520" i="2"/>
  <c r="J1520" i="2"/>
  <c r="I1520" i="2"/>
  <c r="H1520" i="2"/>
  <c r="G1520" i="2"/>
  <c r="F1520" i="2"/>
  <c r="D1520" i="2"/>
  <c r="B1520" i="2"/>
  <c r="A1520" i="2"/>
  <c r="T1519" i="2"/>
  <c r="S1519" i="2"/>
  <c r="R1519" i="2"/>
  <c r="Q1519" i="2"/>
  <c r="P1519" i="2"/>
  <c r="O1519" i="2"/>
  <c r="N1519" i="2"/>
  <c r="M1519" i="2"/>
  <c r="L1519" i="2"/>
  <c r="K1519" i="2"/>
  <c r="J1519" i="2"/>
  <c r="I1519" i="2"/>
  <c r="H1519" i="2"/>
  <c r="G1519" i="2"/>
  <c r="F1519" i="2"/>
  <c r="D1519" i="2"/>
  <c r="B1519" i="2"/>
  <c r="A1519" i="2"/>
  <c r="T1518" i="2"/>
  <c r="S1518" i="2"/>
  <c r="R1518" i="2"/>
  <c r="Q1518" i="2"/>
  <c r="P1518" i="2"/>
  <c r="O1518" i="2"/>
  <c r="N1518" i="2"/>
  <c r="M1518" i="2"/>
  <c r="L1518" i="2"/>
  <c r="K1518" i="2"/>
  <c r="J1518" i="2"/>
  <c r="I1518" i="2"/>
  <c r="H1518" i="2"/>
  <c r="G1518" i="2"/>
  <c r="F1518" i="2"/>
  <c r="D1518" i="2"/>
  <c r="B1518" i="2"/>
  <c r="A1518" i="2"/>
  <c r="T1517" i="2"/>
  <c r="S1517" i="2"/>
  <c r="R1517" i="2"/>
  <c r="Q1517" i="2"/>
  <c r="P1517" i="2"/>
  <c r="O1517" i="2"/>
  <c r="N1517" i="2"/>
  <c r="M1517" i="2"/>
  <c r="L1517" i="2"/>
  <c r="K1517" i="2"/>
  <c r="J1517" i="2"/>
  <c r="I1517" i="2"/>
  <c r="H1517" i="2"/>
  <c r="G1517" i="2"/>
  <c r="F1517" i="2"/>
  <c r="D1517" i="2"/>
  <c r="B1517" i="2"/>
  <c r="A1517" i="2"/>
  <c r="T1516" i="2"/>
  <c r="S1516" i="2"/>
  <c r="R1516" i="2"/>
  <c r="Q1516" i="2"/>
  <c r="P1516" i="2"/>
  <c r="O1516" i="2"/>
  <c r="N1516" i="2"/>
  <c r="M1516" i="2"/>
  <c r="L1516" i="2"/>
  <c r="K1516" i="2"/>
  <c r="J1516" i="2"/>
  <c r="I1516" i="2"/>
  <c r="H1516" i="2"/>
  <c r="G1516" i="2"/>
  <c r="F1516" i="2"/>
  <c r="D1516" i="2"/>
  <c r="B1516" i="2"/>
  <c r="A1516" i="2"/>
  <c r="T1515" i="2"/>
  <c r="S1515" i="2"/>
  <c r="R1515" i="2"/>
  <c r="Q1515" i="2"/>
  <c r="P1515" i="2"/>
  <c r="O1515" i="2"/>
  <c r="N1515" i="2"/>
  <c r="M1515" i="2"/>
  <c r="L1515" i="2"/>
  <c r="K1515" i="2"/>
  <c r="J1515" i="2"/>
  <c r="I1515" i="2"/>
  <c r="H1515" i="2"/>
  <c r="G1515" i="2"/>
  <c r="F1515" i="2"/>
  <c r="D1515" i="2"/>
  <c r="B1515" i="2"/>
  <c r="A1515" i="2"/>
  <c r="T1514" i="2"/>
  <c r="S1514" i="2"/>
  <c r="R1514" i="2"/>
  <c r="Q1514" i="2"/>
  <c r="P1514" i="2"/>
  <c r="O1514" i="2"/>
  <c r="N1514" i="2"/>
  <c r="M1514" i="2"/>
  <c r="L1514" i="2"/>
  <c r="K1514" i="2"/>
  <c r="J1514" i="2"/>
  <c r="I1514" i="2"/>
  <c r="H1514" i="2"/>
  <c r="G1514" i="2"/>
  <c r="F1514" i="2"/>
  <c r="D1514" i="2"/>
  <c r="B1514" i="2"/>
  <c r="A1514" i="2"/>
  <c r="T1513" i="2"/>
  <c r="S1513" i="2"/>
  <c r="R1513" i="2"/>
  <c r="Q1513" i="2"/>
  <c r="P1513" i="2"/>
  <c r="O1513" i="2"/>
  <c r="N1513" i="2"/>
  <c r="M1513" i="2"/>
  <c r="L1513" i="2"/>
  <c r="K1513" i="2"/>
  <c r="J1513" i="2"/>
  <c r="I1513" i="2"/>
  <c r="H1513" i="2"/>
  <c r="G1513" i="2"/>
  <c r="F1513" i="2"/>
  <c r="D1513" i="2"/>
  <c r="B1513" i="2"/>
  <c r="A1513" i="2"/>
  <c r="T1512" i="2"/>
  <c r="S1512" i="2"/>
  <c r="R1512" i="2"/>
  <c r="Q1512" i="2"/>
  <c r="P1512" i="2"/>
  <c r="O1512" i="2"/>
  <c r="N1512" i="2"/>
  <c r="M1512" i="2"/>
  <c r="L1512" i="2"/>
  <c r="K1512" i="2"/>
  <c r="J1512" i="2"/>
  <c r="I1512" i="2"/>
  <c r="H1512" i="2"/>
  <c r="G1512" i="2"/>
  <c r="F1512" i="2"/>
  <c r="D1512" i="2"/>
  <c r="B1512" i="2"/>
  <c r="A1512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H1511" i="2"/>
  <c r="G1511" i="2"/>
  <c r="F1511" i="2"/>
  <c r="D1511" i="2"/>
  <c r="B1511" i="2"/>
  <c r="A1511" i="2"/>
  <c r="T1510" i="2"/>
  <c r="S1510" i="2"/>
  <c r="R1510" i="2"/>
  <c r="Q1510" i="2"/>
  <c r="P1510" i="2"/>
  <c r="O1510" i="2"/>
  <c r="N1510" i="2"/>
  <c r="M1510" i="2"/>
  <c r="L1510" i="2"/>
  <c r="K1510" i="2"/>
  <c r="J1510" i="2"/>
  <c r="I1510" i="2"/>
  <c r="H1510" i="2"/>
  <c r="G1510" i="2"/>
  <c r="F1510" i="2"/>
  <c r="D1510" i="2"/>
  <c r="B1510" i="2"/>
  <c r="A1510" i="2"/>
  <c r="T1509" i="2"/>
  <c r="S1509" i="2"/>
  <c r="R1509" i="2"/>
  <c r="Q1509" i="2"/>
  <c r="P1509" i="2"/>
  <c r="O1509" i="2"/>
  <c r="N1509" i="2"/>
  <c r="M1509" i="2"/>
  <c r="L1509" i="2"/>
  <c r="K1509" i="2"/>
  <c r="J1509" i="2"/>
  <c r="I1509" i="2"/>
  <c r="H1509" i="2"/>
  <c r="G1509" i="2"/>
  <c r="F1509" i="2"/>
  <c r="D1509" i="2"/>
  <c r="B1509" i="2"/>
  <c r="A1509" i="2"/>
  <c r="T1508" i="2"/>
  <c r="S1508" i="2"/>
  <c r="R1508" i="2"/>
  <c r="Q1508" i="2"/>
  <c r="P1508" i="2"/>
  <c r="O1508" i="2"/>
  <c r="N1508" i="2"/>
  <c r="M1508" i="2"/>
  <c r="L1508" i="2"/>
  <c r="K1508" i="2"/>
  <c r="J1508" i="2"/>
  <c r="I1508" i="2"/>
  <c r="H1508" i="2"/>
  <c r="G1508" i="2"/>
  <c r="F1508" i="2"/>
  <c r="D1508" i="2"/>
  <c r="B1508" i="2"/>
  <c r="A1508" i="2"/>
  <c r="T1507" i="2"/>
  <c r="S1507" i="2"/>
  <c r="R1507" i="2"/>
  <c r="Q1507" i="2"/>
  <c r="P1507" i="2"/>
  <c r="O1507" i="2"/>
  <c r="N1507" i="2"/>
  <c r="M1507" i="2"/>
  <c r="L1507" i="2"/>
  <c r="K1507" i="2"/>
  <c r="J1507" i="2"/>
  <c r="I1507" i="2"/>
  <c r="H1507" i="2"/>
  <c r="G1507" i="2"/>
  <c r="F1507" i="2"/>
  <c r="D1507" i="2"/>
  <c r="B1507" i="2"/>
  <c r="A1507" i="2"/>
  <c r="T1506" i="2"/>
  <c r="S1506" i="2"/>
  <c r="R1506" i="2"/>
  <c r="Q1506" i="2"/>
  <c r="P1506" i="2"/>
  <c r="O1506" i="2"/>
  <c r="N1506" i="2"/>
  <c r="M1506" i="2"/>
  <c r="L1506" i="2"/>
  <c r="K1506" i="2"/>
  <c r="J1506" i="2"/>
  <c r="I1506" i="2"/>
  <c r="H1506" i="2"/>
  <c r="G1506" i="2"/>
  <c r="F1506" i="2"/>
  <c r="D1506" i="2"/>
  <c r="B1506" i="2"/>
  <c r="A1506" i="2"/>
  <c r="T1505" i="2"/>
  <c r="S1505" i="2"/>
  <c r="R1505" i="2"/>
  <c r="Q1505" i="2"/>
  <c r="P1505" i="2"/>
  <c r="O1505" i="2"/>
  <c r="N1505" i="2"/>
  <c r="M1505" i="2"/>
  <c r="L1505" i="2"/>
  <c r="K1505" i="2"/>
  <c r="J1505" i="2"/>
  <c r="I1505" i="2"/>
  <c r="H1505" i="2"/>
  <c r="G1505" i="2"/>
  <c r="F1505" i="2"/>
  <c r="D1505" i="2"/>
  <c r="B1505" i="2"/>
  <c r="A1505" i="2"/>
  <c r="T1504" i="2"/>
  <c r="S1504" i="2"/>
  <c r="R1504" i="2"/>
  <c r="Q1504" i="2"/>
  <c r="P1504" i="2"/>
  <c r="O1504" i="2"/>
  <c r="N1504" i="2"/>
  <c r="M1504" i="2"/>
  <c r="L1504" i="2"/>
  <c r="K1504" i="2"/>
  <c r="J1504" i="2"/>
  <c r="I1504" i="2"/>
  <c r="H1504" i="2"/>
  <c r="G1504" i="2"/>
  <c r="F1504" i="2"/>
  <c r="D1504" i="2"/>
  <c r="B1504" i="2"/>
  <c r="A1504" i="2"/>
  <c r="T1503" i="2"/>
  <c r="S1503" i="2"/>
  <c r="R1503" i="2"/>
  <c r="Q1503" i="2"/>
  <c r="P1503" i="2"/>
  <c r="O1503" i="2"/>
  <c r="N1503" i="2"/>
  <c r="M1503" i="2"/>
  <c r="L1503" i="2"/>
  <c r="K1503" i="2"/>
  <c r="J1503" i="2"/>
  <c r="I1503" i="2"/>
  <c r="H1503" i="2"/>
  <c r="G1503" i="2"/>
  <c r="F1503" i="2"/>
  <c r="D1503" i="2"/>
  <c r="B1503" i="2"/>
  <c r="A1503" i="2"/>
  <c r="T1502" i="2"/>
  <c r="S1502" i="2"/>
  <c r="R1502" i="2"/>
  <c r="Q1502" i="2"/>
  <c r="P1502" i="2"/>
  <c r="O1502" i="2"/>
  <c r="N1502" i="2"/>
  <c r="M1502" i="2"/>
  <c r="L1502" i="2"/>
  <c r="K1502" i="2"/>
  <c r="J1502" i="2"/>
  <c r="I1502" i="2"/>
  <c r="H1502" i="2"/>
  <c r="G1502" i="2"/>
  <c r="F1502" i="2"/>
  <c r="D1502" i="2"/>
  <c r="B1502" i="2"/>
  <c r="A1502" i="2"/>
  <c r="T1501" i="2"/>
  <c r="S1501" i="2"/>
  <c r="R1501" i="2"/>
  <c r="Q1501" i="2"/>
  <c r="P1501" i="2"/>
  <c r="O1501" i="2"/>
  <c r="N1501" i="2"/>
  <c r="M1501" i="2"/>
  <c r="L1501" i="2"/>
  <c r="K1501" i="2"/>
  <c r="J1501" i="2"/>
  <c r="I1501" i="2"/>
  <c r="H1501" i="2"/>
  <c r="G1501" i="2"/>
  <c r="F1501" i="2"/>
  <c r="D1501" i="2"/>
  <c r="B1501" i="2"/>
  <c r="A1501" i="2"/>
  <c r="T1500" i="2"/>
  <c r="S1500" i="2"/>
  <c r="R1500" i="2"/>
  <c r="Q1500" i="2"/>
  <c r="P1500" i="2"/>
  <c r="O1500" i="2"/>
  <c r="N1500" i="2"/>
  <c r="M1500" i="2"/>
  <c r="L1500" i="2"/>
  <c r="K1500" i="2"/>
  <c r="J1500" i="2"/>
  <c r="I1500" i="2"/>
  <c r="H1500" i="2"/>
  <c r="G1500" i="2"/>
  <c r="F1500" i="2"/>
  <c r="D1500" i="2"/>
  <c r="B1500" i="2"/>
  <c r="A1500" i="2"/>
  <c r="T1499" i="2"/>
  <c r="S1499" i="2"/>
  <c r="R1499" i="2"/>
  <c r="Q1499" i="2"/>
  <c r="P1499" i="2"/>
  <c r="O1499" i="2"/>
  <c r="N1499" i="2"/>
  <c r="M1499" i="2"/>
  <c r="L1499" i="2"/>
  <c r="K1499" i="2"/>
  <c r="J1499" i="2"/>
  <c r="I1499" i="2"/>
  <c r="H1499" i="2"/>
  <c r="G1499" i="2"/>
  <c r="F1499" i="2"/>
  <c r="D1499" i="2"/>
  <c r="B1499" i="2"/>
  <c r="A1499" i="2"/>
  <c r="T1498" i="2"/>
  <c r="S1498" i="2"/>
  <c r="R1498" i="2"/>
  <c r="Q1498" i="2"/>
  <c r="P1498" i="2"/>
  <c r="O1498" i="2"/>
  <c r="N1498" i="2"/>
  <c r="M1498" i="2"/>
  <c r="L1498" i="2"/>
  <c r="K1498" i="2"/>
  <c r="J1498" i="2"/>
  <c r="I1498" i="2"/>
  <c r="H1498" i="2"/>
  <c r="G1498" i="2"/>
  <c r="F1498" i="2"/>
  <c r="D1498" i="2"/>
  <c r="B1498" i="2"/>
  <c r="A1498" i="2"/>
  <c r="T1497" i="2"/>
  <c r="S1497" i="2"/>
  <c r="R1497" i="2"/>
  <c r="Q1497" i="2"/>
  <c r="P1497" i="2"/>
  <c r="O1497" i="2"/>
  <c r="N1497" i="2"/>
  <c r="M1497" i="2"/>
  <c r="L1497" i="2"/>
  <c r="K1497" i="2"/>
  <c r="J1497" i="2"/>
  <c r="I1497" i="2"/>
  <c r="H1497" i="2"/>
  <c r="G1497" i="2"/>
  <c r="F1497" i="2"/>
  <c r="D1497" i="2"/>
  <c r="B1497" i="2"/>
  <c r="A1497" i="2"/>
  <c r="T1496" i="2"/>
  <c r="S1496" i="2"/>
  <c r="R1496" i="2"/>
  <c r="Q1496" i="2"/>
  <c r="P1496" i="2"/>
  <c r="O1496" i="2"/>
  <c r="N1496" i="2"/>
  <c r="M1496" i="2"/>
  <c r="L1496" i="2"/>
  <c r="K1496" i="2"/>
  <c r="J1496" i="2"/>
  <c r="I1496" i="2"/>
  <c r="H1496" i="2"/>
  <c r="G1496" i="2"/>
  <c r="F1496" i="2"/>
  <c r="D1496" i="2"/>
  <c r="B1496" i="2"/>
  <c r="A1496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H1495" i="2"/>
  <c r="G1495" i="2"/>
  <c r="F1495" i="2"/>
  <c r="D1495" i="2"/>
  <c r="B1495" i="2"/>
  <c r="A1495" i="2"/>
  <c r="T1494" i="2"/>
  <c r="S1494" i="2"/>
  <c r="R1494" i="2"/>
  <c r="Q1494" i="2"/>
  <c r="P1494" i="2"/>
  <c r="O1494" i="2"/>
  <c r="N1494" i="2"/>
  <c r="M1494" i="2"/>
  <c r="L1494" i="2"/>
  <c r="K1494" i="2"/>
  <c r="J1494" i="2"/>
  <c r="I1494" i="2"/>
  <c r="H1494" i="2"/>
  <c r="G1494" i="2"/>
  <c r="F1494" i="2"/>
  <c r="D1494" i="2"/>
  <c r="B1494" i="2"/>
  <c r="A1494" i="2"/>
  <c r="T1493" i="2"/>
  <c r="S1493" i="2"/>
  <c r="R1493" i="2"/>
  <c r="Q1493" i="2"/>
  <c r="P1493" i="2"/>
  <c r="O1493" i="2"/>
  <c r="N1493" i="2"/>
  <c r="M1493" i="2"/>
  <c r="L1493" i="2"/>
  <c r="K1493" i="2"/>
  <c r="J1493" i="2"/>
  <c r="I1493" i="2"/>
  <c r="H1493" i="2"/>
  <c r="G1493" i="2"/>
  <c r="F1493" i="2"/>
  <c r="D1493" i="2"/>
  <c r="B1493" i="2"/>
  <c r="A1493" i="2"/>
  <c r="T1492" i="2"/>
  <c r="S1492" i="2"/>
  <c r="R1492" i="2"/>
  <c r="Q1492" i="2"/>
  <c r="P1492" i="2"/>
  <c r="O1492" i="2"/>
  <c r="N1492" i="2"/>
  <c r="M1492" i="2"/>
  <c r="L1492" i="2"/>
  <c r="K1492" i="2"/>
  <c r="J1492" i="2"/>
  <c r="I1492" i="2"/>
  <c r="H1492" i="2"/>
  <c r="G1492" i="2"/>
  <c r="F1492" i="2"/>
  <c r="D1492" i="2"/>
  <c r="B1492" i="2"/>
  <c r="A1492" i="2"/>
  <c r="T1491" i="2"/>
  <c r="S1491" i="2"/>
  <c r="R1491" i="2"/>
  <c r="Q1491" i="2"/>
  <c r="P1491" i="2"/>
  <c r="O1491" i="2"/>
  <c r="N1491" i="2"/>
  <c r="M1491" i="2"/>
  <c r="L1491" i="2"/>
  <c r="K1491" i="2"/>
  <c r="J1491" i="2"/>
  <c r="I1491" i="2"/>
  <c r="H1491" i="2"/>
  <c r="G1491" i="2"/>
  <c r="F1491" i="2"/>
  <c r="D1491" i="2"/>
  <c r="B1491" i="2"/>
  <c r="A1491" i="2"/>
  <c r="T1490" i="2"/>
  <c r="S1490" i="2"/>
  <c r="R1490" i="2"/>
  <c r="Q1490" i="2"/>
  <c r="P1490" i="2"/>
  <c r="O1490" i="2"/>
  <c r="N1490" i="2"/>
  <c r="M1490" i="2"/>
  <c r="L1490" i="2"/>
  <c r="K1490" i="2"/>
  <c r="J1490" i="2"/>
  <c r="I1490" i="2"/>
  <c r="H1490" i="2"/>
  <c r="G1490" i="2"/>
  <c r="F1490" i="2"/>
  <c r="D1490" i="2"/>
  <c r="B1490" i="2"/>
  <c r="A1490" i="2"/>
  <c r="T1489" i="2"/>
  <c r="S1489" i="2"/>
  <c r="R1489" i="2"/>
  <c r="Q1489" i="2"/>
  <c r="P1489" i="2"/>
  <c r="O1489" i="2"/>
  <c r="N1489" i="2"/>
  <c r="M1489" i="2"/>
  <c r="L1489" i="2"/>
  <c r="K1489" i="2"/>
  <c r="J1489" i="2"/>
  <c r="I1489" i="2"/>
  <c r="H1489" i="2"/>
  <c r="G1489" i="2"/>
  <c r="F1489" i="2"/>
  <c r="D1489" i="2"/>
  <c r="B1489" i="2"/>
  <c r="A1489" i="2"/>
  <c r="T1488" i="2"/>
  <c r="S1488" i="2"/>
  <c r="R1488" i="2"/>
  <c r="Q1488" i="2"/>
  <c r="P1488" i="2"/>
  <c r="O1488" i="2"/>
  <c r="N1488" i="2"/>
  <c r="M1488" i="2"/>
  <c r="L1488" i="2"/>
  <c r="K1488" i="2"/>
  <c r="J1488" i="2"/>
  <c r="I1488" i="2"/>
  <c r="H1488" i="2"/>
  <c r="G1488" i="2"/>
  <c r="F1488" i="2"/>
  <c r="D1488" i="2"/>
  <c r="B1488" i="2"/>
  <c r="A1488" i="2"/>
  <c r="T1487" i="2"/>
  <c r="S1487" i="2"/>
  <c r="R1487" i="2"/>
  <c r="Q1487" i="2"/>
  <c r="P1487" i="2"/>
  <c r="O1487" i="2"/>
  <c r="N1487" i="2"/>
  <c r="M1487" i="2"/>
  <c r="L1487" i="2"/>
  <c r="K1487" i="2"/>
  <c r="J1487" i="2"/>
  <c r="I1487" i="2"/>
  <c r="H1487" i="2"/>
  <c r="G1487" i="2"/>
  <c r="F1487" i="2"/>
  <c r="D1487" i="2"/>
  <c r="B1487" i="2"/>
  <c r="A1487" i="2"/>
  <c r="T1486" i="2"/>
  <c r="S1486" i="2"/>
  <c r="R1486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D1486" i="2"/>
  <c r="B1486" i="2"/>
  <c r="A1486" i="2"/>
  <c r="T1485" i="2"/>
  <c r="S1485" i="2"/>
  <c r="R1485" i="2"/>
  <c r="Q1485" i="2"/>
  <c r="P1485" i="2"/>
  <c r="O1485" i="2"/>
  <c r="N1485" i="2"/>
  <c r="M1485" i="2"/>
  <c r="L1485" i="2"/>
  <c r="K1485" i="2"/>
  <c r="J1485" i="2"/>
  <c r="I1485" i="2"/>
  <c r="H1485" i="2"/>
  <c r="G1485" i="2"/>
  <c r="F1485" i="2"/>
  <c r="D1485" i="2"/>
  <c r="B1485" i="2"/>
  <c r="A1485" i="2"/>
  <c r="T1484" i="2"/>
  <c r="S1484" i="2"/>
  <c r="R1484" i="2"/>
  <c r="Q1484" i="2"/>
  <c r="P1484" i="2"/>
  <c r="O1484" i="2"/>
  <c r="N1484" i="2"/>
  <c r="M1484" i="2"/>
  <c r="L1484" i="2"/>
  <c r="K1484" i="2"/>
  <c r="J1484" i="2"/>
  <c r="I1484" i="2"/>
  <c r="H1484" i="2"/>
  <c r="G1484" i="2"/>
  <c r="F1484" i="2"/>
  <c r="D1484" i="2"/>
  <c r="B1484" i="2"/>
  <c r="A1484" i="2"/>
  <c r="T1483" i="2"/>
  <c r="S1483" i="2"/>
  <c r="R1483" i="2"/>
  <c r="Q1483" i="2"/>
  <c r="P1483" i="2"/>
  <c r="O1483" i="2"/>
  <c r="N1483" i="2"/>
  <c r="M1483" i="2"/>
  <c r="L1483" i="2"/>
  <c r="K1483" i="2"/>
  <c r="J1483" i="2"/>
  <c r="I1483" i="2"/>
  <c r="H1483" i="2"/>
  <c r="G1483" i="2"/>
  <c r="F1483" i="2"/>
  <c r="D1483" i="2"/>
  <c r="B1483" i="2"/>
  <c r="A1483" i="2"/>
  <c r="T1482" i="2"/>
  <c r="S1482" i="2"/>
  <c r="R1482" i="2"/>
  <c r="Q1482" i="2"/>
  <c r="P1482" i="2"/>
  <c r="O1482" i="2"/>
  <c r="N1482" i="2"/>
  <c r="M1482" i="2"/>
  <c r="L1482" i="2"/>
  <c r="K1482" i="2"/>
  <c r="J1482" i="2"/>
  <c r="I1482" i="2"/>
  <c r="H1482" i="2"/>
  <c r="G1482" i="2"/>
  <c r="F1482" i="2"/>
  <c r="D1482" i="2"/>
  <c r="B1482" i="2"/>
  <c r="A1482" i="2"/>
  <c r="T1481" i="2"/>
  <c r="S1481" i="2"/>
  <c r="R1481" i="2"/>
  <c r="Q1481" i="2"/>
  <c r="P1481" i="2"/>
  <c r="O1481" i="2"/>
  <c r="N1481" i="2"/>
  <c r="M1481" i="2"/>
  <c r="L1481" i="2"/>
  <c r="K1481" i="2"/>
  <c r="J1481" i="2"/>
  <c r="I1481" i="2"/>
  <c r="H1481" i="2"/>
  <c r="G1481" i="2"/>
  <c r="F1481" i="2"/>
  <c r="D1481" i="2"/>
  <c r="B1481" i="2"/>
  <c r="A1481" i="2"/>
  <c r="T1480" i="2"/>
  <c r="S1480" i="2"/>
  <c r="R1480" i="2"/>
  <c r="Q1480" i="2"/>
  <c r="P1480" i="2"/>
  <c r="O1480" i="2"/>
  <c r="N1480" i="2"/>
  <c r="M1480" i="2"/>
  <c r="L1480" i="2"/>
  <c r="K1480" i="2"/>
  <c r="J1480" i="2"/>
  <c r="I1480" i="2"/>
  <c r="H1480" i="2"/>
  <c r="G1480" i="2"/>
  <c r="F1480" i="2"/>
  <c r="D1480" i="2"/>
  <c r="B1480" i="2"/>
  <c r="A1480" i="2"/>
  <c r="T1479" i="2"/>
  <c r="S1479" i="2"/>
  <c r="R1479" i="2"/>
  <c r="Q1479" i="2"/>
  <c r="P1479" i="2"/>
  <c r="O1479" i="2"/>
  <c r="N1479" i="2"/>
  <c r="M1479" i="2"/>
  <c r="L1479" i="2"/>
  <c r="K1479" i="2"/>
  <c r="J1479" i="2"/>
  <c r="I1479" i="2"/>
  <c r="H1479" i="2"/>
  <c r="G1479" i="2"/>
  <c r="F1479" i="2"/>
  <c r="D1479" i="2"/>
  <c r="B1479" i="2"/>
  <c r="A1479" i="2"/>
  <c r="T1478" i="2"/>
  <c r="S1478" i="2"/>
  <c r="R1478" i="2"/>
  <c r="Q1478" i="2"/>
  <c r="P1478" i="2"/>
  <c r="O1478" i="2"/>
  <c r="N1478" i="2"/>
  <c r="M1478" i="2"/>
  <c r="L1478" i="2"/>
  <c r="K1478" i="2"/>
  <c r="J1478" i="2"/>
  <c r="I1478" i="2"/>
  <c r="H1478" i="2"/>
  <c r="G1478" i="2"/>
  <c r="F1478" i="2"/>
  <c r="D1478" i="2"/>
  <c r="B1478" i="2"/>
  <c r="A1478" i="2"/>
  <c r="T1477" i="2"/>
  <c r="S1477" i="2"/>
  <c r="R1477" i="2"/>
  <c r="Q1477" i="2"/>
  <c r="P1477" i="2"/>
  <c r="O1477" i="2"/>
  <c r="N1477" i="2"/>
  <c r="M1477" i="2"/>
  <c r="L1477" i="2"/>
  <c r="K1477" i="2"/>
  <c r="J1477" i="2"/>
  <c r="I1477" i="2"/>
  <c r="H1477" i="2"/>
  <c r="G1477" i="2"/>
  <c r="F1477" i="2"/>
  <c r="D1477" i="2"/>
  <c r="B1477" i="2"/>
  <c r="A1477" i="2"/>
  <c r="T1476" i="2"/>
  <c r="S1476" i="2"/>
  <c r="R1476" i="2"/>
  <c r="Q1476" i="2"/>
  <c r="P1476" i="2"/>
  <c r="O1476" i="2"/>
  <c r="N1476" i="2"/>
  <c r="M1476" i="2"/>
  <c r="L1476" i="2"/>
  <c r="K1476" i="2"/>
  <c r="J1476" i="2"/>
  <c r="I1476" i="2"/>
  <c r="H1476" i="2"/>
  <c r="G1476" i="2"/>
  <c r="F1476" i="2"/>
  <c r="D1476" i="2"/>
  <c r="B1476" i="2"/>
  <c r="A1476" i="2"/>
  <c r="T1475" i="2"/>
  <c r="S1475" i="2"/>
  <c r="R1475" i="2"/>
  <c r="Q1475" i="2"/>
  <c r="P1475" i="2"/>
  <c r="O1475" i="2"/>
  <c r="N1475" i="2"/>
  <c r="M1475" i="2"/>
  <c r="L1475" i="2"/>
  <c r="K1475" i="2"/>
  <c r="J1475" i="2"/>
  <c r="I1475" i="2"/>
  <c r="H1475" i="2"/>
  <c r="G1475" i="2"/>
  <c r="F1475" i="2"/>
  <c r="D1475" i="2"/>
  <c r="B1475" i="2"/>
  <c r="A1475" i="2"/>
  <c r="T1474" i="2"/>
  <c r="S1474" i="2"/>
  <c r="R1474" i="2"/>
  <c r="Q1474" i="2"/>
  <c r="P1474" i="2"/>
  <c r="O1474" i="2"/>
  <c r="N1474" i="2"/>
  <c r="M1474" i="2"/>
  <c r="L1474" i="2"/>
  <c r="K1474" i="2"/>
  <c r="J1474" i="2"/>
  <c r="I1474" i="2"/>
  <c r="H1474" i="2"/>
  <c r="G1474" i="2"/>
  <c r="F1474" i="2"/>
  <c r="D1474" i="2"/>
  <c r="B1474" i="2"/>
  <c r="A1474" i="2"/>
  <c r="T1473" i="2"/>
  <c r="S1473" i="2"/>
  <c r="R1473" i="2"/>
  <c r="Q1473" i="2"/>
  <c r="P1473" i="2"/>
  <c r="O1473" i="2"/>
  <c r="N1473" i="2"/>
  <c r="M1473" i="2"/>
  <c r="L1473" i="2"/>
  <c r="K1473" i="2"/>
  <c r="J1473" i="2"/>
  <c r="I1473" i="2"/>
  <c r="H1473" i="2"/>
  <c r="G1473" i="2"/>
  <c r="F1473" i="2"/>
  <c r="D1473" i="2"/>
  <c r="B1473" i="2"/>
  <c r="A1473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H1472" i="2"/>
  <c r="G1472" i="2"/>
  <c r="F1472" i="2"/>
  <c r="D1472" i="2"/>
  <c r="B1472" i="2"/>
  <c r="A1472" i="2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H1471" i="2"/>
  <c r="G1471" i="2"/>
  <c r="F1471" i="2"/>
  <c r="D1471" i="2"/>
  <c r="B1471" i="2"/>
  <c r="A1471" i="2"/>
  <c r="T1470" i="2"/>
  <c r="S1470" i="2"/>
  <c r="R1470" i="2"/>
  <c r="Q1470" i="2"/>
  <c r="P1470" i="2"/>
  <c r="O1470" i="2"/>
  <c r="N1470" i="2"/>
  <c r="M1470" i="2"/>
  <c r="L1470" i="2"/>
  <c r="K1470" i="2"/>
  <c r="J1470" i="2"/>
  <c r="I1470" i="2"/>
  <c r="H1470" i="2"/>
  <c r="G1470" i="2"/>
  <c r="F1470" i="2"/>
  <c r="D1470" i="2"/>
  <c r="B1470" i="2"/>
  <c r="A1470" i="2"/>
  <c r="T1469" i="2"/>
  <c r="S1469" i="2"/>
  <c r="R1469" i="2"/>
  <c r="Q1469" i="2"/>
  <c r="P1469" i="2"/>
  <c r="O1469" i="2"/>
  <c r="N1469" i="2"/>
  <c r="M1469" i="2"/>
  <c r="L1469" i="2"/>
  <c r="K1469" i="2"/>
  <c r="J1469" i="2"/>
  <c r="I1469" i="2"/>
  <c r="H1469" i="2"/>
  <c r="G1469" i="2"/>
  <c r="F1469" i="2"/>
  <c r="D1469" i="2"/>
  <c r="B1469" i="2"/>
  <c r="A1469" i="2"/>
  <c r="T1468" i="2"/>
  <c r="S1468" i="2"/>
  <c r="R1468" i="2"/>
  <c r="Q1468" i="2"/>
  <c r="P1468" i="2"/>
  <c r="O1468" i="2"/>
  <c r="N1468" i="2"/>
  <c r="M1468" i="2"/>
  <c r="L1468" i="2"/>
  <c r="K1468" i="2"/>
  <c r="J1468" i="2"/>
  <c r="I1468" i="2"/>
  <c r="H1468" i="2"/>
  <c r="G1468" i="2"/>
  <c r="F1468" i="2"/>
  <c r="D1468" i="2"/>
  <c r="B1468" i="2"/>
  <c r="A1468" i="2"/>
  <c r="T1467" i="2"/>
  <c r="S1467" i="2"/>
  <c r="R1467" i="2"/>
  <c r="Q1467" i="2"/>
  <c r="P1467" i="2"/>
  <c r="O1467" i="2"/>
  <c r="N1467" i="2"/>
  <c r="M1467" i="2"/>
  <c r="L1467" i="2"/>
  <c r="K1467" i="2"/>
  <c r="J1467" i="2"/>
  <c r="I1467" i="2"/>
  <c r="H1467" i="2"/>
  <c r="G1467" i="2"/>
  <c r="F1467" i="2"/>
  <c r="D1467" i="2"/>
  <c r="B1467" i="2"/>
  <c r="A1467" i="2"/>
  <c r="T1466" i="2"/>
  <c r="S1466" i="2"/>
  <c r="R1466" i="2"/>
  <c r="Q1466" i="2"/>
  <c r="P1466" i="2"/>
  <c r="O1466" i="2"/>
  <c r="N1466" i="2"/>
  <c r="M1466" i="2"/>
  <c r="L1466" i="2"/>
  <c r="K1466" i="2"/>
  <c r="J1466" i="2"/>
  <c r="I1466" i="2"/>
  <c r="H1466" i="2"/>
  <c r="G1466" i="2"/>
  <c r="F1466" i="2"/>
  <c r="D1466" i="2"/>
  <c r="B1466" i="2"/>
  <c r="A1466" i="2"/>
  <c r="T1465" i="2"/>
  <c r="S1465" i="2"/>
  <c r="R1465" i="2"/>
  <c r="Q1465" i="2"/>
  <c r="P1465" i="2"/>
  <c r="O1465" i="2"/>
  <c r="N1465" i="2"/>
  <c r="M1465" i="2"/>
  <c r="L1465" i="2"/>
  <c r="K1465" i="2"/>
  <c r="J1465" i="2"/>
  <c r="I1465" i="2"/>
  <c r="H1465" i="2"/>
  <c r="G1465" i="2"/>
  <c r="F1465" i="2"/>
  <c r="D1465" i="2"/>
  <c r="B1465" i="2"/>
  <c r="A1465" i="2"/>
  <c r="T1464" i="2"/>
  <c r="S1464" i="2"/>
  <c r="R1464" i="2"/>
  <c r="Q1464" i="2"/>
  <c r="P1464" i="2"/>
  <c r="O1464" i="2"/>
  <c r="N1464" i="2"/>
  <c r="M1464" i="2"/>
  <c r="L1464" i="2"/>
  <c r="K1464" i="2"/>
  <c r="J1464" i="2"/>
  <c r="I1464" i="2"/>
  <c r="H1464" i="2"/>
  <c r="G1464" i="2"/>
  <c r="F1464" i="2"/>
  <c r="D1464" i="2"/>
  <c r="B1464" i="2"/>
  <c r="A1464" i="2"/>
  <c r="T1463" i="2"/>
  <c r="S1463" i="2"/>
  <c r="R1463" i="2"/>
  <c r="Q1463" i="2"/>
  <c r="P1463" i="2"/>
  <c r="O1463" i="2"/>
  <c r="N1463" i="2"/>
  <c r="M1463" i="2"/>
  <c r="L1463" i="2"/>
  <c r="K1463" i="2"/>
  <c r="J1463" i="2"/>
  <c r="I1463" i="2"/>
  <c r="H1463" i="2"/>
  <c r="G1463" i="2"/>
  <c r="F1463" i="2"/>
  <c r="D1463" i="2"/>
  <c r="B1463" i="2"/>
  <c r="A1463" i="2"/>
  <c r="T1462" i="2"/>
  <c r="S1462" i="2"/>
  <c r="R1462" i="2"/>
  <c r="Q1462" i="2"/>
  <c r="P1462" i="2"/>
  <c r="O1462" i="2"/>
  <c r="N1462" i="2"/>
  <c r="M1462" i="2"/>
  <c r="L1462" i="2"/>
  <c r="K1462" i="2"/>
  <c r="J1462" i="2"/>
  <c r="I1462" i="2"/>
  <c r="H1462" i="2"/>
  <c r="G1462" i="2"/>
  <c r="F1462" i="2"/>
  <c r="D1462" i="2"/>
  <c r="B1462" i="2"/>
  <c r="A1462" i="2"/>
  <c r="T1461" i="2"/>
  <c r="S1461" i="2"/>
  <c r="R1461" i="2"/>
  <c r="Q1461" i="2"/>
  <c r="P1461" i="2"/>
  <c r="O1461" i="2"/>
  <c r="N1461" i="2"/>
  <c r="M1461" i="2"/>
  <c r="L1461" i="2"/>
  <c r="K1461" i="2"/>
  <c r="J1461" i="2"/>
  <c r="I1461" i="2"/>
  <c r="H1461" i="2"/>
  <c r="G1461" i="2"/>
  <c r="F1461" i="2"/>
  <c r="D1461" i="2"/>
  <c r="B1461" i="2"/>
  <c r="A1461" i="2"/>
  <c r="T1460" i="2"/>
  <c r="S1460" i="2"/>
  <c r="R1460" i="2"/>
  <c r="Q1460" i="2"/>
  <c r="P1460" i="2"/>
  <c r="O1460" i="2"/>
  <c r="N1460" i="2"/>
  <c r="M1460" i="2"/>
  <c r="L1460" i="2"/>
  <c r="K1460" i="2"/>
  <c r="J1460" i="2"/>
  <c r="I1460" i="2"/>
  <c r="H1460" i="2"/>
  <c r="G1460" i="2"/>
  <c r="F1460" i="2"/>
  <c r="D1460" i="2"/>
  <c r="B1460" i="2"/>
  <c r="A1460" i="2"/>
  <c r="T1459" i="2"/>
  <c r="S1459" i="2"/>
  <c r="R1459" i="2"/>
  <c r="Q1459" i="2"/>
  <c r="P1459" i="2"/>
  <c r="O1459" i="2"/>
  <c r="N1459" i="2"/>
  <c r="M1459" i="2"/>
  <c r="L1459" i="2"/>
  <c r="K1459" i="2"/>
  <c r="J1459" i="2"/>
  <c r="I1459" i="2"/>
  <c r="H1459" i="2"/>
  <c r="G1459" i="2"/>
  <c r="F1459" i="2"/>
  <c r="D1459" i="2"/>
  <c r="B1459" i="2"/>
  <c r="A1459" i="2"/>
  <c r="T1458" i="2"/>
  <c r="S1458" i="2"/>
  <c r="R1458" i="2"/>
  <c r="Q1458" i="2"/>
  <c r="P1458" i="2"/>
  <c r="O1458" i="2"/>
  <c r="N1458" i="2"/>
  <c r="M1458" i="2"/>
  <c r="L1458" i="2"/>
  <c r="K1458" i="2"/>
  <c r="J1458" i="2"/>
  <c r="I1458" i="2"/>
  <c r="H1458" i="2"/>
  <c r="G1458" i="2"/>
  <c r="F1458" i="2"/>
  <c r="D1458" i="2"/>
  <c r="B1458" i="2"/>
  <c r="A1458" i="2"/>
  <c r="T1457" i="2"/>
  <c r="S1457" i="2"/>
  <c r="R1457" i="2"/>
  <c r="Q1457" i="2"/>
  <c r="P1457" i="2"/>
  <c r="O1457" i="2"/>
  <c r="N1457" i="2"/>
  <c r="M1457" i="2"/>
  <c r="L1457" i="2"/>
  <c r="K1457" i="2"/>
  <c r="J1457" i="2"/>
  <c r="I1457" i="2"/>
  <c r="H1457" i="2"/>
  <c r="G1457" i="2"/>
  <c r="F1457" i="2"/>
  <c r="D1457" i="2"/>
  <c r="B1457" i="2"/>
  <c r="A1457" i="2"/>
  <c r="T1456" i="2"/>
  <c r="S1456" i="2"/>
  <c r="R1456" i="2"/>
  <c r="Q1456" i="2"/>
  <c r="P1456" i="2"/>
  <c r="O1456" i="2"/>
  <c r="N1456" i="2"/>
  <c r="M1456" i="2"/>
  <c r="L1456" i="2"/>
  <c r="K1456" i="2"/>
  <c r="J1456" i="2"/>
  <c r="I1456" i="2"/>
  <c r="H1456" i="2"/>
  <c r="G1456" i="2"/>
  <c r="F1456" i="2"/>
  <c r="D1456" i="2"/>
  <c r="B1456" i="2"/>
  <c r="A1456" i="2"/>
  <c r="T1455" i="2"/>
  <c r="S1455" i="2"/>
  <c r="R1455" i="2"/>
  <c r="Q1455" i="2"/>
  <c r="P1455" i="2"/>
  <c r="O1455" i="2"/>
  <c r="N1455" i="2"/>
  <c r="M1455" i="2"/>
  <c r="L1455" i="2"/>
  <c r="K1455" i="2"/>
  <c r="J1455" i="2"/>
  <c r="I1455" i="2"/>
  <c r="H1455" i="2"/>
  <c r="G1455" i="2"/>
  <c r="F1455" i="2"/>
  <c r="D1455" i="2"/>
  <c r="B1455" i="2"/>
  <c r="A1455" i="2"/>
  <c r="T1454" i="2"/>
  <c r="S1454" i="2"/>
  <c r="R1454" i="2"/>
  <c r="Q1454" i="2"/>
  <c r="P1454" i="2"/>
  <c r="O1454" i="2"/>
  <c r="N1454" i="2"/>
  <c r="M1454" i="2"/>
  <c r="L1454" i="2"/>
  <c r="K1454" i="2"/>
  <c r="J1454" i="2"/>
  <c r="I1454" i="2"/>
  <c r="H1454" i="2"/>
  <c r="G1454" i="2"/>
  <c r="F1454" i="2"/>
  <c r="D1454" i="2"/>
  <c r="B1454" i="2"/>
  <c r="A1454" i="2"/>
  <c r="T1453" i="2"/>
  <c r="S1453" i="2"/>
  <c r="R1453" i="2"/>
  <c r="Q1453" i="2"/>
  <c r="P1453" i="2"/>
  <c r="O1453" i="2"/>
  <c r="N1453" i="2"/>
  <c r="M1453" i="2"/>
  <c r="L1453" i="2"/>
  <c r="K1453" i="2"/>
  <c r="J1453" i="2"/>
  <c r="I1453" i="2"/>
  <c r="H1453" i="2"/>
  <c r="G1453" i="2"/>
  <c r="F1453" i="2"/>
  <c r="D1453" i="2"/>
  <c r="B1453" i="2"/>
  <c r="A1453" i="2"/>
  <c r="T1452" i="2"/>
  <c r="S1452" i="2"/>
  <c r="R1452" i="2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D1452" i="2"/>
  <c r="B1452" i="2"/>
  <c r="A1452" i="2"/>
  <c r="T1451" i="2"/>
  <c r="S1451" i="2"/>
  <c r="R1451" i="2"/>
  <c r="Q1451" i="2"/>
  <c r="P1451" i="2"/>
  <c r="O1451" i="2"/>
  <c r="N1451" i="2"/>
  <c r="M1451" i="2"/>
  <c r="L1451" i="2"/>
  <c r="K1451" i="2"/>
  <c r="J1451" i="2"/>
  <c r="I1451" i="2"/>
  <c r="H1451" i="2"/>
  <c r="G1451" i="2"/>
  <c r="F1451" i="2"/>
  <c r="D1451" i="2"/>
  <c r="B1451" i="2"/>
  <c r="A1451" i="2"/>
  <c r="T1450" i="2"/>
  <c r="S1450" i="2"/>
  <c r="R1450" i="2"/>
  <c r="Q1450" i="2"/>
  <c r="P1450" i="2"/>
  <c r="O1450" i="2"/>
  <c r="N1450" i="2"/>
  <c r="M1450" i="2"/>
  <c r="L1450" i="2"/>
  <c r="K1450" i="2"/>
  <c r="J1450" i="2"/>
  <c r="I1450" i="2"/>
  <c r="H1450" i="2"/>
  <c r="G1450" i="2"/>
  <c r="F1450" i="2"/>
  <c r="D1450" i="2"/>
  <c r="B1450" i="2"/>
  <c r="A1450" i="2"/>
  <c r="T1449" i="2"/>
  <c r="S1449" i="2"/>
  <c r="R1449" i="2"/>
  <c r="Q1449" i="2"/>
  <c r="P1449" i="2"/>
  <c r="O1449" i="2"/>
  <c r="N1449" i="2"/>
  <c r="M1449" i="2"/>
  <c r="L1449" i="2"/>
  <c r="K1449" i="2"/>
  <c r="J1449" i="2"/>
  <c r="I1449" i="2"/>
  <c r="H1449" i="2"/>
  <c r="G1449" i="2"/>
  <c r="F1449" i="2"/>
  <c r="D1449" i="2"/>
  <c r="B1449" i="2"/>
  <c r="A1449" i="2"/>
  <c r="T1448" i="2"/>
  <c r="S1448" i="2"/>
  <c r="R1448" i="2"/>
  <c r="Q1448" i="2"/>
  <c r="P1448" i="2"/>
  <c r="O1448" i="2"/>
  <c r="N1448" i="2"/>
  <c r="M1448" i="2"/>
  <c r="L1448" i="2"/>
  <c r="K1448" i="2"/>
  <c r="J1448" i="2"/>
  <c r="I1448" i="2"/>
  <c r="H1448" i="2"/>
  <c r="G1448" i="2"/>
  <c r="F1448" i="2"/>
  <c r="D1448" i="2"/>
  <c r="B1448" i="2"/>
  <c r="A1448" i="2"/>
  <c r="T1447" i="2"/>
  <c r="S1447" i="2"/>
  <c r="R1447" i="2"/>
  <c r="Q1447" i="2"/>
  <c r="P1447" i="2"/>
  <c r="O1447" i="2"/>
  <c r="N1447" i="2"/>
  <c r="M1447" i="2"/>
  <c r="L1447" i="2"/>
  <c r="K1447" i="2"/>
  <c r="J1447" i="2"/>
  <c r="I1447" i="2"/>
  <c r="H1447" i="2"/>
  <c r="G1447" i="2"/>
  <c r="F1447" i="2"/>
  <c r="D1447" i="2"/>
  <c r="B1447" i="2"/>
  <c r="A1447" i="2"/>
  <c r="T1446" i="2"/>
  <c r="S1446" i="2"/>
  <c r="R1446" i="2"/>
  <c r="Q1446" i="2"/>
  <c r="P1446" i="2"/>
  <c r="O1446" i="2"/>
  <c r="N1446" i="2"/>
  <c r="M1446" i="2"/>
  <c r="L1446" i="2"/>
  <c r="K1446" i="2"/>
  <c r="J1446" i="2"/>
  <c r="I1446" i="2"/>
  <c r="H1446" i="2"/>
  <c r="G1446" i="2"/>
  <c r="F1446" i="2"/>
  <c r="D1446" i="2"/>
  <c r="B1446" i="2"/>
  <c r="A1446" i="2"/>
  <c r="T1445" i="2"/>
  <c r="S1445" i="2"/>
  <c r="R1445" i="2"/>
  <c r="Q1445" i="2"/>
  <c r="P1445" i="2"/>
  <c r="O1445" i="2"/>
  <c r="N1445" i="2"/>
  <c r="M1445" i="2"/>
  <c r="L1445" i="2"/>
  <c r="K1445" i="2"/>
  <c r="J1445" i="2"/>
  <c r="I1445" i="2"/>
  <c r="H1445" i="2"/>
  <c r="G1445" i="2"/>
  <c r="F1445" i="2"/>
  <c r="D1445" i="2"/>
  <c r="B1445" i="2"/>
  <c r="A1445" i="2"/>
  <c r="T1444" i="2"/>
  <c r="S1444" i="2"/>
  <c r="R1444" i="2"/>
  <c r="Q1444" i="2"/>
  <c r="P1444" i="2"/>
  <c r="O1444" i="2"/>
  <c r="N1444" i="2"/>
  <c r="M1444" i="2"/>
  <c r="L1444" i="2"/>
  <c r="K1444" i="2"/>
  <c r="J1444" i="2"/>
  <c r="I1444" i="2"/>
  <c r="H1444" i="2"/>
  <c r="G1444" i="2"/>
  <c r="F1444" i="2"/>
  <c r="D1444" i="2"/>
  <c r="B1444" i="2"/>
  <c r="A1444" i="2"/>
  <c r="T1443" i="2"/>
  <c r="S1443" i="2"/>
  <c r="R1443" i="2"/>
  <c r="Q1443" i="2"/>
  <c r="P1443" i="2"/>
  <c r="O1443" i="2"/>
  <c r="N1443" i="2"/>
  <c r="M1443" i="2"/>
  <c r="L1443" i="2"/>
  <c r="K1443" i="2"/>
  <c r="J1443" i="2"/>
  <c r="I1443" i="2"/>
  <c r="H1443" i="2"/>
  <c r="G1443" i="2"/>
  <c r="F1443" i="2"/>
  <c r="D1443" i="2"/>
  <c r="B1443" i="2"/>
  <c r="A1443" i="2"/>
  <c r="T1442" i="2"/>
  <c r="S1442" i="2"/>
  <c r="R1442" i="2"/>
  <c r="Q1442" i="2"/>
  <c r="P1442" i="2"/>
  <c r="O1442" i="2"/>
  <c r="N1442" i="2"/>
  <c r="M1442" i="2"/>
  <c r="L1442" i="2"/>
  <c r="K1442" i="2"/>
  <c r="J1442" i="2"/>
  <c r="I1442" i="2"/>
  <c r="H1442" i="2"/>
  <c r="G1442" i="2"/>
  <c r="F1442" i="2"/>
  <c r="D1442" i="2"/>
  <c r="B1442" i="2"/>
  <c r="A1442" i="2"/>
  <c r="T1441" i="2"/>
  <c r="S1441" i="2"/>
  <c r="R1441" i="2"/>
  <c r="Q1441" i="2"/>
  <c r="P1441" i="2"/>
  <c r="O1441" i="2"/>
  <c r="N1441" i="2"/>
  <c r="M1441" i="2"/>
  <c r="L1441" i="2"/>
  <c r="K1441" i="2"/>
  <c r="J1441" i="2"/>
  <c r="I1441" i="2"/>
  <c r="H1441" i="2"/>
  <c r="G1441" i="2"/>
  <c r="F1441" i="2"/>
  <c r="D1441" i="2"/>
  <c r="B1441" i="2"/>
  <c r="A1441" i="2"/>
  <c r="T1440" i="2"/>
  <c r="S1440" i="2"/>
  <c r="R1440" i="2"/>
  <c r="Q1440" i="2"/>
  <c r="P1440" i="2"/>
  <c r="O1440" i="2"/>
  <c r="N1440" i="2"/>
  <c r="M1440" i="2"/>
  <c r="L1440" i="2"/>
  <c r="K1440" i="2"/>
  <c r="J1440" i="2"/>
  <c r="I1440" i="2"/>
  <c r="H1440" i="2"/>
  <c r="G1440" i="2"/>
  <c r="F1440" i="2"/>
  <c r="D1440" i="2"/>
  <c r="B1440" i="2"/>
  <c r="A1440" i="2"/>
  <c r="T1439" i="2"/>
  <c r="S1439" i="2"/>
  <c r="R1439" i="2"/>
  <c r="Q1439" i="2"/>
  <c r="P1439" i="2"/>
  <c r="O1439" i="2"/>
  <c r="N1439" i="2"/>
  <c r="M1439" i="2"/>
  <c r="L1439" i="2"/>
  <c r="K1439" i="2"/>
  <c r="J1439" i="2"/>
  <c r="I1439" i="2"/>
  <c r="H1439" i="2"/>
  <c r="G1439" i="2"/>
  <c r="F1439" i="2"/>
  <c r="D1439" i="2"/>
  <c r="B1439" i="2"/>
  <c r="A1439" i="2"/>
  <c r="T1438" i="2"/>
  <c r="S1438" i="2"/>
  <c r="R1438" i="2"/>
  <c r="Q1438" i="2"/>
  <c r="P1438" i="2"/>
  <c r="O1438" i="2"/>
  <c r="N1438" i="2"/>
  <c r="M1438" i="2"/>
  <c r="L1438" i="2"/>
  <c r="K1438" i="2"/>
  <c r="J1438" i="2"/>
  <c r="I1438" i="2"/>
  <c r="H1438" i="2"/>
  <c r="G1438" i="2"/>
  <c r="F1438" i="2"/>
  <c r="D1438" i="2"/>
  <c r="B1438" i="2"/>
  <c r="A1438" i="2"/>
  <c r="T1437" i="2"/>
  <c r="S1437" i="2"/>
  <c r="R1437" i="2"/>
  <c r="Q1437" i="2"/>
  <c r="P1437" i="2"/>
  <c r="O1437" i="2"/>
  <c r="N1437" i="2"/>
  <c r="M1437" i="2"/>
  <c r="L1437" i="2"/>
  <c r="K1437" i="2"/>
  <c r="J1437" i="2"/>
  <c r="I1437" i="2"/>
  <c r="H1437" i="2"/>
  <c r="G1437" i="2"/>
  <c r="F1437" i="2"/>
  <c r="D1437" i="2"/>
  <c r="B1437" i="2"/>
  <c r="A1437" i="2"/>
  <c r="T1436" i="2"/>
  <c r="S1436" i="2"/>
  <c r="R1436" i="2"/>
  <c r="Q1436" i="2"/>
  <c r="P1436" i="2"/>
  <c r="O1436" i="2"/>
  <c r="N1436" i="2"/>
  <c r="M1436" i="2"/>
  <c r="L1436" i="2"/>
  <c r="K1436" i="2"/>
  <c r="J1436" i="2"/>
  <c r="I1436" i="2"/>
  <c r="H1436" i="2"/>
  <c r="G1436" i="2"/>
  <c r="F1436" i="2"/>
  <c r="D1436" i="2"/>
  <c r="B1436" i="2"/>
  <c r="A1436" i="2"/>
  <c r="T1435" i="2"/>
  <c r="S1435" i="2"/>
  <c r="R1435" i="2"/>
  <c r="Q1435" i="2"/>
  <c r="P1435" i="2"/>
  <c r="O1435" i="2"/>
  <c r="N1435" i="2"/>
  <c r="M1435" i="2"/>
  <c r="L1435" i="2"/>
  <c r="K1435" i="2"/>
  <c r="J1435" i="2"/>
  <c r="I1435" i="2"/>
  <c r="H1435" i="2"/>
  <c r="G1435" i="2"/>
  <c r="F1435" i="2"/>
  <c r="D1435" i="2"/>
  <c r="B1435" i="2"/>
  <c r="A1435" i="2"/>
  <c r="T1434" i="2"/>
  <c r="S1434" i="2"/>
  <c r="R1434" i="2"/>
  <c r="Q1434" i="2"/>
  <c r="P1434" i="2"/>
  <c r="O1434" i="2"/>
  <c r="N1434" i="2"/>
  <c r="M1434" i="2"/>
  <c r="L1434" i="2"/>
  <c r="K1434" i="2"/>
  <c r="J1434" i="2"/>
  <c r="I1434" i="2"/>
  <c r="H1434" i="2"/>
  <c r="G1434" i="2"/>
  <c r="F1434" i="2"/>
  <c r="D1434" i="2"/>
  <c r="B1434" i="2"/>
  <c r="A1434" i="2"/>
  <c r="T1433" i="2"/>
  <c r="S1433" i="2"/>
  <c r="R1433" i="2"/>
  <c r="Q1433" i="2"/>
  <c r="P1433" i="2"/>
  <c r="O1433" i="2"/>
  <c r="N1433" i="2"/>
  <c r="M1433" i="2"/>
  <c r="L1433" i="2"/>
  <c r="K1433" i="2"/>
  <c r="J1433" i="2"/>
  <c r="I1433" i="2"/>
  <c r="H1433" i="2"/>
  <c r="G1433" i="2"/>
  <c r="F1433" i="2"/>
  <c r="D1433" i="2"/>
  <c r="B1433" i="2"/>
  <c r="A1433" i="2"/>
  <c r="T1432" i="2"/>
  <c r="S1432" i="2"/>
  <c r="R1432" i="2"/>
  <c r="Q1432" i="2"/>
  <c r="P1432" i="2"/>
  <c r="O1432" i="2"/>
  <c r="N1432" i="2"/>
  <c r="M1432" i="2"/>
  <c r="L1432" i="2"/>
  <c r="K1432" i="2"/>
  <c r="J1432" i="2"/>
  <c r="I1432" i="2"/>
  <c r="H1432" i="2"/>
  <c r="G1432" i="2"/>
  <c r="F1432" i="2"/>
  <c r="D1432" i="2"/>
  <c r="B1432" i="2"/>
  <c r="A1432" i="2"/>
  <c r="T1431" i="2"/>
  <c r="S1431" i="2"/>
  <c r="R1431" i="2"/>
  <c r="Q1431" i="2"/>
  <c r="P1431" i="2"/>
  <c r="O1431" i="2"/>
  <c r="N1431" i="2"/>
  <c r="M1431" i="2"/>
  <c r="L1431" i="2"/>
  <c r="K1431" i="2"/>
  <c r="J1431" i="2"/>
  <c r="I1431" i="2"/>
  <c r="H1431" i="2"/>
  <c r="G1431" i="2"/>
  <c r="F1431" i="2"/>
  <c r="D1431" i="2"/>
  <c r="B1431" i="2"/>
  <c r="A1431" i="2"/>
  <c r="T1430" i="2"/>
  <c r="S1430" i="2"/>
  <c r="R1430" i="2"/>
  <c r="Q1430" i="2"/>
  <c r="P1430" i="2"/>
  <c r="O1430" i="2"/>
  <c r="N1430" i="2"/>
  <c r="M1430" i="2"/>
  <c r="L1430" i="2"/>
  <c r="K1430" i="2"/>
  <c r="J1430" i="2"/>
  <c r="I1430" i="2"/>
  <c r="H1430" i="2"/>
  <c r="G1430" i="2"/>
  <c r="F1430" i="2"/>
  <c r="D1430" i="2"/>
  <c r="B1430" i="2"/>
  <c r="A1430" i="2"/>
  <c r="T1429" i="2"/>
  <c r="S1429" i="2"/>
  <c r="R1429" i="2"/>
  <c r="Q1429" i="2"/>
  <c r="P1429" i="2"/>
  <c r="O1429" i="2"/>
  <c r="N1429" i="2"/>
  <c r="M1429" i="2"/>
  <c r="L1429" i="2"/>
  <c r="K1429" i="2"/>
  <c r="J1429" i="2"/>
  <c r="I1429" i="2"/>
  <c r="H1429" i="2"/>
  <c r="G1429" i="2"/>
  <c r="F1429" i="2"/>
  <c r="D1429" i="2"/>
  <c r="B1429" i="2"/>
  <c r="A1429" i="2"/>
  <c r="T1428" i="2"/>
  <c r="S1428" i="2"/>
  <c r="R1428" i="2"/>
  <c r="Q1428" i="2"/>
  <c r="P1428" i="2"/>
  <c r="O1428" i="2"/>
  <c r="N1428" i="2"/>
  <c r="M1428" i="2"/>
  <c r="L1428" i="2"/>
  <c r="K1428" i="2"/>
  <c r="J1428" i="2"/>
  <c r="I1428" i="2"/>
  <c r="H1428" i="2"/>
  <c r="G1428" i="2"/>
  <c r="F1428" i="2"/>
  <c r="D1428" i="2"/>
  <c r="B1428" i="2"/>
  <c r="A1428" i="2"/>
  <c r="T1427" i="2"/>
  <c r="S1427" i="2"/>
  <c r="R1427" i="2"/>
  <c r="Q1427" i="2"/>
  <c r="P1427" i="2"/>
  <c r="O1427" i="2"/>
  <c r="N1427" i="2"/>
  <c r="M1427" i="2"/>
  <c r="L1427" i="2"/>
  <c r="K1427" i="2"/>
  <c r="J1427" i="2"/>
  <c r="I1427" i="2"/>
  <c r="H1427" i="2"/>
  <c r="G1427" i="2"/>
  <c r="F1427" i="2"/>
  <c r="D1427" i="2"/>
  <c r="B1427" i="2"/>
  <c r="A1427" i="2"/>
  <c r="T1426" i="2"/>
  <c r="S1426" i="2"/>
  <c r="R1426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D1426" i="2"/>
  <c r="B1426" i="2"/>
  <c r="A1426" i="2"/>
  <c r="T1425" i="2"/>
  <c r="S1425" i="2"/>
  <c r="R1425" i="2"/>
  <c r="Q1425" i="2"/>
  <c r="P1425" i="2"/>
  <c r="O1425" i="2"/>
  <c r="N1425" i="2"/>
  <c r="M1425" i="2"/>
  <c r="L1425" i="2"/>
  <c r="K1425" i="2"/>
  <c r="J1425" i="2"/>
  <c r="I1425" i="2"/>
  <c r="H1425" i="2"/>
  <c r="G1425" i="2"/>
  <c r="F1425" i="2"/>
  <c r="D1425" i="2"/>
  <c r="B1425" i="2"/>
  <c r="A1425" i="2"/>
  <c r="T1424" i="2"/>
  <c r="S1424" i="2"/>
  <c r="R1424" i="2"/>
  <c r="Q1424" i="2"/>
  <c r="P1424" i="2"/>
  <c r="O1424" i="2"/>
  <c r="N1424" i="2"/>
  <c r="M1424" i="2"/>
  <c r="L1424" i="2"/>
  <c r="K1424" i="2"/>
  <c r="J1424" i="2"/>
  <c r="I1424" i="2"/>
  <c r="H1424" i="2"/>
  <c r="G1424" i="2"/>
  <c r="F1424" i="2"/>
  <c r="D1424" i="2"/>
  <c r="B1424" i="2"/>
  <c r="A1424" i="2"/>
  <c r="T1423" i="2"/>
  <c r="S1423" i="2"/>
  <c r="R1423" i="2"/>
  <c r="Q1423" i="2"/>
  <c r="P1423" i="2"/>
  <c r="O1423" i="2"/>
  <c r="N1423" i="2"/>
  <c r="M1423" i="2"/>
  <c r="L1423" i="2"/>
  <c r="K1423" i="2"/>
  <c r="J1423" i="2"/>
  <c r="I1423" i="2"/>
  <c r="H1423" i="2"/>
  <c r="G1423" i="2"/>
  <c r="F1423" i="2"/>
  <c r="D1423" i="2"/>
  <c r="B1423" i="2"/>
  <c r="A1423" i="2"/>
  <c r="T1422" i="2"/>
  <c r="S1422" i="2"/>
  <c r="R1422" i="2"/>
  <c r="Q1422" i="2"/>
  <c r="P1422" i="2"/>
  <c r="O1422" i="2"/>
  <c r="N1422" i="2"/>
  <c r="M1422" i="2"/>
  <c r="L1422" i="2"/>
  <c r="K1422" i="2"/>
  <c r="J1422" i="2"/>
  <c r="I1422" i="2"/>
  <c r="H1422" i="2"/>
  <c r="G1422" i="2"/>
  <c r="F1422" i="2"/>
  <c r="D1422" i="2"/>
  <c r="B1422" i="2"/>
  <c r="A1422" i="2"/>
  <c r="T1421" i="2"/>
  <c r="S1421" i="2"/>
  <c r="R1421" i="2"/>
  <c r="Q1421" i="2"/>
  <c r="P1421" i="2"/>
  <c r="O1421" i="2"/>
  <c r="N1421" i="2"/>
  <c r="M1421" i="2"/>
  <c r="L1421" i="2"/>
  <c r="K1421" i="2"/>
  <c r="J1421" i="2"/>
  <c r="I1421" i="2"/>
  <c r="H1421" i="2"/>
  <c r="G1421" i="2"/>
  <c r="F1421" i="2"/>
  <c r="D1421" i="2"/>
  <c r="B1421" i="2"/>
  <c r="A1421" i="2"/>
  <c r="T1420" i="2"/>
  <c r="S1420" i="2"/>
  <c r="R1420" i="2"/>
  <c r="Q1420" i="2"/>
  <c r="P1420" i="2"/>
  <c r="O1420" i="2"/>
  <c r="N1420" i="2"/>
  <c r="M1420" i="2"/>
  <c r="L1420" i="2"/>
  <c r="K1420" i="2"/>
  <c r="J1420" i="2"/>
  <c r="I1420" i="2"/>
  <c r="H1420" i="2"/>
  <c r="G1420" i="2"/>
  <c r="F1420" i="2"/>
  <c r="D1420" i="2"/>
  <c r="B1420" i="2"/>
  <c r="A1420" i="2"/>
  <c r="T1419" i="2"/>
  <c r="S1419" i="2"/>
  <c r="R1419" i="2"/>
  <c r="Q1419" i="2"/>
  <c r="P1419" i="2"/>
  <c r="O1419" i="2"/>
  <c r="N1419" i="2"/>
  <c r="M1419" i="2"/>
  <c r="L1419" i="2"/>
  <c r="K1419" i="2"/>
  <c r="J1419" i="2"/>
  <c r="I1419" i="2"/>
  <c r="H1419" i="2"/>
  <c r="G1419" i="2"/>
  <c r="F1419" i="2"/>
  <c r="D1419" i="2"/>
  <c r="B1419" i="2"/>
  <c r="A1419" i="2"/>
  <c r="T1418" i="2"/>
  <c r="S1418" i="2"/>
  <c r="R1418" i="2"/>
  <c r="Q1418" i="2"/>
  <c r="P1418" i="2"/>
  <c r="O1418" i="2"/>
  <c r="N1418" i="2"/>
  <c r="M1418" i="2"/>
  <c r="L1418" i="2"/>
  <c r="K1418" i="2"/>
  <c r="J1418" i="2"/>
  <c r="I1418" i="2"/>
  <c r="H1418" i="2"/>
  <c r="G1418" i="2"/>
  <c r="F1418" i="2"/>
  <c r="D1418" i="2"/>
  <c r="B1418" i="2"/>
  <c r="A1418" i="2"/>
  <c r="T1417" i="2"/>
  <c r="S1417" i="2"/>
  <c r="R1417" i="2"/>
  <c r="Q1417" i="2"/>
  <c r="P1417" i="2"/>
  <c r="O1417" i="2"/>
  <c r="N1417" i="2"/>
  <c r="M1417" i="2"/>
  <c r="L1417" i="2"/>
  <c r="K1417" i="2"/>
  <c r="J1417" i="2"/>
  <c r="I1417" i="2"/>
  <c r="H1417" i="2"/>
  <c r="G1417" i="2"/>
  <c r="F1417" i="2"/>
  <c r="D1417" i="2"/>
  <c r="B1417" i="2"/>
  <c r="A1417" i="2"/>
  <c r="T1416" i="2"/>
  <c r="S1416" i="2"/>
  <c r="R1416" i="2"/>
  <c r="Q1416" i="2"/>
  <c r="P1416" i="2"/>
  <c r="O1416" i="2"/>
  <c r="N1416" i="2"/>
  <c r="M1416" i="2"/>
  <c r="L1416" i="2"/>
  <c r="K1416" i="2"/>
  <c r="J1416" i="2"/>
  <c r="I1416" i="2"/>
  <c r="H1416" i="2"/>
  <c r="G1416" i="2"/>
  <c r="F1416" i="2"/>
  <c r="D1416" i="2"/>
  <c r="B1416" i="2"/>
  <c r="A1416" i="2"/>
  <c r="T1415" i="2"/>
  <c r="S1415" i="2"/>
  <c r="R1415" i="2"/>
  <c r="Q1415" i="2"/>
  <c r="P1415" i="2"/>
  <c r="O1415" i="2"/>
  <c r="N1415" i="2"/>
  <c r="M1415" i="2"/>
  <c r="L1415" i="2"/>
  <c r="K1415" i="2"/>
  <c r="J1415" i="2"/>
  <c r="I1415" i="2"/>
  <c r="H1415" i="2"/>
  <c r="G1415" i="2"/>
  <c r="F1415" i="2"/>
  <c r="D1415" i="2"/>
  <c r="B1415" i="2"/>
  <c r="A1415" i="2"/>
  <c r="T1414" i="2"/>
  <c r="S1414" i="2"/>
  <c r="R1414" i="2"/>
  <c r="Q1414" i="2"/>
  <c r="P1414" i="2"/>
  <c r="O1414" i="2"/>
  <c r="N1414" i="2"/>
  <c r="M1414" i="2"/>
  <c r="L1414" i="2"/>
  <c r="K1414" i="2"/>
  <c r="J1414" i="2"/>
  <c r="I1414" i="2"/>
  <c r="H1414" i="2"/>
  <c r="G1414" i="2"/>
  <c r="F1414" i="2"/>
  <c r="D1414" i="2"/>
  <c r="B1414" i="2"/>
  <c r="A1414" i="2"/>
  <c r="T1413" i="2"/>
  <c r="S1413" i="2"/>
  <c r="R1413" i="2"/>
  <c r="Q1413" i="2"/>
  <c r="P1413" i="2"/>
  <c r="O1413" i="2"/>
  <c r="N1413" i="2"/>
  <c r="M1413" i="2"/>
  <c r="L1413" i="2"/>
  <c r="K1413" i="2"/>
  <c r="J1413" i="2"/>
  <c r="I1413" i="2"/>
  <c r="H1413" i="2"/>
  <c r="G1413" i="2"/>
  <c r="F1413" i="2"/>
  <c r="D1413" i="2"/>
  <c r="B1413" i="2"/>
  <c r="A1413" i="2"/>
  <c r="T1412" i="2"/>
  <c r="S1412" i="2"/>
  <c r="R1412" i="2"/>
  <c r="Q1412" i="2"/>
  <c r="P1412" i="2"/>
  <c r="O1412" i="2"/>
  <c r="N1412" i="2"/>
  <c r="M1412" i="2"/>
  <c r="L1412" i="2"/>
  <c r="K1412" i="2"/>
  <c r="J1412" i="2"/>
  <c r="I1412" i="2"/>
  <c r="H1412" i="2"/>
  <c r="G1412" i="2"/>
  <c r="F1412" i="2"/>
  <c r="D1412" i="2"/>
  <c r="B1412" i="2"/>
  <c r="A1412" i="2"/>
  <c r="T1411" i="2"/>
  <c r="S1411" i="2"/>
  <c r="R1411" i="2"/>
  <c r="Q1411" i="2"/>
  <c r="P1411" i="2"/>
  <c r="O1411" i="2"/>
  <c r="N1411" i="2"/>
  <c r="M1411" i="2"/>
  <c r="L1411" i="2"/>
  <c r="K1411" i="2"/>
  <c r="J1411" i="2"/>
  <c r="I1411" i="2"/>
  <c r="H1411" i="2"/>
  <c r="G1411" i="2"/>
  <c r="F1411" i="2"/>
  <c r="D1411" i="2"/>
  <c r="B1411" i="2"/>
  <c r="A1411" i="2"/>
  <c r="T1410" i="2"/>
  <c r="S1410" i="2"/>
  <c r="R1410" i="2"/>
  <c r="Q1410" i="2"/>
  <c r="P1410" i="2"/>
  <c r="O1410" i="2"/>
  <c r="N1410" i="2"/>
  <c r="M1410" i="2"/>
  <c r="L1410" i="2"/>
  <c r="K1410" i="2"/>
  <c r="J1410" i="2"/>
  <c r="I1410" i="2"/>
  <c r="H1410" i="2"/>
  <c r="G1410" i="2"/>
  <c r="F1410" i="2"/>
  <c r="D1410" i="2"/>
  <c r="B1410" i="2"/>
  <c r="A1410" i="2"/>
  <c r="T1409" i="2"/>
  <c r="S1409" i="2"/>
  <c r="R1409" i="2"/>
  <c r="Q1409" i="2"/>
  <c r="P1409" i="2"/>
  <c r="O1409" i="2"/>
  <c r="N1409" i="2"/>
  <c r="M1409" i="2"/>
  <c r="L1409" i="2"/>
  <c r="K1409" i="2"/>
  <c r="J1409" i="2"/>
  <c r="I1409" i="2"/>
  <c r="H1409" i="2"/>
  <c r="G1409" i="2"/>
  <c r="F1409" i="2"/>
  <c r="D1409" i="2"/>
  <c r="B1409" i="2"/>
  <c r="A1409" i="2"/>
  <c r="T1408" i="2"/>
  <c r="S1408" i="2"/>
  <c r="R1408" i="2"/>
  <c r="Q1408" i="2"/>
  <c r="P1408" i="2"/>
  <c r="O1408" i="2"/>
  <c r="N1408" i="2"/>
  <c r="M1408" i="2"/>
  <c r="L1408" i="2"/>
  <c r="K1408" i="2"/>
  <c r="J1408" i="2"/>
  <c r="I1408" i="2"/>
  <c r="H1408" i="2"/>
  <c r="G1408" i="2"/>
  <c r="F1408" i="2"/>
  <c r="D1408" i="2"/>
  <c r="B1408" i="2"/>
  <c r="A1408" i="2"/>
  <c r="T1407" i="2"/>
  <c r="S1407" i="2"/>
  <c r="R1407" i="2"/>
  <c r="Q1407" i="2"/>
  <c r="P1407" i="2"/>
  <c r="O1407" i="2"/>
  <c r="N1407" i="2"/>
  <c r="M1407" i="2"/>
  <c r="L1407" i="2"/>
  <c r="K1407" i="2"/>
  <c r="J1407" i="2"/>
  <c r="I1407" i="2"/>
  <c r="H1407" i="2"/>
  <c r="G1407" i="2"/>
  <c r="F1407" i="2"/>
  <c r="D1407" i="2"/>
  <c r="B1407" i="2"/>
  <c r="A1407" i="2"/>
  <c r="T1406" i="2"/>
  <c r="S1406" i="2"/>
  <c r="R1406" i="2"/>
  <c r="Q1406" i="2"/>
  <c r="P1406" i="2"/>
  <c r="O1406" i="2"/>
  <c r="N1406" i="2"/>
  <c r="M1406" i="2"/>
  <c r="L1406" i="2"/>
  <c r="K1406" i="2"/>
  <c r="J1406" i="2"/>
  <c r="I1406" i="2"/>
  <c r="H1406" i="2"/>
  <c r="G1406" i="2"/>
  <c r="F1406" i="2"/>
  <c r="D1406" i="2"/>
  <c r="B1406" i="2"/>
  <c r="A1406" i="2"/>
  <c r="T1405" i="2"/>
  <c r="S1405" i="2"/>
  <c r="R1405" i="2"/>
  <c r="Q1405" i="2"/>
  <c r="P1405" i="2"/>
  <c r="O1405" i="2"/>
  <c r="N1405" i="2"/>
  <c r="M1405" i="2"/>
  <c r="L1405" i="2"/>
  <c r="K1405" i="2"/>
  <c r="J1405" i="2"/>
  <c r="I1405" i="2"/>
  <c r="H1405" i="2"/>
  <c r="G1405" i="2"/>
  <c r="F1405" i="2"/>
  <c r="D1405" i="2"/>
  <c r="B1405" i="2"/>
  <c r="A1405" i="2"/>
  <c r="T1404" i="2"/>
  <c r="S1404" i="2"/>
  <c r="R1404" i="2"/>
  <c r="Q1404" i="2"/>
  <c r="P1404" i="2"/>
  <c r="O1404" i="2"/>
  <c r="N1404" i="2"/>
  <c r="M1404" i="2"/>
  <c r="L1404" i="2"/>
  <c r="K1404" i="2"/>
  <c r="J1404" i="2"/>
  <c r="I1404" i="2"/>
  <c r="H1404" i="2"/>
  <c r="G1404" i="2"/>
  <c r="F1404" i="2"/>
  <c r="D1404" i="2"/>
  <c r="B1404" i="2"/>
  <c r="A1404" i="2"/>
  <c r="T1403" i="2"/>
  <c r="S1403" i="2"/>
  <c r="R1403" i="2"/>
  <c r="Q1403" i="2"/>
  <c r="P1403" i="2"/>
  <c r="O1403" i="2"/>
  <c r="N1403" i="2"/>
  <c r="M1403" i="2"/>
  <c r="L1403" i="2"/>
  <c r="K1403" i="2"/>
  <c r="J1403" i="2"/>
  <c r="I1403" i="2"/>
  <c r="H1403" i="2"/>
  <c r="G1403" i="2"/>
  <c r="F1403" i="2"/>
  <c r="D1403" i="2"/>
  <c r="B1403" i="2"/>
  <c r="A1403" i="2"/>
  <c r="T1402" i="2"/>
  <c r="S1402" i="2"/>
  <c r="R1402" i="2"/>
  <c r="Q1402" i="2"/>
  <c r="P1402" i="2"/>
  <c r="O1402" i="2"/>
  <c r="N1402" i="2"/>
  <c r="M1402" i="2"/>
  <c r="L1402" i="2"/>
  <c r="K1402" i="2"/>
  <c r="J1402" i="2"/>
  <c r="I1402" i="2"/>
  <c r="H1402" i="2"/>
  <c r="G1402" i="2"/>
  <c r="F1402" i="2"/>
  <c r="D1402" i="2"/>
  <c r="B1402" i="2"/>
  <c r="A1402" i="2"/>
  <c r="T1401" i="2"/>
  <c r="S1401" i="2"/>
  <c r="R1401" i="2"/>
  <c r="Q1401" i="2"/>
  <c r="P1401" i="2"/>
  <c r="O1401" i="2"/>
  <c r="N1401" i="2"/>
  <c r="M1401" i="2"/>
  <c r="L1401" i="2"/>
  <c r="K1401" i="2"/>
  <c r="J1401" i="2"/>
  <c r="I1401" i="2"/>
  <c r="H1401" i="2"/>
  <c r="G1401" i="2"/>
  <c r="F1401" i="2"/>
  <c r="D1401" i="2"/>
  <c r="B1401" i="2"/>
  <c r="A1401" i="2"/>
  <c r="T1400" i="2"/>
  <c r="S1400" i="2"/>
  <c r="R1400" i="2"/>
  <c r="Q1400" i="2"/>
  <c r="P1400" i="2"/>
  <c r="O1400" i="2"/>
  <c r="N1400" i="2"/>
  <c r="M1400" i="2"/>
  <c r="L1400" i="2"/>
  <c r="K1400" i="2"/>
  <c r="J1400" i="2"/>
  <c r="I1400" i="2"/>
  <c r="H1400" i="2"/>
  <c r="G1400" i="2"/>
  <c r="F1400" i="2"/>
  <c r="D1400" i="2"/>
  <c r="B1400" i="2"/>
  <c r="A1400" i="2"/>
  <c r="T1399" i="2"/>
  <c r="S1399" i="2"/>
  <c r="R1399" i="2"/>
  <c r="Q1399" i="2"/>
  <c r="P1399" i="2"/>
  <c r="O1399" i="2"/>
  <c r="N1399" i="2"/>
  <c r="M1399" i="2"/>
  <c r="L1399" i="2"/>
  <c r="K1399" i="2"/>
  <c r="J1399" i="2"/>
  <c r="I1399" i="2"/>
  <c r="H1399" i="2"/>
  <c r="G1399" i="2"/>
  <c r="F1399" i="2"/>
  <c r="D1399" i="2"/>
  <c r="B1399" i="2"/>
  <c r="A1399" i="2"/>
  <c r="T1398" i="2"/>
  <c r="S1398" i="2"/>
  <c r="R1398" i="2"/>
  <c r="Q1398" i="2"/>
  <c r="P1398" i="2"/>
  <c r="O1398" i="2"/>
  <c r="N1398" i="2"/>
  <c r="M1398" i="2"/>
  <c r="L1398" i="2"/>
  <c r="K1398" i="2"/>
  <c r="J1398" i="2"/>
  <c r="I1398" i="2"/>
  <c r="H1398" i="2"/>
  <c r="G1398" i="2"/>
  <c r="F1398" i="2"/>
  <c r="D1398" i="2"/>
  <c r="B1398" i="2"/>
  <c r="A1398" i="2"/>
  <c r="T1397" i="2"/>
  <c r="S1397" i="2"/>
  <c r="R1397" i="2"/>
  <c r="Q1397" i="2"/>
  <c r="P1397" i="2"/>
  <c r="O1397" i="2"/>
  <c r="N1397" i="2"/>
  <c r="M1397" i="2"/>
  <c r="L1397" i="2"/>
  <c r="K1397" i="2"/>
  <c r="J1397" i="2"/>
  <c r="I1397" i="2"/>
  <c r="H1397" i="2"/>
  <c r="G1397" i="2"/>
  <c r="F1397" i="2"/>
  <c r="D1397" i="2"/>
  <c r="B1397" i="2"/>
  <c r="A1397" i="2"/>
  <c r="T1396" i="2"/>
  <c r="S1396" i="2"/>
  <c r="R1396" i="2"/>
  <c r="Q1396" i="2"/>
  <c r="P1396" i="2"/>
  <c r="O1396" i="2"/>
  <c r="N1396" i="2"/>
  <c r="M1396" i="2"/>
  <c r="L1396" i="2"/>
  <c r="K1396" i="2"/>
  <c r="J1396" i="2"/>
  <c r="I1396" i="2"/>
  <c r="H1396" i="2"/>
  <c r="G1396" i="2"/>
  <c r="F1396" i="2"/>
  <c r="D1396" i="2"/>
  <c r="B1396" i="2"/>
  <c r="A1396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H1395" i="2"/>
  <c r="G1395" i="2"/>
  <c r="F1395" i="2"/>
  <c r="D1395" i="2"/>
  <c r="B1395" i="2"/>
  <c r="A1395" i="2"/>
  <c r="T1394" i="2"/>
  <c r="S1394" i="2"/>
  <c r="R1394" i="2"/>
  <c r="Q1394" i="2"/>
  <c r="P1394" i="2"/>
  <c r="O1394" i="2"/>
  <c r="N1394" i="2"/>
  <c r="M1394" i="2"/>
  <c r="L1394" i="2"/>
  <c r="K1394" i="2"/>
  <c r="J1394" i="2"/>
  <c r="I1394" i="2"/>
  <c r="H1394" i="2"/>
  <c r="G1394" i="2"/>
  <c r="F1394" i="2"/>
  <c r="D1394" i="2"/>
  <c r="B1394" i="2"/>
  <c r="A1394" i="2"/>
  <c r="T1393" i="2"/>
  <c r="S1393" i="2"/>
  <c r="R1393" i="2"/>
  <c r="Q1393" i="2"/>
  <c r="P1393" i="2"/>
  <c r="O1393" i="2"/>
  <c r="N1393" i="2"/>
  <c r="M1393" i="2"/>
  <c r="L1393" i="2"/>
  <c r="K1393" i="2"/>
  <c r="J1393" i="2"/>
  <c r="I1393" i="2"/>
  <c r="H1393" i="2"/>
  <c r="G1393" i="2"/>
  <c r="F1393" i="2"/>
  <c r="D1393" i="2"/>
  <c r="B1393" i="2"/>
  <c r="A1393" i="2"/>
  <c r="T1392" i="2"/>
  <c r="S1392" i="2"/>
  <c r="R1392" i="2"/>
  <c r="Q1392" i="2"/>
  <c r="P1392" i="2"/>
  <c r="O1392" i="2"/>
  <c r="N1392" i="2"/>
  <c r="M1392" i="2"/>
  <c r="L1392" i="2"/>
  <c r="K1392" i="2"/>
  <c r="J1392" i="2"/>
  <c r="I1392" i="2"/>
  <c r="H1392" i="2"/>
  <c r="G1392" i="2"/>
  <c r="F1392" i="2"/>
  <c r="D1392" i="2"/>
  <c r="B1392" i="2"/>
  <c r="A1392" i="2"/>
  <c r="T1391" i="2"/>
  <c r="S1391" i="2"/>
  <c r="R1391" i="2"/>
  <c r="Q1391" i="2"/>
  <c r="P1391" i="2"/>
  <c r="O1391" i="2"/>
  <c r="N1391" i="2"/>
  <c r="M1391" i="2"/>
  <c r="L1391" i="2"/>
  <c r="K1391" i="2"/>
  <c r="J1391" i="2"/>
  <c r="I1391" i="2"/>
  <c r="H1391" i="2"/>
  <c r="G1391" i="2"/>
  <c r="F1391" i="2"/>
  <c r="D1391" i="2"/>
  <c r="B1391" i="2"/>
  <c r="A1391" i="2"/>
  <c r="T1390" i="2"/>
  <c r="S1390" i="2"/>
  <c r="R1390" i="2"/>
  <c r="Q1390" i="2"/>
  <c r="P1390" i="2"/>
  <c r="O1390" i="2"/>
  <c r="N1390" i="2"/>
  <c r="M1390" i="2"/>
  <c r="L1390" i="2"/>
  <c r="K1390" i="2"/>
  <c r="J1390" i="2"/>
  <c r="I1390" i="2"/>
  <c r="H1390" i="2"/>
  <c r="G1390" i="2"/>
  <c r="F1390" i="2"/>
  <c r="D1390" i="2"/>
  <c r="B1390" i="2"/>
  <c r="A1390" i="2"/>
  <c r="T1389" i="2"/>
  <c r="S1389" i="2"/>
  <c r="R1389" i="2"/>
  <c r="Q1389" i="2"/>
  <c r="P1389" i="2"/>
  <c r="O1389" i="2"/>
  <c r="N1389" i="2"/>
  <c r="M1389" i="2"/>
  <c r="L1389" i="2"/>
  <c r="K1389" i="2"/>
  <c r="J1389" i="2"/>
  <c r="I1389" i="2"/>
  <c r="H1389" i="2"/>
  <c r="G1389" i="2"/>
  <c r="F1389" i="2"/>
  <c r="D1389" i="2"/>
  <c r="B1389" i="2"/>
  <c r="A1389" i="2"/>
  <c r="T1388" i="2"/>
  <c r="S1388" i="2"/>
  <c r="R1388" i="2"/>
  <c r="Q1388" i="2"/>
  <c r="P1388" i="2"/>
  <c r="O1388" i="2"/>
  <c r="N1388" i="2"/>
  <c r="M1388" i="2"/>
  <c r="L1388" i="2"/>
  <c r="K1388" i="2"/>
  <c r="J1388" i="2"/>
  <c r="I1388" i="2"/>
  <c r="H1388" i="2"/>
  <c r="G1388" i="2"/>
  <c r="F1388" i="2"/>
  <c r="D1388" i="2"/>
  <c r="B1388" i="2"/>
  <c r="A1388" i="2"/>
  <c r="T1387" i="2"/>
  <c r="S1387" i="2"/>
  <c r="R1387" i="2"/>
  <c r="Q1387" i="2"/>
  <c r="P1387" i="2"/>
  <c r="O1387" i="2"/>
  <c r="N1387" i="2"/>
  <c r="M1387" i="2"/>
  <c r="L1387" i="2"/>
  <c r="K1387" i="2"/>
  <c r="J1387" i="2"/>
  <c r="I1387" i="2"/>
  <c r="H1387" i="2"/>
  <c r="G1387" i="2"/>
  <c r="F1387" i="2"/>
  <c r="D1387" i="2"/>
  <c r="B1387" i="2"/>
  <c r="A1387" i="2"/>
  <c r="T1386" i="2"/>
  <c r="S1386" i="2"/>
  <c r="R1386" i="2"/>
  <c r="Q1386" i="2"/>
  <c r="P1386" i="2"/>
  <c r="O1386" i="2"/>
  <c r="N1386" i="2"/>
  <c r="M1386" i="2"/>
  <c r="L1386" i="2"/>
  <c r="K1386" i="2"/>
  <c r="J1386" i="2"/>
  <c r="I1386" i="2"/>
  <c r="H1386" i="2"/>
  <c r="G1386" i="2"/>
  <c r="F1386" i="2"/>
  <c r="D1386" i="2"/>
  <c r="B1386" i="2"/>
  <c r="A1386" i="2"/>
  <c r="T1385" i="2"/>
  <c r="S1385" i="2"/>
  <c r="R1385" i="2"/>
  <c r="Q1385" i="2"/>
  <c r="P1385" i="2"/>
  <c r="O1385" i="2"/>
  <c r="N1385" i="2"/>
  <c r="M1385" i="2"/>
  <c r="L1385" i="2"/>
  <c r="K1385" i="2"/>
  <c r="J1385" i="2"/>
  <c r="I1385" i="2"/>
  <c r="H1385" i="2"/>
  <c r="G1385" i="2"/>
  <c r="F1385" i="2"/>
  <c r="D1385" i="2"/>
  <c r="B1385" i="2"/>
  <c r="A1385" i="2"/>
  <c r="T1384" i="2"/>
  <c r="S1384" i="2"/>
  <c r="R1384" i="2"/>
  <c r="Q1384" i="2"/>
  <c r="P1384" i="2"/>
  <c r="O1384" i="2"/>
  <c r="N1384" i="2"/>
  <c r="M1384" i="2"/>
  <c r="L1384" i="2"/>
  <c r="K1384" i="2"/>
  <c r="J1384" i="2"/>
  <c r="I1384" i="2"/>
  <c r="H1384" i="2"/>
  <c r="G1384" i="2"/>
  <c r="F1384" i="2"/>
  <c r="D1384" i="2"/>
  <c r="B1384" i="2"/>
  <c r="A1384" i="2"/>
  <c r="T1383" i="2"/>
  <c r="S1383" i="2"/>
  <c r="R1383" i="2"/>
  <c r="Q1383" i="2"/>
  <c r="P1383" i="2"/>
  <c r="O1383" i="2"/>
  <c r="N1383" i="2"/>
  <c r="M1383" i="2"/>
  <c r="L1383" i="2"/>
  <c r="K1383" i="2"/>
  <c r="J1383" i="2"/>
  <c r="I1383" i="2"/>
  <c r="H1383" i="2"/>
  <c r="G1383" i="2"/>
  <c r="F1383" i="2"/>
  <c r="D1383" i="2"/>
  <c r="B1383" i="2"/>
  <c r="A1383" i="2"/>
  <c r="T1382" i="2"/>
  <c r="S1382" i="2"/>
  <c r="R1382" i="2"/>
  <c r="Q1382" i="2"/>
  <c r="P1382" i="2"/>
  <c r="O1382" i="2"/>
  <c r="N1382" i="2"/>
  <c r="M1382" i="2"/>
  <c r="L1382" i="2"/>
  <c r="K1382" i="2"/>
  <c r="J1382" i="2"/>
  <c r="I1382" i="2"/>
  <c r="H1382" i="2"/>
  <c r="G1382" i="2"/>
  <c r="F1382" i="2"/>
  <c r="D1382" i="2"/>
  <c r="B1382" i="2"/>
  <c r="A1382" i="2"/>
  <c r="T1381" i="2"/>
  <c r="S1381" i="2"/>
  <c r="R1381" i="2"/>
  <c r="Q1381" i="2"/>
  <c r="P1381" i="2"/>
  <c r="O1381" i="2"/>
  <c r="N1381" i="2"/>
  <c r="M1381" i="2"/>
  <c r="L1381" i="2"/>
  <c r="K1381" i="2"/>
  <c r="J1381" i="2"/>
  <c r="I1381" i="2"/>
  <c r="H1381" i="2"/>
  <c r="G1381" i="2"/>
  <c r="F1381" i="2"/>
  <c r="D1381" i="2"/>
  <c r="B1381" i="2"/>
  <c r="A1381" i="2"/>
  <c r="T1380" i="2"/>
  <c r="S1380" i="2"/>
  <c r="R1380" i="2"/>
  <c r="Q1380" i="2"/>
  <c r="P1380" i="2"/>
  <c r="O1380" i="2"/>
  <c r="N1380" i="2"/>
  <c r="M1380" i="2"/>
  <c r="L1380" i="2"/>
  <c r="K1380" i="2"/>
  <c r="J1380" i="2"/>
  <c r="I1380" i="2"/>
  <c r="H1380" i="2"/>
  <c r="G1380" i="2"/>
  <c r="F1380" i="2"/>
  <c r="D1380" i="2"/>
  <c r="B1380" i="2"/>
  <c r="A1380" i="2"/>
  <c r="T1379" i="2"/>
  <c r="S1379" i="2"/>
  <c r="R1379" i="2"/>
  <c r="Q1379" i="2"/>
  <c r="P1379" i="2"/>
  <c r="O1379" i="2"/>
  <c r="N1379" i="2"/>
  <c r="M1379" i="2"/>
  <c r="L1379" i="2"/>
  <c r="K1379" i="2"/>
  <c r="J1379" i="2"/>
  <c r="I1379" i="2"/>
  <c r="H1379" i="2"/>
  <c r="G1379" i="2"/>
  <c r="F1379" i="2"/>
  <c r="D1379" i="2"/>
  <c r="B1379" i="2"/>
  <c r="A1379" i="2"/>
  <c r="T1378" i="2"/>
  <c r="S1378" i="2"/>
  <c r="R1378" i="2"/>
  <c r="Q1378" i="2"/>
  <c r="P1378" i="2"/>
  <c r="O1378" i="2"/>
  <c r="N1378" i="2"/>
  <c r="M1378" i="2"/>
  <c r="L1378" i="2"/>
  <c r="K1378" i="2"/>
  <c r="J1378" i="2"/>
  <c r="I1378" i="2"/>
  <c r="H1378" i="2"/>
  <c r="G1378" i="2"/>
  <c r="F1378" i="2"/>
  <c r="D1378" i="2"/>
  <c r="B1378" i="2"/>
  <c r="A1378" i="2"/>
  <c r="T1377" i="2"/>
  <c r="S1377" i="2"/>
  <c r="R1377" i="2"/>
  <c r="Q1377" i="2"/>
  <c r="P1377" i="2"/>
  <c r="O1377" i="2"/>
  <c r="N1377" i="2"/>
  <c r="M1377" i="2"/>
  <c r="L1377" i="2"/>
  <c r="K1377" i="2"/>
  <c r="J1377" i="2"/>
  <c r="I1377" i="2"/>
  <c r="H1377" i="2"/>
  <c r="G1377" i="2"/>
  <c r="F1377" i="2"/>
  <c r="D1377" i="2"/>
  <c r="B1377" i="2"/>
  <c r="A1377" i="2"/>
  <c r="T1376" i="2"/>
  <c r="S1376" i="2"/>
  <c r="R1376" i="2"/>
  <c r="Q1376" i="2"/>
  <c r="P1376" i="2"/>
  <c r="O1376" i="2"/>
  <c r="N1376" i="2"/>
  <c r="M1376" i="2"/>
  <c r="L1376" i="2"/>
  <c r="K1376" i="2"/>
  <c r="J1376" i="2"/>
  <c r="I1376" i="2"/>
  <c r="H1376" i="2"/>
  <c r="G1376" i="2"/>
  <c r="F1376" i="2"/>
  <c r="D1376" i="2"/>
  <c r="B1376" i="2"/>
  <c r="A1376" i="2"/>
  <c r="T1375" i="2"/>
  <c r="S1375" i="2"/>
  <c r="R1375" i="2"/>
  <c r="Q1375" i="2"/>
  <c r="P1375" i="2"/>
  <c r="O1375" i="2"/>
  <c r="N1375" i="2"/>
  <c r="M1375" i="2"/>
  <c r="L1375" i="2"/>
  <c r="K1375" i="2"/>
  <c r="J1375" i="2"/>
  <c r="I1375" i="2"/>
  <c r="H1375" i="2"/>
  <c r="G1375" i="2"/>
  <c r="F1375" i="2"/>
  <c r="D1375" i="2"/>
  <c r="B1375" i="2"/>
  <c r="A1375" i="2"/>
  <c r="T1374" i="2"/>
  <c r="S1374" i="2"/>
  <c r="R1374" i="2"/>
  <c r="Q1374" i="2"/>
  <c r="P1374" i="2"/>
  <c r="O1374" i="2"/>
  <c r="N1374" i="2"/>
  <c r="M1374" i="2"/>
  <c r="L1374" i="2"/>
  <c r="K1374" i="2"/>
  <c r="J1374" i="2"/>
  <c r="I1374" i="2"/>
  <c r="H1374" i="2"/>
  <c r="G1374" i="2"/>
  <c r="F1374" i="2"/>
  <c r="D1374" i="2"/>
  <c r="B1374" i="2"/>
  <c r="A1374" i="2"/>
  <c r="T1373" i="2"/>
  <c r="S1373" i="2"/>
  <c r="R1373" i="2"/>
  <c r="Q1373" i="2"/>
  <c r="P1373" i="2"/>
  <c r="O1373" i="2"/>
  <c r="N1373" i="2"/>
  <c r="M1373" i="2"/>
  <c r="L1373" i="2"/>
  <c r="K1373" i="2"/>
  <c r="J1373" i="2"/>
  <c r="I1373" i="2"/>
  <c r="H1373" i="2"/>
  <c r="G1373" i="2"/>
  <c r="F1373" i="2"/>
  <c r="D1373" i="2"/>
  <c r="B1373" i="2"/>
  <c r="A1373" i="2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H1372" i="2"/>
  <c r="G1372" i="2"/>
  <c r="F1372" i="2"/>
  <c r="D1372" i="2"/>
  <c r="B1372" i="2"/>
  <c r="A1372" i="2"/>
  <c r="T1371" i="2"/>
  <c r="S1371" i="2"/>
  <c r="R1371" i="2"/>
  <c r="Q1371" i="2"/>
  <c r="P1371" i="2"/>
  <c r="O1371" i="2"/>
  <c r="N1371" i="2"/>
  <c r="M1371" i="2"/>
  <c r="L1371" i="2"/>
  <c r="K1371" i="2"/>
  <c r="J1371" i="2"/>
  <c r="I1371" i="2"/>
  <c r="H1371" i="2"/>
  <c r="G1371" i="2"/>
  <c r="F1371" i="2"/>
  <c r="D1371" i="2"/>
  <c r="B1371" i="2"/>
  <c r="A1371" i="2"/>
  <c r="T1370" i="2"/>
  <c r="S1370" i="2"/>
  <c r="R1370" i="2"/>
  <c r="Q1370" i="2"/>
  <c r="P1370" i="2"/>
  <c r="O1370" i="2"/>
  <c r="N1370" i="2"/>
  <c r="M1370" i="2"/>
  <c r="L1370" i="2"/>
  <c r="K1370" i="2"/>
  <c r="J1370" i="2"/>
  <c r="I1370" i="2"/>
  <c r="H1370" i="2"/>
  <c r="G1370" i="2"/>
  <c r="F1370" i="2"/>
  <c r="D1370" i="2"/>
  <c r="B1370" i="2"/>
  <c r="A1370" i="2"/>
  <c r="T1369" i="2"/>
  <c r="S1369" i="2"/>
  <c r="R1369" i="2"/>
  <c r="Q1369" i="2"/>
  <c r="P1369" i="2"/>
  <c r="O1369" i="2"/>
  <c r="N1369" i="2"/>
  <c r="M1369" i="2"/>
  <c r="L1369" i="2"/>
  <c r="K1369" i="2"/>
  <c r="J1369" i="2"/>
  <c r="I1369" i="2"/>
  <c r="H1369" i="2"/>
  <c r="G1369" i="2"/>
  <c r="F1369" i="2"/>
  <c r="D1369" i="2"/>
  <c r="B1369" i="2"/>
  <c r="A1369" i="2"/>
  <c r="T1368" i="2"/>
  <c r="S1368" i="2"/>
  <c r="R1368" i="2"/>
  <c r="Q1368" i="2"/>
  <c r="P1368" i="2"/>
  <c r="O1368" i="2"/>
  <c r="N1368" i="2"/>
  <c r="M1368" i="2"/>
  <c r="L1368" i="2"/>
  <c r="K1368" i="2"/>
  <c r="J1368" i="2"/>
  <c r="I1368" i="2"/>
  <c r="H1368" i="2"/>
  <c r="G1368" i="2"/>
  <c r="F1368" i="2"/>
  <c r="D1368" i="2"/>
  <c r="B1368" i="2"/>
  <c r="A1368" i="2"/>
  <c r="T1367" i="2"/>
  <c r="S1367" i="2"/>
  <c r="R1367" i="2"/>
  <c r="Q1367" i="2"/>
  <c r="P1367" i="2"/>
  <c r="O1367" i="2"/>
  <c r="N1367" i="2"/>
  <c r="M1367" i="2"/>
  <c r="L1367" i="2"/>
  <c r="K1367" i="2"/>
  <c r="J1367" i="2"/>
  <c r="I1367" i="2"/>
  <c r="H1367" i="2"/>
  <c r="G1367" i="2"/>
  <c r="F1367" i="2"/>
  <c r="D1367" i="2"/>
  <c r="B1367" i="2"/>
  <c r="A1367" i="2"/>
  <c r="T1366" i="2"/>
  <c r="S1366" i="2"/>
  <c r="R1366" i="2"/>
  <c r="Q1366" i="2"/>
  <c r="P1366" i="2"/>
  <c r="O1366" i="2"/>
  <c r="N1366" i="2"/>
  <c r="M1366" i="2"/>
  <c r="L1366" i="2"/>
  <c r="K1366" i="2"/>
  <c r="J1366" i="2"/>
  <c r="I1366" i="2"/>
  <c r="H1366" i="2"/>
  <c r="G1366" i="2"/>
  <c r="F1366" i="2"/>
  <c r="D1366" i="2"/>
  <c r="B1366" i="2"/>
  <c r="A1366" i="2"/>
  <c r="T1365" i="2"/>
  <c r="S1365" i="2"/>
  <c r="R1365" i="2"/>
  <c r="Q1365" i="2"/>
  <c r="P1365" i="2"/>
  <c r="O1365" i="2"/>
  <c r="N1365" i="2"/>
  <c r="M1365" i="2"/>
  <c r="L1365" i="2"/>
  <c r="K1365" i="2"/>
  <c r="J1365" i="2"/>
  <c r="I1365" i="2"/>
  <c r="H1365" i="2"/>
  <c r="G1365" i="2"/>
  <c r="F1365" i="2"/>
  <c r="D1365" i="2"/>
  <c r="B1365" i="2"/>
  <c r="A1365" i="2"/>
  <c r="T1364" i="2"/>
  <c r="S1364" i="2"/>
  <c r="R1364" i="2"/>
  <c r="Q1364" i="2"/>
  <c r="P1364" i="2"/>
  <c r="O1364" i="2"/>
  <c r="N1364" i="2"/>
  <c r="M1364" i="2"/>
  <c r="L1364" i="2"/>
  <c r="K1364" i="2"/>
  <c r="J1364" i="2"/>
  <c r="I1364" i="2"/>
  <c r="H1364" i="2"/>
  <c r="G1364" i="2"/>
  <c r="F1364" i="2"/>
  <c r="D1364" i="2"/>
  <c r="B1364" i="2"/>
  <c r="A1364" i="2"/>
  <c r="T1363" i="2"/>
  <c r="S1363" i="2"/>
  <c r="R1363" i="2"/>
  <c r="Q1363" i="2"/>
  <c r="P1363" i="2"/>
  <c r="O1363" i="2"/>
  <c r="N1363" i="2"/>
  <c r="M1363" i="2"/>
  <c r="L1363" i="2"/>
  <c r="K1363" i="2"/>
  <c r="J1363" i="2"/>
  <c r="I1363" i="2"/>
  <c r="H1363" i="2"/>
  <c r="G1363" i="2"/>
  <c r="F1363" i="2"/>
  <c r="D1363" i="2"/>
  <c r="B1363" i="2"/>
  <c r="A1363" i="2"/>
  <c r="T1362" i="2"/>
  <c r="S1362" i="2"/>
  <c r="R1362" i="2"/>
  <c r="Q1362" i="2"/>
  <c r="P1362" i="2"/>
  <c r="O1362" i="2"/>
  <c r="N1362" i="2"/>
  <c r="M1362" i="2"/>
  <c r="L1362" i="2"/>
  <c r="K1362" i="2"/>
  <c r="J1362" i="2"/>
  <c r="I1362" i="2"/>
  <c r="H1362" i="2"/>
  <c r="G1362" i="2"/>
  <c r="F1362" i="2"/>
  <c r="D1362" i="2"/>
  <c r="B1362" i="2"/>
  <c r="A1362" i="2"/>
  <c r="T1361" i="2"/>
  <c r="S1361" i="2"/>
  <c r="R1361" i="2"/>
  <c r="Q1361" i="2"/>
  <c r="P1361" i="2"/>
  <c r="O1361" i="2"/>
  <c r="N1361" i="2"/>
  <c r="M1361" i="2"/>
  <c r="L1361" i="2"/>
  <c r="K1361" i="2"/>
  <c r="J1361" i="2"/>
  <c r="I1361" i="2"/>
  <c r="H1361" i="2"/>
  <c r="G1361" i="2"/>
  <c r="F1361" i="2"/>
  <c r="D1361" i="2"/>
  <c r="B1361" i="2"/>
  <c r="A1361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H1360" i="2"/>
  <c r="G1360" i="2"/>
  <c r="F1360" i="2"/>
  <c r="D1360" i="2"/>
  <c r="B1360" i="2"/>
  <c r="A1360" i="2"/>
  <c r="T1359" i="2"/>
  <c r="S1359" i="2"/>
  <c r="R1359" i="2"/>
  <c r="Q1359" i="2"/>
  <c r="P1359" i="2"/>
  <c r="O1359" i="2"/>
  <c r="N1359" i="2"/>
  <c r="M1359" i="2"/>
  <c r="L1359" i="2"/>
  <c r="K1359" i="2"/>
  <c r="J1359" i="2"/>
  <c r="I1359" i="2"/>
  <c r="H1359" i="2"/>
  <c r="G1359" i="2"/>
  <c r="F1359" i="2"/>
  <c r="D1359" i="2"/>
  <c r="B1359" i="2"/>
  <c r="A1359" i="2"/>
  <c r="T1358" i="2"/>
  <c r="S1358" i="2"/>
  <c r="R1358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D1358" i="2"/>
  <c r="B1358" i="2"/>
  <c r="A1358" i="2"/>
  <c r="T1357" i="2"/>
  <c r="S1357" i="2"/>
  <c r="R1357" i="2"/>
  <c r="Q1357" i="2"/>
  <c r="P1357" i="2"/>
  <c r="O1357" i="2"/>
  <c r="N1357" i="2"/>
  <c r="M1357" i="2"/>
  <c r="L1357" i="2"/>
  <c r="K1357" i="2"/>
  <c r="J1357" i="2"/>
  <c r="I1357" i="2"/>
  <c r="H1357" i="2"/>
  <c r="G1357" i="2"/>
  <c r="F1357" i="2"/>
  <c r="D1357" i="2"/>
  <c r="B1357" i="2"/>
  <c r="A1357" i="2"/>
  <c r="T1356" i="2"/>
  <c r="S1356" i="2"/>
  <c r="R1356" i="2"/>
  <c r="Q1356" i="2"/>
  <c r="P1356" i="2"/>
  <c r="O1356" i="2"/>
  <c r="N1356" i="2"/>
  <c r="M1356" i="2"/>
  <c r="L1356" i="2"/>
  <c r="K1356" i="2"/>
  <c r="J1356" i="2"/>
  <c r="I1356" i="2"/>
  <c r="H1356" i="2"/>
  <c r="G1356" i="2"/>
  <c r="F1356" i="2"/>
  <c r="D1356" i="2"/>
  <c r="B1356" i="2"/>
  <c r="A1356" i="2"/>
  <c r="T1355" i="2"/>
  <c r="S1355" i="2"/>
  <c r="R1355" i="2"/>
  <c r="Q1355" i="2"/>
  <c r="P1355" i="2"/>
  <c r="O1355" i="2"/>
  <c r="N1355" i="2"/>
  <c r="M1355" i="2"/>
  <c r="L1355" i="2"/>
  <c r="K1355" i="2"/>
  <c r="J1355" i="2"/>
  <c r="I1355" i="2"/>
  <c r="H1355" i="2"/>
  <c r="G1355" i="2"/>
  <c r="F1355" i="2"/>
  <c r="D1355" i="2"/>
  <c r="B1355" i="2"/>
  <c r="A1355" i="2"/>
  <c r="T1354" i="2"/>
  <c r="S1354" i="2"/>
  <c r="R1354" i="2"/>
  <c r="Q1354" i="2"/>
  <c r="P1354" i="2"/>
  <c r="O1354" i="2"/>
  <c r="N1354" i="2"/>
  <c r="M1354" i="2"/>
  <c r="L1354" i="2"/>
  <c r="K1354" i="2"/>
  <c r="J1354" i="2"/>
  <c r="I1354" i="2"/>
  <c r="H1354" i="2"/>
  <c r="G1354" i="2"/>
  <c r="F1354" i="2"/>
  <c r="D1354" i="2"/>
  <c r="B1354" i="2"/>
  <c r="A1354" i="2"/>
  <c r="T1353" i="2"/>
  <c r="S1353" i="2"/>
  <c r="R1353" i="2"/>
  <c r="Q1353" i="2"/>
  <c r="P1353" i="2"/>
  <c r="O1353" i="2"/>
  <c r="N1353" i="2"/>
  <c r="M1353" i="2"/>
  <c r="L1353" i="2"/>
  <c r="K1353" i="2"/>
  <c r="J1353" i="2"/>
  <c r="I1353" i="2"/>
  <c r="H1353" i="2"/>
  <c r="G1353" i="2"/>
  <c r="F1353" i="2"/>
  <c r="D1353" i="2"/>
  <c r="B1353" i="2"/>
  <c r="A1353" i="2"/>
  <c r="T1352" i="2"/>
  <c r="S1352" i="2"/>
  <c r="R1352" i="2"/>
  <c r="Q1352" i="2"/>
  <c r="P1352" i="2"/>
  <c r="O1352" i="2"/>
  <c r="N1352" i="2"/>
  <c r="M1352" i="2"/>
  <c r="L1352" i="2"/>
  <c r="K1352" i="2"/>
  <c r="J1352" i="2"/>
  <c r="I1352" i="2"/>
  <c r="H1352" i="2"/>
  <c r="G1352" i="2"/>
  <c r="F1352" i="2"/>
  <c r="D1352" i="2"/>
  <c r="B1352" i="2"/>
  <c r="A1352" i="2"/>
  <c r="T1351" i="2"/>
  <c r="S1351" i="2"/>
  <c r="R1351" i="2"/>
  <c r="Q1351" i="2"/>
  <c r="P1351" i="2"/>
  <c r="O1351" i="2"/>
  <c r="N1351" i="2"/>
  <c r="M1351" i="2"/>
  <c r="L1351" i="2"/>
  <c r="K1351" i="2"/>
  <c r="J1351" i="2"/>
  <c r="I1351" i="2"/>
  <c r="H1351" i="2"/>
  <c r="G1351" i="2"/>
  <c r="F1351" i="2"/>
  <c r="D1351" i="2"/>
  <c r="B1351" i="2"/>
  <c r="A1351" i="2"/>
  <c r="T1350" i="2"/>
  <c r="S1350" i="2"/>
  <c r="R1350" i="2"/>
  <c r="Q1350" i="2"/>
  <c r="P1350" i="2"/>
  <c r="O1350" i="2"/>
  <c r="N1350" i="2"/>
  <c r="M1350" i="2"/>
  <c r="L1350" i="2"/>
  <c r="K1350" i="2"/>
  <c r="J1350" i="2"/>
  <c r="I1350" i="2"/>
  <c r="H1350" i="2"/>
  <c r="G1350" i="2"/>
  <c r="F1350" i="2"/>
  <c r="D1350" i="2"/>
  <c r="B1350" i="2"/>
  <c r="A1350" i="2"/>
  <c r="T1349" i="2"/>
  <c r="S1349" i="2"/>
  <c r="R1349" i="2"/>
  <c r="Q1349" i="2"/>
  <c r="P1349" i="2"/>
  <c r="O1349" i="2"/>
  <c r="N1349" i="2"/>
  <c r="M1349" i="2"/>
  <c r="L1349" i="2"/>
  <c r="K1349" i="2"/>
  <c r="J1349" i="2"/>
  <c r="I1349" i="2"/>
  <c r="H1349" i="2"/>
  <c r="G1349" i="2"/>
  <c r="F1349" i="2"/>
  <c r="D1349" i="2"/>
  <c r="B1349" i="2"/>
  <c r="A1349" i="2"/>
  <c r="T1348" i="2"/>
  <c r="S1348" i="2"/>
  <c r="R1348" i="2"/>
  <c r="Q1348" i="2"/>
  <c r="P1348" i="2"/>
  <c r="O1348" i="2"/>
  <c r="N1348" i="2"/>
  <c r="M1348" i="2"/>
  <c r="L1348" i="2"/>
  <c r="K1348" i="2"/>
  <c r="J1348" i="2"/>
  <c r="I1348" i="2"/>
  <c r="H1348" i="2"/>
  <c r="G1348" i="2"/>
  <c r="F1348" i="2"/>
  <c r="D1348" i="2"/>
  <c r="B1348" i="2"/>
  <c r="A1348" i="2"/>
  <c r="T1347" i="2"/>
  <c r="S1347" i="2"/>
  <c r="R1347" i="2"/>
  <c r="Q1347" i="2"/>
  <c r="P1347" i="2"/>
  <c r="O1347" i="2"/>
  <c r="N1347" i="2"/>
  <c r="M1347" i="2"/>
  <c r="L1347" i="2"/>
  <c r="K1347" i="2"/>
  <c r="J1347" i="2"/>
  <c r="I1347" i="2"/>
  <c r="H1347" i="2"/>
  <c r="G1347" i="2"/>
  <c r="F1347" i="2"/>
  <c r="D1347" i="2"/>
  <c r="B1347" i="2"/>
  <c r="A1347" i="2"/>
  <c r="T1346" i="2"/>
  <c r="S1346" i="2"/>
  <c r="R1346" i="2"/>
  <c r="Q1346" i="2"/>
  <c r="P1346" i="2"/>
  <c r="O1346" i="2"/>
  <c r="N1346" i="2"/>
  <c r="M1346" i="2"/>
  <c r="L1346" i="2"/>
  <c r="K1346" i="2"/>
  <c r="J1346" i="2"/>
  <c r="I1346" i="2"/>
  <c r="H1346" i="2"/>
  <c r="G1346" i="2"/>
  <c r="F1346" i="2"/>
  <c r="D1346" i="2"/>
  <c r="B1346" i="2"/>
  <c r="A1346" i="2"/>
  <c r="T1345" i="2"/>
  <c r="S1345" i="2"/>
  <c r="R1345" i="2"/>
  <c r="Q1345" i="2"/>
  <c r="P1345" i="2"/>
  <c r="O1345" i="2"/>
  <c r="N1345" i="2"/>
  <c r="M1345" i="2"/>
  <c r="L1345" i="2"/>
  <c r="K1345" i="2"/>
  <c r="J1345" i="2"/>
  <c r="I1345" i="2"/>
  <c r="H1345" i="2"/>
  <c r="G1345" i="2"/>
  <c r="F1345" i="2"/>
  <c r="D1345" i="2"/>
  <c r="B1345" i="2"/>
  <c r="A1345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H1344" i="2"/>
  <c r="G1344" i="2"/>
  <c r="F1344" i="2"/>
  <c r="D1344" i="2"/>
  <c r="B1344" i="2"/>
  <c r="A1344" i="2"/>
  <c r="T1343" i="2"/>
  <c r="S1343" i="2"/>
  <c r="R1343" i="2"/>
  <c r="Q1343" i="2"/>
  <c r="P1343" i="2"/>
  <c r="O1343" i="2"/>
  <c r="N1343" i="2"/>
  <c r="M1343" i="2"/>
  <c r="L1343" i="2"/>
  <c r="K1343" i="2"/>
  <c r="J1343" i="2"/>
  <c r="I1343" i="2"/>
  <c r="H1343" i="2"/>
  <c r="G1343" i="2"/>
  <c r="F1343" i="2"/>
  <c r="D1343" i="2"/>
  <c r="B1343" i="2"/>
  <c r="A1343" i="2"/>
  <c r="T1342" i="2"/>
  <c r="S1342" i="2"/>
  <c r="R1342" i="2"/>
  <c r="Q1342" i="2"/>
  <c r="P1342" i="2"/>
  <c r="O1342" i="2"/>
  <c r="N1342" i="2"/>
  <c r="M1342" i="2"/>
  <c r="L1342" i="2"/>
  <c r="K1342" i="2"/>
  <c r="J1342" i="2"/>
  <c r="I1342" i="2"/>
  <c r="H1342" i="2"/>
  <c r="G1342" i="2"/>
  <c r="F1342" i="2"/>
  <c r="D1342" i="2"/>
  <c r="B1342" i="2"/>
  <c r="A1342" i="2"/>
  <c r="T1341" i="2"/>
  <c r="S1341" i="2"/>
  <c r="R1341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D1341" i="2"/>
  <c r="B1341" i="2"/>
  <c r="A1341" i="2"/>
  <c r="T1340" i="2"/>
  <c r="S1340" i="2"/>
  <c r="R1340" i="2"/>
  <c r="Q1340" i="2"/>
  <c r="P1340" i="2"/>
  <c r="O1340" i="2"/>
  <c r="N1340" i="2"/>
  <c r="M1340" i="2"/>
  <c r="L1340" i="2"/>
  <c r="K1340" i="2"/>
  <c r="J1340" i="2"/>
  <c r="I1340" i="2"/>
  <c r="H1340" i="2"/>
  <c r="G1340" i="2"/>
  <c r="F1340" i="2"/>
  <c r="D1340" i="2"/>
  <c r="B1340" i="2"/>
  <c r="A1340" i="2"/>
  <c r="T1339" i="2"/>
  <c r="S1339" i="2"/>
  <c r="R1339" i="2"/>
  <c r="Q1339" i="2"/>
  <c r="P1339" i="2"/>
  <c r="O1339" i="2"/>
  <c r="N1339" i="2"/>
  <c r="M1339" i="2"/>
  <c r="L1339" i="2"/>
  <c r="K1339" i="2"/>
  <c r="J1339" i="2"/>
  <c r="I1339" i="2"/>
  <c r="H1339" i="2"/>
  <c r="G1339" i="2"/>
  <c r="F1339" i="2"/>
  <c r="D1339" i="2"/>
  <c r="B1339" i="2"/>
  <c r="A1339" i="2"/>
  <c r="T1338" i="2"/>
  <c r="S1338" i="2"/>
  <c r="R1338" i="2"/>
  <c r="Q1338" i="2"/>
  <c r="P1338" i="2"/>
  <c r="O1338" i="2"/>
  <c r="N1338" i="2"/>
  <c r="M1338" i="2"/>
  <c r="L1338" i="2"/>
  <c r="K1338" i="2"/>
  <c r="J1338" i="2"/>
  <c r="I1338" i="2"/>
  <c r="H1338" i="2"/>
  <c r="G1338" i="2"/>
  <c r="F1338" i="2"/>
  <c r="D1338" i="2"/>
  <c r="B1338" i="2"/>
  <c r="A1338" i="2"/>
  <c r="T1337" i="2"/>
  <c r="S1337" i="2"/>
  <c r="R1337" i="2"/>
  <c r="Q1337" i="2"/>
  <c r="P1337" i="2"/>
  <c r="O1337" i="2"/>
  <c r="N1337" i="2"/>
  <c r="M1337" i="2"/>
  <c r="L1337" i="2"/>
  <c r="K1337" i="2"/>
  <c r="J1337" i="2"/>
  <c r="I1337" i="2"/>
  <c r="H1337" i="2"/>
  <c r="G1337" i="2"/>
  <c r="F1337" i="2"/>
  <c r="D1337" i="2"/>
  <c r="B1337" i="2"/>
  <c r="A1337" i="2"/>
  <c r="T1336" i="2"/>
  <c r="S1336" i="2"/>
  <c r="R1336" i="2"/>
  <c r="Q1336" i="2"/>
  <c r="P1336" i="2"/>
  <c r="O1336" i="2"/>
  <c r="N1336" i="2"/>
  <c r="M1336" i="2"/>
  <c r="L1336" i="2"/>
  <c r="K1336" i="2"/>
  <c r="J1336" i="2"/>
  <c r="I1336" i="2"/>
  <c r="H1336" i="2"/>
  <c r="G1336" i="2"/>
  <c r="F1336" i="2"/>
  <c r="D1336" i="2"/>
  <c r="B1336" i="2"/>
  <c r="A1336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H1335" i="2"/>
  <c r="G1335" i="2"/>
  <c r="F1335" i="2"/>
  <c r="D1335" i="2"/>
  <c r="B1335" i="2"/>
  <c r="A1335" i="2"/>
  <c r="T1334" i="2"/>
  <c r="S1334" i="2"/>
  <c r="R1334" i="2"/>
  <c r="Q1334" i="2"/>
  <c r="P1334" i="2"/>
  <c r="O1334" i="2"/>
  <c r="N1334" i="2"/>
  <c r="M1334" i="2"/>
  <c r="L1334" i="2"/>
  <c r="K1334" i="2"/>
  <c r="J1334" i="2"/>
  <c r="I1334" i="2"/>
  <c r="H1334" i="2"/>
  <c r="G1334" i="2"/>
  <c r="F1334" i="2"/>
  <c r="D1334" i="2"/>
  <c r="B1334" i="2"/>
  <c r="A1334" i="2"/>
  <c r="T1333" i="2"/>
  <c r="S1333" i="2"/>
  <c r="R1333" i="2"/>
  <c r="Q1333" i="2"/>
  <c r="P1333" i="2"/>
  <c r="O1333" i="2"/>
  <c r="N1333" i="2"/>
  <c r="M1333" i="2"/>
  <c r="L1333" i="2"/>
  <c r="K1333" i="2"/>
  <c r="J1333" i="2"/>
  <c r="I1333" i="2"/>
  <c r="H1333" i="2"/>
  <c r="G1333" i="2"/>
  <c r="F1333" i="2"/>
  <c r="D1333" i="2"/>
  <c r="B1333" i="2"/>
  <c r="A1333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H1332" i="2"/>
  <c r="G1332" i="2"/>
  <c r="F1332" i="2"/>
  <c r="D1332" i="2"/>
  <c r="B1332" i="2"/>
  <c r="A1332" i="2"/>
  <c r="T1331" i="2"/>
  <c r="S1331" i="2"/>
  <c r="R1331" i="2"/>
  <c r="Q1331" i="2"/>
  <c r="P1331" i="2"/>
  <c r="O1331" i="2"/>
  <c r="N1331" i="2"/>
  <c r="M1331" i="2"/>
  <c r="L1331" i="2"/>
  <c r="K1331" i="2"/>
  <c r="J1331" i="2"/>
  <c r="I1331" i="2"/>
  <c r="H1331" i="2"/>
  <c r="G1331" i="2"/>
  <c r="F1331" i="2"/>
  <c r="D1331" i="2"/>
  <c r="B1331" i="2"/>
  <c r="A1331" i="2"/>
  <c r="T1330" i="2"/>
  <c r="S1330" i="2"/>
  <c r="R1330" i="2"/>
  <c r="Q1330" i="2"/>
  <c r="P1330" i="2"/>
  <c r="O1330" i="2"/>
  <c r="N1330" i="2"/>
  <c r="M1330" i="2"/>
  <c r="L1330" i="2"/>
  <c r="K1330" i="2"/>
  <c r="J1330" i="2"/>
  <c r="I1330" i="2"/>
  <c r="H1330" i="2"/>
  <c r="G1330" i="2"/>
  <c r="F1330" i="2"/>
  <c r="D1330" i="2"/>
  <c r="B1330" i="2"/>
  <c r="A1330" i="2"/>
  <c r="T1329" i="2"/>
  <c r="S1329" i="2"/>
  <c r="R1329" i="2"/>
  <c r="Q1329" i="2"/>
  <c r="P1329" i="2"/>
  <c r="O1329" i="2"/>
  <c r="N1329" i="2"/>
  <c r="M1329" i="2"/>
  <c r="L1329" i="2"/>
  <c r="K1329" i="2"/>
  <c r="J1329" i="2"/>
  <c r="I1329" i="2"/>
  <c r="H1329" i="2"/>
  <c r="G1329" i="2"/>
  <c r="F1329" i="2"/>
  <c r="D1329" i="2"/>
  <c r="B1329" i="2"/>
  <c r="A1329" i="2"/>
  <c r="T1328" i="2"/>
  <c r="S1328" i="2"/>
  <c r="R1328" i="2"/>
  <c r="Q1328" i="2"/>
  <c r="P1328" i="2"/>
  <c r="O1328" i="2"/>
  <c r="N1328" i="2"/>
  <c r="M1328" i="2"/>
  <c r="L1328" i="2"/>
  <c r="K1328" i="2"/>
  <c r="J1328" i="2"/>
  <c r="I1328" i="2"/>
  <c r="H1328" i="2"/>
  <c r="G1328" i="2"/>
  <c r="F1328" i="2"/>
  <c r="D1328" i="2"/>
  <c r="B1328" i="2"/>
  <c r="A1328" i="2"/>
  <c r="T1327" i="2"/>
  <c r="S1327" i="2"/>
  <c r="R1327" i="2"/>
  <c r="Q1327" i="2"/>
  <c r="P1327" i="2"/>
  <c r="O1327" i="2"/>
  <c r="N1327" i="2"/>
  <c r="M1327" i="2"/>
  <c r="L1327" i="2"/>
  <c r="K1327" i="2"/>
  <c r="J1327" i="2"/>
  <c r="I1327" i="2"/>
  <c r="H1327" i="2"/>
  <c r="G1327" i="2"/>
  <c r="F1327" i="2"/>
  <c r="D1327" i="2"/>
  <c r="B1327" i="2"/>
  <c r="A1327" i="2"/>
  <c r="T1326" i="2"/>
  <c r="S1326" i="2"/>
  <c r="R1326" i="2"/>
  <c r="Q1326" i="2"/>
  <c r="P1326" i="2"/>
  <c r="O1326" i="2"/>
  <c r="N1326" i="2"/>
  <c r="M1326" i="2"/>
  <c r="L1326" i="2"/>
  <c r="K1326" i="2"/>
  <c r="J1326" i="2"/>
  <c r="I1326" i="2"/>
  <c r="H1326" i="2"/>
  <c r="G1326" i="2"/>
  <c r="F1326" i="2"/>
  <c r="D1326" i="2"/>
  <c r="B1326" i="2"/>
  <c r="A1326" i="2"/>
  <c r="T1325" i="2"/>
  <c r="S1325" i="2"/>
  <c r="R1325" i="2"/>
  <c r="Q1325" i="2"/>
  <c r="P1325" i="2"/>
  <c r="O1325" i="2"/>
  <c r="N1325" i="2"/>
  <c r="M1325" i="2"/>
  <c r="L1325" i="2"/>
  <c r="K1325" i="2"/>
  <c r="J1325" i="2"/>
  <c r="I1325" i="2"/>
  <c r="H1325" i="2"/>
  <c r="G1325" i="2"/>
  <c r="F1325" i="2"/>
  <c r="D1325" i="2"/>
  <c r="B1325" i="2"/>
  <c r="A1325" i="2"/>
  <c r="T1324" i="2"/>
  <c r="S1324" i="2"/>
  <c r="R1324" i="2"/>
  <c r="Q1324" i="2"/>
  <c r="P1324" i="2"/>
  <c r="O1324" i="2"/>
  <c r="N1324" i="2"/>
  <c r="M1324" i="2"/>
  <c r="L1324" i="2"/>
  <c r="K1324" i="2"/>
  <c r="J1324" i="2"/>
  <c r="I1324" i="2"/>
  <c r="H1324" i="2"/>
  <c r="G1324" i="2"/>
  <c r="F1324" i="2"/>
  <c r="D1324" i="2"/>
  <c r="B1324" i="2"/>
  <c r="A1324" i="2"/>
  <c r="T1323" i="2"/>
  <c r="S1323" i="2"/>
  <c r="R1323" i="2"/>
  <c r="Q1323" i="2"/>
  <c r="P1323" i="2"/>
  <c r="O1323" i="2"/>
  <c r="N1323" i="2"/>
  <c r="M1323" i="2"/>
  <c r="L1323" i="2"/>
  <c r="K1323" i="2"/>
  <c r="J1323" i="2"/>
  <c r="I1323" i="2"/>
  <c r="H1323" i="2"/>
  <c r="G1323" i="2"/>
  <c r="F1323" i="2"/>
  <c r="D1323" i="2"/>
  <c r="B1323" i="2"/>
  <c r="A1323" i="2"/>
  <c r="T1322" i="2"/>
  <c r="S1322" i="2"/>
  <c r="R1322" i="2"/>
  <c r="Q1322" i="2"/>
  <c r="P1322" i="2"/>
  <c r="O1322" i="2"/>
  <c r="N1322" i="2"/>
  <c r="M1322" i="2"/>
  <c r="L1322" i="2"/>
  <c r="K1322" i="2"/>
  <c r="J1322" i="2"/>
  <c r="I1322" i="2"/>
  <c r="H1322" i="2"/>
  <c r="G1322" i="2"/>
  <c r="F1322" i="2"/>
  <c r="D1322" i="2"/>
  <c r="B1322" i="2"/>
  <c r="A1322" i="2"/>
  <c r="T1321" i="2"/>
  <c r="S1321" i="2"/>
  <c r="R1321" i="2"/>
  <c r="Q1321" i="2"/>
  <c r="P1321" i="2"/>
  <c r="O1321" i="2"/>
  <c r="N1321" i="2"/>
  <c r="M1321" i="2"/>
  <c r="L1321" i="2"/>
  <c r="K1321" i="2"/>
  <c r="J1321" i="2"/>
  <c r="I1321" i="2"/>
  <c r="H1321" i="2"/>
  <c r="G1321" i="2"/>
  <c r="F1321" i="2"/>
  <c r="D1321" i="2"/>
  <c r="B1321" i="2"/>
  <c r="A1321" i="2"/>
  <c r="T1320" i="2"/>
  <c r="S1320" i="2"/>
  <c r="R1320" i="2"/>
  <c r="Q1320" i="2"/>
  <c r="P1320" i="2"/>
  <c r="O1320" i="2"/>
  <c r="N1320" i="2"/>
  <c r="M1320" i="2"/>
  <c r="L1320" i="2"/>
  <c r="K1320" i="2"/>
  <c r="J1320" i="2"/>
  <c r="I1320" i="2"/>
  <c r="H1320" i="2"/>
  <c r="G1320" i="2"/>
  <c r="F1320" i="2"/>
  <c r="D1320" i="2"/>
  <c r="B1320" i="2"/>
  <c r="A1320" i="2"/>
  <c r="T1319" i="2"/>
  <c r="S1319" i="2"/>
  <c r="R1319" i="2"/>
  <c r="Q1319" i="2"/>
  <c r="P1319" i="2"/>
  <c r="O1319" i="2"/>
  <c r="N1319" i="2"/>
  <c r="M1319" i="2"/>
  <c r="L1319" i="2"/>
  <c r="K1319" i="2"/>
  <c r="J1319" i="2"/>
  <c r="I1319" i="2"/>
  <c r="H1319" i="2"/>
  <c r="G1319" i="2"/>
  <c r="F1319" i="2"/>
  <c r="D1319" i="2"/>
  <c r="B1319" i="2"/>
  <c r="A1319" i="2"/>
  <c r="T1318" i="2"/>
  <c r="S1318" i="2"/>
  <c r="R1318" i="2"/>
  <c r="Q1318" i="2"/>
  <c r="P1318" i="2"/>
  <c r="O1318" i="2"/>
  <c r="N1318" i="2"/>
  <c r="M1318" i="2"/>
  <c r="L1318" i="2"/>
  <c r="K1318" i="2"/>
  <c r="J1318" i="2"/>
  <c r="I1318" i="2"/>
  <c r="H1318" i="2"/>
  <c r="G1318" i="2"/>
  <c r="F1318" i="2"/>
  <c r="D1318" i="2"/>
  <c r="B1318" i="2"/>
  <c r="A1318" i="2"/>
  <c r="T1317" i="2"/>
  <c r="S1317" i="2"/>
  <c r="R1317" i="2"/>
  <c r="Q1317" i="2"/>
  <c r="P1317" i="2"/>
  <c r="O1317" i="2"/>
  <c r="N1317" i="2"/>
  <c r="M1317" i="2"/>
  <c r="L1317" i="2"/>
  <c r="K1317" i="2"/>
  <c r="J1317" i="2"/>
  <c r="I1317" i="2"/>
  <c r="H1317" i="2"/>
  <c r="G1317" i="2"/>
  <c r="F1317" i="2"/>
  <c r="D1317" i="2"/>
  <c r="B1317" i="2"/>
  <c r="A1317" i="2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H1316" i="2"/>
  <c r="G1316" i="2"/>
  <c r="F1316" i="2"/>
  <c r="D1316" i="2"/>
  <c r="B1316" i="2"/>
  <c r="A1316" i="2"/>
  <c r="T1315" i="2"/>
  <c r="S1315" i="2"/>
  <c r="R1315" i="2"/>
  <c r="Q1315" i="2"/>
  <c r="P1315" i="2"/>
  <c r="O1315" i="2"/>
  <c r="N1315" i="2"/>
  <c r="M1315" i="2"/>
  <c r="L1315" i="2"/>
  <c r="K1315" i="2"/>
  <c r="J1315" i="2"/>
  <c r="I1315" i="2"/>
  <c r="H1315" i="2"/>
  <c r="G1315" i="2"/>
  <c r="F1315" i="2"/>
  <c r="D1315" i="2"/>
  <c r="B1315" i="2"/>
  <c r="A1315" i="2"/>
  <c r="T1314" i="2"/>
  <c r="S1314" i="2"/>
  <c r="R1314" i="2"/>
  <c r="Q1314" i="2"/>
  <c r="P1314" i="2"/>
  <c r="O1314" i="2"/>
  <c r="N1314" i="2"/>
  <c r="M1314" i="2"/>
  <c r="L1314" i="2"/>
  <c r="K1314" i="2"/>
  <c r="J1314" i="2"/>
  <c r="I1314" i="2"/>
  <c r="H1314" i="2"/>
  <c r="G1314" i="2"/>
  <c r="F1314" i="2"/>
  <c r="D1314" i="2"/>
  <c r="B1314" i="2"/>
  <c r="A1314" i="2"/>
  <c r="T1313" i="2"/>
  <c r="S1313" i="2"/>
  <c r="R1313" i="2"/>
  <c r="Q1313" i="2"/>
  <c r="P1313" i="2"/>
  <c r="O1313" i="2"/>
  <c r="N1313" i="2"/>
  <c r="M1313" i="2"/>
  <c r="L1313" i="2"/>
  <c r="K1313" i="2"/>
  <c r="J1313" i="2"/>
  <c r="I1313" i="2"/>
  <c r="H1313" i="2"/>
  <c r="G1313" i="2"/>
  <c r="F1313" i="2"/>
  <c r="D1313" i="2"/>
  <c r="B1313" i="2"/>
  <c r="A1313" i="2"/>
  <c r="T1312" i="2"/>
  <c r="S1312" i="2"/>
  <c r="R1312" i="2"/>
  <c r="Q1312" i="2"/>
  <c r="P1312" i="2"/>
  <c r="O1312" i="2"/>
  <c r="N1312" i="2"/>
  <c r="M1312" i="2"/>
  <c r="L1312" i="2"/>
  <c r="K1312" i="2"/>
  <c r="J1312" i="2"/>
  <c r="I1312" i="2"/>
  <c r="H1312" i="2"/>
  <c r="G1312" i="2"/>
  <c r="F1312" i="2"/>
  <c r="D1312" i="2"/>
  <c r="B1312" i="2"/>
  <c r="A1312" i="2"/>
  <c r="T1311" i="2"/>
  <c r="S1311" i="2"/>
  <c r="R1311" i="2"/>
  <c r="Q1311" i="2"/>
  <c r="P1311" i="2"/>
  <c r="O1311" i="2"/>
  <c r="N1311" i="2"/>
  <c r="M1311" i="2"/>
  <c r="L1311" i="2"/>
  <c r="K1311" i="2"/>
  <c r="J1311" i="2"/>
  <c r="I1311" i="2"/>
  <c r="H1311" i="2"/>
  <c r="G1311" i="2"/>
  <c r="F1311" i="2"/>
  <c r="D1311" i="2"/>
  <c r="B1311" i="2"/>
  <c r="A1311" i="2"/>
  <c r="T1310" i="2"/>
  <c r="S1310" i="2"/>
  <c r="R1310" i="2"/>
  <c r="Q1310" i="2"/>
  <c r="P1310" i="2"/>
  <c r="O1310" i="2"/>
  <c r="N1310" i="2"/>
  <c r="M1310" i="2"/>
  <c r="L1310" i="2"/>
  <c r="K1310" i="2"/>
  <c r="J1310" i="2"/>
  <c r="I1310" i="2"/>
  <c r="H1310" i="2"/>
  <c r="G1310" i="2"/>
  <c r="F1310" i="2"/>
  <c r="D1310" i="2"/>
  <c r="B1310" i="2"/>
  <c r="A1310" i="2"/>
  <c r="T1309" i="2"/>
  <c r="S1309" i="2"/>
  <c r="R1309" i="2"/>
  <c r="Q1309" i="2"/>
  <c r="P1309" i="2"/>
  <c r="O1309" i="2"/>
  <c r="N1309" i="2"/>
  <c r="M1309" i="2"/>
  <c r="L1309" i="2"/>
  <c r="K1309" i="2"/>
  <c r="J1309" i="2"/>
  <c r="I1309" i="2"/>
  <c r="H1309" i="2"/>
  <c r="G1309" i="2"/>
  <c r="F1309" i="2"/>
  <c r="D1309" i="2"/>
  <c r="B1309" i="2"/>
  <c r="A1309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H1308" i="2"/>
  <c r="G1308" i="2"/>
  <c r="F1308" i="2"/>
  <c r="D1308" i="2"/>
  <c r="B1308" i="2"/>
  <c r="A1308" i="2"/>
  <c r="T1307" i="2"/>
  <c r="S1307" i="2"/>
  <c r="R1307" i="2"/>
  <c r="Q1307" i="2"/>
  <c r="P1307" i="2"/>
  <c r="O1307" i="2"/>
  <c r="N1307" i="2"/>
  <c r="M1307" i="2"/>
  <c r="L1307" i="2"/>
  <c r="K1307" i="2"/>
  <c r="J1307" i="2"/>
  <c r="I1307" i="2"/>
  <c r="H1307" i="2"/>
  <c r="G1307" i="2"/>
  <c r="F1307" i="2"/>
  <c r="D1307" i="2"/>
  <c r="B1307" i="2"/>
  <c r="A1307" i="2"/>
  <c r="T1306" i="2"/>
  <c r="S1306" i="2"/>
  <c r="R1306" i="2"/>
  <c r="Q1306" i="2"/>
  <c r="P1306" i="2"/>
  <c r="O1306" i="2"/>
  <c r="N1306" i="2"/>
  <c r="M1306" i="2"/>
  <c r="L1306" i="2"/>
  <c r="K1306" i="2"/>
  <c r="J1306" i="2"/>
  <c r="I1306" i="2"/>
  <c r="H1306" i="2"/>
  <c r="G1306" i="2"/>
  <c r="F1306" i="2"/>
  <c r="D1306" i="2"/>
  <c r="B1306" i="2"/>
  <c r="A1306" i="2"/>
  <c r="T1305" i="2"/>
  <c r="S1305" i="2"/>
  <c r="R1305" i="2"/>
  <c r="Q1305" i="2"/>
  <c r="P1305" i="2"/>
  <c r="O1305" i="2"/>
  <c r="N1305" i="2"/>
  <c r="M1305" i="2"/>
  <c r="L1305" i="2"/>
  <c r="K1305" i="2"/>
  <c r="J1305" i="2"/>
  <c r="I1305" i="2"/>
  <c r="H1305" i="2"/>
  <c r="G1305" i="2"/>
  <c r="F1305" i="2"/>
  <c r="D1305" i="2"/>
  <c r="B1305" i="2"/>
  <c r="A1305" i="2"/>
  <c r="T1304" i="2"/>
  <c r="S1304" i="2"/>
  <c r="R1304" i="2"/>
  <c r="Q1304" i="2"/>
  <c r="P1304" i="2"/>
  <c r="O1304" i="2"/>
  <c r="N1304" i="2"/>
  <c r="M1304" i="2"/>
  <c r="L1304" i="2"/>
  <c r="K1304" i="2"/>
  <c r="J1304" i="2"/>
  <c r="I1304" i="2"/>
  <c r="H1304" i="2"/>
  <c r="G1304" i="2"/>
  <c r="F1304" i="2"/>
  <c r="D1304" i="2"/>
  <c r="B1304" i="2"/>
  <c r="A1304" i="2"/>
  <c r="T1303" i="2"/>
  <c r="S1303" i="2"/>
  <c r="R1303" i="2"/>
  <c r="Q1303" i="2"/>
  <c r="P1303" i="2"/>
  <c r="O1303" i="2"/>
  <c r="N1303" i="2"/>
  <c r="M1303" i="2"/>
  <c r="L1303" i="2"/>
  <c r="K1303" i="2"/>
  <c r="J1303" i="2"/>
  <c r="I1303" i="2"/>
  <c r="H1303" i="2"/>
  <c r="G1303" i="2"/>
  <c r="F1303" i="2"/>
  <c r="D1303" i="2"/>
  <c r="B1303" i="2"/>
  <c r="A1303" i="2"/>
  <c r="T1302" i="2"/>
  <c r="S1302" i="2"/>
  <c r="R1302" i="2"/>
  <c r="Q1302" i="2"/>
  <c r="P1302" i="2"/>
  <c r="O1302" i="2"/>
  <c r="N1302" i="2"/>
  <c r="M1302" i="2"/>
  <c r="L1302" i="2"/>
  <c r="K1302" i="2"/>
  <c r="J1302" i="2"/>
  <c r="I1302" i="2"/>
  <c r="H1302" i="2"/>
  <c r="G1302" i="2"/>
  <c r="F1302" i="2"/>
  <c r="D1302" i="2"/>
  <c r="B1302" i="2"/>
  <c r="A1302" i="2"/>
  <c r="T1301" i="2"/>
  <c r="S1301" i="2"/>
  <c r="R1301" i="2"/>
  <c r="Q1301" i="2"/>
  <c r="P1301" i="2"/>
  <c r="O1301" i="2"/>
  <c r="N1301" i="2"/>
  <c r="M1301" i="2"/>
  <c r="L1301" i="2"/>
  <c r="K1301" i="2"/>
  <c r="J1301" i="2"/>
  <c r="I1301" i="2"/>
  <c r="H1301" i="2"/>
  <c r="G1301" i="2"/>
  <c r="F1301" i="2"/>
  <c r="D1301" i="2"/>
  <c r="B1301" i="2"/>
  <c r="A1301" i="2"/>
  <c r="T1300" i="2"/>
  <c r="S1300" i="2"/>
  <c r="R1300" i="2"/>
  <c r="Q1300" i="2"/>
  <c r="P1300" i="2"/>
  <c r="O1300" i="2"/>
  <c r="N1300" i="2"/>
  <c r="M1300" i="2"/>
  <c r="L1300" i="2"/>
  <c r="K1300" i="2"/>
  <c r="J1300" i="2"/>
  <c r="I1300" i="2"/>
  <c r="H1300" i="2"/>
  <c r="G1300" i="2"/>
  <c r="F1300" i="2"/>
  <c r="D1300" i="2"/>
  <c r="B1300" i="2"/>
  <c r="A1300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D1299" i="2"/>
  <c r="B1299" i="2"/>
  <c r="A1299" i="2"/>
  <c r="T1298" i="2"/>
  <c r="S1298" i="2"/>
  <c r="R1298" i="2"/>
  <c r="Q1298" i="2"/>
  <c r="P1298" i="2"/>
  <c r="O1298" i="2"/>
  <c r="N1298" i="2"/>
  <c r="M1298" i="2"/>
  <c r="L1298" i="2"/>
  <c r="K1298" i="2"/>
  <c r="J1298" i="2"/>
  <c r="I1298" i="2"/>
  <c r="H1298" i="2"/>
  <c r="G1298" i="2"/>
  <c r="F1298" i="2"/>
  <c r="D1298" i="2"/>
  <c r="B1298" i="2"/>
  <c r="A1298" i="2"/>
  <c r="T1297" i="2"/>
  <c r="S1297" i="2"/>
  <c r="R1297" i="2"/>
  <c r="Q1297" i="2"/>
  <c r="P1297" i="2"/>
  <c r="O1297" i="2"/>
  <c r="N1297" i="2"/>
  <c r="M1297" i="2"/>
  <c r="L1297" i="2"/>
  <c r="K1297" i="2"/>
  <c r="J1297" i="2"/>
  <c r="I1297" i="2"/>
  <c r="H1297" i="2"/>
  <c r="G1297" i="2"/>
  <c r="F1297" i="2"/>
  <c r="D1297" i="2"/>
  <c r="B1297" i="2"/>
  <c r="A1297" i="2"/>
  <c r="T1296" i="2"/>
  <c r="S1296" i="2"/>
  <c r="R1296" i="2"/>
  <c r="Q1296" i="2"/>
  <c r="P1296" i="2"/>
  <c r="O1296" i="2"/>
  <c r="N1296" i="2"/>
  <c r="M1296" i="2"/>
  <c r="L1296" i="2"/>
  <c r="K1296" i="2"/>
  <c r="J1296" i="2"/>
  <c r="I1296" i="2"/>
  <c r="H1296" i="2"/>
  <c r="G1296" i="2"/>
  <c r="F1296" i="2"/>
  <c r="D1296" i="2"/>
  <c r="B1296" i="2"/>
  <c r="A1296" i="2"/>
  <c r="T1295" i="2"/>
  <c r="S1295" i="2"/>
  <c r="R1295" i="2"/>
  <c r="Q1295" i="2"/>
  <c r="P1295" i="2"/>
  <c r="O1295" i="2"/>
  <c r="N1295" i="2"/>
  <c r="M1295" i="2"/>
  <c r="L1295" i="2"/>
  <c r="K1295" i="2"/>
  <c r="J1295" i="2"/>
  <c r="I1295" i="2"/>
  <c r="H1295" i="2"/>
  <c r="G1295" i="2"/>
  <c r="F1295" i="2"/>
  <c r="D1295" i="2"/>
  <c r="B1295" i="2"/>
  <c r="A1295" i="2"/>
  <c r="T1294" i="2"/>
  <c r="S1294" i="2"/>
  <c r="R1294" i="2"/>
  <c r="Q1294" i="2"/>
  <c r="P1294" i="2"/>
  <c r="O1294" i="2"/>
  <c r="N1294" i="2"/>
  <c r="M1294" i="2"/>
  <c r="L1294" i="2"/>
  <c r="K1294" i="2"/>
  <c r="J1294" i="2"/>
  <c r="I1294" i="2"/>
  <c r="H1294" i="2"/>
  <c r="G1294" i="2"/>
  <c r="F1294" i="2"/>
  <c r="D1294" i="2"/>
  <c r="B1294" i="2"/>
  <c r="A1294" i="2"/>
  <c r="T1293" i="2"/>
  <c r="S1293" i="2"/>
  <c r="R1293" i="2"/>
  <c r="Q1293" i="2"/>
  <c r="P1293" i="2"/>
  <c r="O1293" i="2"/>
  <c r="N1293" i="2"/>
  <c r="M1293" i="2"/>
  <c r="L1293" i="2"/>
  <c r="K1293" i="2"/>
  <c r="J1293" i="2"/>
  <c r="I1293" i="2"/>
  <c r="H1293" i="2"/>
  <c r="G1293" i="2"/>
  <c r="F1293" i="2"/>
  <c r="D1293" i="2"/>
  <c r="B1293" i="2"/>
  <c r="A1293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H1292" i="2"/>
  <c r="G1292" i="2"/>
  <c r="F1292" i="2"/>
  <c r="D1292" i="2"/>
  <c r="B1292" i="2"/>
  <c r="A1292" i="2"/>
  <c r="T1291" i="2"/>
  <c r="S1291" i="2"/>
  <c r="R1291" i="2"/>
  <c r="Q1291" i="2"/>
  <c r="P1291" i="2"/>
  <c r="O1291" i="2"/>
  <c r="N1291" i="2"/>
  <c r="M1291" i="2"/>
  <c r="L1291" i="2"/>
  <c r="K1291" i="2"/>
  <c r="J1291" i="2"/>
  <c r="I1291" i="2"/>
  <c r="H1291" i="2"/>
  <c r="G1291" i="2"/>
  <c r="F1291" i="2"/>
  <c r="D1291" i="2"/>
  <c r="B1291" i="2"/>
  <c r="A1291" i="2"/>
  <c r="T1290" i="2"/>
  <c r="S1290" i="2"/>
  <c r="R1290" i="2"/>
  <c r="Q1290" i="2"/>
  <c r="P1290" i="2"/>
  <c r="O1290" i="2"/>
  <c r="N1290" i="2"/>
  <c r="M1290" i="2"/>
  <c r="L1290" i="2"/>
  <c r="K1290" i="2"/>
  <c r="J1290" i="2"/>
  <c r="I1290" i="2"/>
  <c r="H1290" i="2"/>
  <c r="G1290" i="2"/>
  <c r="F1290" i="2"/>
  <c r="D1290" i="2"/>
  <c r="B1290" i="2"/>
  <c r="A1290" i="2"/>
  <c r="T1289" i="2"/>
  <c r="S1289" i="2"/>
  <c r="R1289" i="2"/>
  <c r="Q1289" i="2"/>
  <c r="P1289" i="2"/>
  <c r="O1289" i="2"/>
  <c r="N1289" i="2"/>
  <c r="M1289" i="2"/>
  <c r="L1289" i="2"/>
  <c r="K1289" i="2"/>
  <c r="J1289" i="2"/>
  <c r="I1289" i="2"/>
  <c r="H1289" i="2"/>
  <c r="G1289" i="2"/>
  <c r="F1289" i="2"/>
  <c r="D1289" i="2"/>
  <c r="B1289" i="2"/>
  <c r="A1289" i="2"/>
  <c r="T1288" i="2"/>
  <c r="S1288" i="2"/>
  <c r="R1288" i="2"/>
  <c r="Q1288" i="2"/>
  <c r="P1288" i="2"/>
  <c r="O1288" i="2"/>
  <c r="N1288" i="2"/>
  <c r="M1288" i="2"/>
  <c r="L1288" i="2"/>
  <c r="K1288" i="2"/>
  <c r="J1288" i="2"/>
  <c r="I1288" i="2"/>
  <c r="H1288" i="2"/>
  <c r="G1288" i="2"/>
  <c r="F1288" i="2"/>
  <c r="D1288" i="2"/>
  <c r="B1288" i="2"/>
  <c r="A1288" i="2"/>
  <c r="T1287" i="2"/>
  <c r="S1287" i="2"/>
  <c r="R1287" i="2"/>
  <c r="Q1287" i="2"/>
  <c r="P1287" i="2"/>
  <c r="O1287" i="2"/>
  <c r="N1287" i="2"/>
  <c r="M1287" i="2"/>
  <c r="L1287" i="2"/>
  <c r="K1287" i="2"/>
  <c r="J1287" i="2"/>
  <c r="I1287" i="2"/>
  <c r="H1287" i="2"/>
  <c r="G1287" i="2"/>
  <c r="F1287" i="2"/>
  <c r="D1287" i="2"/>
  <c r="B1287" i="2"/>
  <c r="A1287" i="2"/>
  <c r="T1286" i="2"/>
  <c r="S1286" i="2"/>
  <c r="R1286" i="2"/>
  <c r="Q1286" i="2"/>
  <c r="P1286" i="2"/>
  <c r="O1286" i="2"/>
  <c r="N1286" i="2"/>
  <c r="M1286" i="2"/>
  <c r="L1286" i="2"/>
  <c r="K1286" i="2"/>
  <c r="J1286" i="2"/>
  <c r="I1286" i="2"/>
  <c r="H1286" i="2"/>
  <c r="G1286" i="2"/>
  <c r="F1286" i="2"/>
  <c r="D1286" i="2"/>
  <c r="B1286" i="2"/>
  <c r="A1286" i="2"/>
  <c r="T1285" i="2"/>
  <c r="S1285" i="2"/>
  <c r="R1285" i="2"/>
  <c r="Q1285" i="2"/>
  <c r="P1285" i="2"/>
  <c r="O1285" i="2"/>
  <c r="N1285" i="2"/>
  <c r="M1285" i="2"/>
  <c r="L1285" i="2"/>
  <c r="K1285" i="2"/>
  <c r="J1285" i="2"/>
  <c r="I1285" i="2"/>
  <c r="H1285" i="2"/>
  <c r="G1285" i="2"/>
  <c r="F1285" i="2"/>
  <c r="D1285" i="2"/>
  <c r="B1285" i="2"/>
  <c r="A1285" i="2"/>
  <c r="T1284" i="2"/>
  <c r="S1284" i="2"/>
  <c r="R1284" i="2"/>
  <c r="Q1284" i="2"/>
  <c r="P1284" i="2"/>
  <c r="O1284" i="2"/>
  <c r="N1284" i="2"/>
  <c r="M1284" i="2"/>
  <c r="L1284" i="2"/>
  <c r="K1284" i="2"/>
  <c r="J1284" i="2"/>
  <c r="I1284" i="2"/>
  <c r="H1284" i="2"/>
  <c r="G1284" i="2"/>
  <c r="F1284" i="2"/>
  <c r="D1284" i="2"/>
  <c r="B1284" i="2"/>
  <c r="A1284" i="2"/>
  <c r="T1283" i="2"/>
  <c r="S1283" i="2"/>
  <c r="R1283" i="2"/>
  <c r="Q1283" i="2"/>
  <c r="P1283" i="2"/>
  <c r="O1283" i="2"/>
  <c r="N1283" i="2"/>
  <c r="M1283" i="2"/>
  <c r="L1283" i="2"/>
  <c r="K1283" i="2"/>
  <c r="J1283" i="2"/>
  <c r="I1283" i="2"/>
  <c r="H1283" i="2"/>
  <c r="G1283" i="2"/>
  <c r="F1283" i="2"/>
  <c r="D1283" i="2"/>
  <c r="B1283" i="2"/>
  <c r="A1283" i="2"/>
  <c r="T1282" i="2"/>
  <c r="S1282" i="2"/>
  <c r="R1282" i="2"/>
  <c r="Q1282" i="2"/>
  <c r="P1282" i="2"/>
  <c r="O1282" i="2"/>
  <c r="N1282" i="2"/>
  <c r="M1282" i="2"/>
  <c r="L1282" i="2"/>
  <c r="K1282" i="2"/>
  <c r="J1282" i="2"/>
  <c r="I1282" i="2"/>
  <c r="H1282" i="2"/>
  <c r="G1282" i="2"/>
  <c r="F1282" i="2"/>
  <c r="D1282" i="2"/>
  <c r="B1282" i="2"/>
  <c r="A1282" i="2"/>
  <c r="T1281" i="2"/>
  <c r="S1281" i="2"/>
  <c r="R1281" i="2"/>
  <c r="Q1281" i="2"/>
  <c r="P1281" i="2"/>
  <c r="O1281" i="2"/>
  <c r="N1281" i="2"/>
  <c r="M1281" i="2"/>
  <c r="L1281" i="2"/>
  <c r="K1281" i="2"/>
  <c r="J1281" i="2"/>
  <c r="I1281" i="2"/>
  <c r="H1281" i="2"/>
  <c r="G1281" i="2"/>
  <c r="F1281" i="2"/>
  <c r="D1281" i="2"/>
  <c r="B1281" i="2"/>
  <c r="A1281" i="2"/>
  <c r="T1280" i="2"/>
  <c r="S1280" i="2"/>
  <c r="R1280" i="2"/>
  <c r="Q1280" i="2"/>
  <c r="P1280" i="2"/>
  <c r="O1280" i="2"/>
  <c r="N1280" i="2"/>
  <c r="M1280" i="2"/>
  <c r="L1280" i="2"/>
  <c r="K1280" i="2"/>
  <c r="J1280" i="2"/>
  <c r="I1280" i="2"/>
  <c r="H1280" i="2"/>
  <c r="G1280" i="2"/>
  <c r="F1280" i="2"/>
  <c r="D1280" i="2"/>
  <c r="B1280" i="2"/>
  <c r="A1280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H1279" i="2"/>
  <c r="G1279" i="2"/>
  <c r="F1279" i="2"/>
  <c r="D1279" i="2"/>
  <c r="B1279" i="2"/>
  <c r="A1279" i="2"/>
  <c r="T1278" i="2"/>
  <c r="S1278" i="2"/>
  <c r="R1278" i="2"/>
  <c r="Q1278" i="2"/>
  <c r="P1278" i="2"/>
  <c r="O1278" i="2"/>
  <c r="N1278" i="2"/>
  <c r="M1278" i="2"/>
  <c r="L1278" i="2"/>
  <c r="K1278" i="2"/>
  <c r="J1278" i="2"/>
  <c r="I1278" i="2"/>
  <c r="H1278" i="2"/>
  <c r="G1278" i="2"/>
  <c r="F1278" i="2"/>
  <c r="D1278" i="2"/>
  <c r="B1278" i="2"/>
  <c r="A1278" i="2"/>
  <c r="T1277" i="2"/>
  <c r="S1277" i="2"/>
  <c r="R1277" i="2"/>
  <c r="Q1277" i="2"/>
  <c r="P1277" i="2"/>
  <c r="O1277" i="2"/>
  <c r="N1277" i="2"/>
  <c r="M1277" i="2"/>
  <c r="L1277" i="2"/>
  <c r="K1277" i="2"/>
  <c r="J1277" i="2"/>
  <c r="I1277" i="2"/>
  <c r="H1277" i="2"/>
  <c r="G1277" i="2"/>
  <c r="F1277" i="2"/>
  <c r="D1277" i="2"/>
  <c r="B1277" i="2"/>
  <c r="A1277" i="2"/>
  <c r="T1276" i="2"/>
  <c r="S1276" i="2"/>
  <c r="R1276" i="2"/>
  <c r="Q1276" i="2"/>
  <c r="P1276" i="2"/>
  <c r="O1276" i="2"/>
  <c r="N1276" i="2"/>
  <c r="M1276" i="2"/>
  <c r="L1276" i="2"/>
  <c r="K1276" i="2"/>
  <c r="J1276" i="2"/>
  <c r="I1276" i="2"/>
  <c r="H1276" i="2"/>
  <c r="G1276" i="2"/>
  <c r="F1276" i="2"/>
  <c r="D1276" i="2"/>
  <c r="B1276" i="2"/>
  <c r="A1276" i="2"/>
  <c r="T1275" i="2"/>
  <c r="S1275" i="2"/>
  <c r="R1275" i="2"/>
  <c r="Q1275" i="2"/>
  <c r="P1275" i="2"/>
  <c r="O1275" i="2"/>
  <c r="N1275" i="2"/>
  <c r="M1275" i="2"/>
  <c r="L1275" i="2"/>
  <c r="K1275" i="2"/>
  <c r="J1275" i="2"/>
  <c r="I1275" i="2"/>
  <c r="H1275" i="2"/>
  <c r="G1275" i="2"/>
  <c r="F1275" i="2"/>
  <c r="D1275" i="2"/>
  <c r="B1275" i="2"/>
  <c r="A1275" i="2"/>
  <c r="T1274" i="2"/>
  <c r="S1274" i="2"/>
  <c r="R1274" i="2"/>
  <c r="Q1274" i="2"/>
  <c r="P1274" i="2"/>
  <c r="O1274" i="2"/>
  <c r="N1274" i="2"/>
  <c r="M1274" i="2"/>
  <c r="L1274" i="2"/>
  <c r="K1274" i="2"/>
  <c r="J1274" i="2"/>
  <c r="I1274" i="2"/>
  <c r="H1274" i="2"/>
  <c r="G1274" i="2"/>
  <c r="F1274" i="2"/>
  <c r="D1274" i="2"/>
  <c r="B1274" i="2"/>
  <c r="A1274" i="2"/>
  <c r="T1273" i="2"/>
  <c r="S1273" i="2"/>
  <c r="R1273" i="2"/>
  <c r="Q1273" i="2"/>
  <c r="P1273" i="2"/>
  <c r="O1273" i="2"/>
  <c r="N1273" i="2"/>
  <c r="M1273" i="2"/>
  <c r="L1273" i="2"/>
  <c r="K1273" i="2"/>
  <c r="J1273" i="2"/>
  <c r="I1273" i="2"/>
  <c r="H1273" i="2"/>
  <c r="G1273" i="2"/>
  <c r="F1273" i="2"/>
  <c r="D1273" i="2"/>
  <c r="B1273" i="2"/>
  <c r="A1273" i="2"/>
  <c r="T1272" i="2"/>
  <c r="S1272" i="2"/>
  <c r="R1272" i="2"/>
  <c r="Q1272" i="2"/>
  <c r="P1272" i="2"/>
  <c r="O1272" i="2"/>
  <c r="N1272" i="2"/>
  <c r="M1272" i="2"/>
  <c r="L1272" i="2"/>
  <c r="K1272" i="2"/>
  <c r="J1272" i="2"/>
  <c r="I1272" i="2"/>
  <c r="H1272" i="2"/>
  <c r="G1272" i="2"/>
  <c r="F1272" i="2"/>
  <c r="D1272" i="2"/>
  <c r="B1272" i="2"/>
  <c r="A1272" i="2"/>
  <c r="T1271" i="2"/>
  <c r="S1271" i="2"/>
  <c r="R1271" i="2"/>
  <c r="Q1271" i="2"/>
  <c r="P1271" i="2"/>
  <c r="O1271" i="2"/>
  <c r="N1271" i="2"/>
  <c r="M1271" i="2"/>
  <c r="L1271" i="2"/>
  <c r="K1271" i="2"/>
  <c r="J1271" i="2"/>
  <c r="I1271" i="2"/>
  <c r="H1271" i="2"/>
  <c r="G1271" i="2"/>
  <c r="F1271" i="2"/>
  <c r="D1271" i="2"/>
  <c r="B1271" i="2"/>
  <c r="A1271" i="2"/>
  <c r="T1270" i="2"/>
  <c r="S1270" i="2"/>
  <c r="R1270" i="2"/>
  <c r="Q1270" i="2"/>
  <c r="P1270" i="2"/>
  <c r="O1270" i="2"/>
  <c r="N1270" i="2"/>
  <c r="M1270" i="2"/>
  <c r="L1270" i="2"/>
  <c r="K1270" i="2"/>
  <c r="J1270" i="2"/>
  <c r="I1270" i="2"/>
  <c r="H1270" i="2"/>
  <c r="G1270" i="2"/>
  <c r="F1270" i="2"/>
  <c r="D1270" i="2"/>
  <c r="B1270" i="2"/>
  <c r="A1270" i="2"/>
  <c r="T1269" i="2"/>
  <c r="S1269" i="2"/>
  <c r="R1269" i="2"/>
  <c r="Q1269" i="2"/>
  <c r="P1269" i="2"/>
  <c r="O1269" i="2"/>
  <c r="N1269" i="2"/>
  <c r="M1269" i="2"/>
  <c r="L1269" i="2"/>
  <c r="K1269" i="2"/>
  <c r="J1269" i="2"/>
  <c r="I1269" i="2"/>
  <c r="H1269" i="2"/>
  <c r="G1269" i="2"/>
  <c r="F1269" i="2"/>
  <c r="D1269" i="2"/>
  <c r="B1269" i="2"/>
  <c r="A1269" i="2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H1268" i="2"/>
  <c r="G1268" i="2"/>
  <c r="F1268" i="2"/>
  <c r="D1268" i="2"/>
  <c r="B1268" i="2"/>
  <c r="A1268" i="2"/>
  <c r="T1267" i="2"/>
  <c r="S1267" i="2"/>
  <c r="R1267" i="2"/>
  <c r="Q1267" i="2"/>
  <c r="P1267" i="2"/>
  <c r="O1267" i="2"/>
  <c r="N1267" i="2"/>
  <c r="M1267" i="2"/>
  <c r="L1267" i="2"/>
  <c r="K1267" i="2"/>
  <c r="J1267" i="2"/>
  <c r="I1267" i="2"/>
  <c r="H1267" i="2"/>
  <c r="G1267" i="2"/>
  <c r="F1267" i="2"/>
  <c r="D1267" i="2"/>
  <c r="B1267" i="2"/>
  <c r="A1267" i="2"/>
  <c r="T1266" i="2"/>
  <c r="S1266" i="2"/>
  <c r="R1266" i="2"/>
  <c r="Q1266" i="2"/>
  <c r="P1266" i="2"/>
  <c r="O1266" i="2"/>
  <c r="N1266" i="2"/>
  <c r="M1266" i="2"/>
  <c r="L1266" i="2"/>
  <c r="K1266" i="2"/>
  <c r="J1266" i="2"/>
  <c r="I1266" i="2"/>
  <c r="H1266" i="2"/>
  <c r="G1266" i="2"/>
  <c r="F1266" i="2"/>
  <c r="D1266" i="2"/>
  <c r="B1266" i="2"/>
  <c r="A1266" i="2"/>
  <c r="T1265" i="2"/>
  <c r="S1265" i="2"/>
  <c r="R1265" i="2"/>
  <c r="Q1265" i="2"/>
  <c r="P1265" i="2"/>
  <c r="O1265" i="2"/>
  <c r="N1265" i="2"/>
  <c r="M1265" i="2"/>
  <c r="L1265" i="2"/>
  <c r="K1265" i="2"/>
  <c r="J1265" i="2"/>
  <c r="I1265" i="2"/>
  <c r="H1265" i="2"/>
  <c r="G1265" i="2"/>
  <c r="F1265" i="2"/>
  <c r="D1265" i="2"/>
  <c r="B1265" i="2"/>
  <c r="A1265" i="2"/>
  <c r="T1264" i="2"/>
  <c r="S1264" i="2"/>
  <c r="R1264" i="2"/>
  <c r="Q1264" i="2"/>
  <c r="P1264" i="2"/>
  <c r="O1264" i="2"/>
  <c r="N1264" i="2"/>
  <c r="M1264" i="2"/>
  <c r="L1264" i="2"/>
  <c r="K1264" i="2"/>
  <c r="J1264" i="2"/>
  <c r="I1264" i="2"/>
  <c r="H1264" i="2"/>
  <c r="G1264" i="2"/>
  <c r="F1264" i="2"/>
  <c r="D1264" i="2"/>
  <c r="B1264" i="2"/>
  <c r="A1264" i="2"/>
  <c r="T1263" i="2"/>
  <c r="S1263" i="2"/>
  <c r="R1263" i="2"/>
  <c r="Q1263" i="2"/>
  <c r="P1263" i="2"/>
  <c r="O1263" i="2"/>
  <c r="N1263" i="2"/>
  <c r="M1263" i="2"/>
  <c r="L1263" i="2"/>
  <c r="K1263" i="2"/>
  <c r="J1263" i="2"/>
  <c r="I1263" i="2"/>
  <c r="H1263" i="2"/>
  <c r="G1263" i="2"/>
  <c r="F1263" i="2"/>
  <c r="D1263" i="2"/>
  <c r="B1263" i="2"/>
  <c r="A1263" i="2"/>
  <c r="T1262" i="2"/>
  <c r="S1262" i="2"/>
  <c r="R1262" i="2"/>
  <c r="Q1262" i="2"/>
  <c r="P1262" i="2"/>
  <c r="O1262" i="2"/>
  <c r="N1262" i="2"/>
  <c r="M1262" i="2"/>
  <c r="L1262" i="2"/>
  <c r="K1262" i="2"/>
  <c r="J1262" i="2"/>
  <c r="I1262" i="2"/>
  <c r="H1262" i="2"/>
  <c r="G1262" i="2"/>
  <c r="F1262" i="2"/>
  <c r="D1262" i="2"/>
  <c r="B1262" i="2"/>
  <c r="A1262" i="2"/>
  <c r="T1261" i="2"/>
  <c r="S1261" i="2"/>
  <c r="R1261" i="2"/>
  <c r="Q1261" i="2"/>
  <c r="P1261" i="2"/>
  <c r="O1261" i="2"/>
  <c r="N1261" i="2"/>
  <c r="M1261" i="2"/>
  <c r="L1261" i="2"/>
  <c r="K1261" i="2"/>
  <c r="J1261" i="2"/>
  <c r="I1261" i="2"/>
  <c r="H1261" i="2"/>
  <c r="G1261" i="2"/>
  <c r="F1261" i="2"/>
  <c r="D1261" i="2"/>
  <c r="B1261" i="2"/>
  <c r="A1261" i="2"/>
  <c r="T1260" i="2"/>
  <c r="S1260" i="2"/>
  <c r="R1260" i="2"/>
  <c r="Q1260" i="2"/>
  <c r="P1260" i="2"/>
  <c r="O1260" i="2"/>
  <c r="N1260" i="2"/>
  <c r="M1260" i="2"/>
  <c r="L1260" i="2"/>
  <c r="K1260" i="2"/>
  <c r="J1260" i="2"/>
  <c r="I1260" i="2"/>
  <c r="H1260" i="2"/>
  <c r="G1260" i="2"/>
  <c r="F1260" i="2"/>
  <c r="D1260" i="2"/>
  <c r="B1260" i="2"/>
  <c r="A1260" i="2"/>
  <c r="T1259" i="2"/>
  <c r="S1259" i="2"/>
  <c r="R1259" i="2"/>
  <c r="Q1259" i="2"/>
  <c r="P1259" i="2"/>
  <c r="O1259" i="2"/>
  <c r="N1259" i="2"/>
  <c r="M1259" i="2"/>
  <c r="L1259" i="2"/>
  <c r="K1259" i="2"/>
  <c r="J1259" i="2"/>
  <c r="I1259" i="2"/>
  <c r="H1259" i="2"/>
  <c r="G1259" i="2"/>
  <c r="F1259" i="2"/>
  <c r="D1259" i="2"/>
  <c r="B1259" i="2"/>
  <c r="A1259" i="2"/>
  <c r="T1258" i="2"/>
  <c r="S1258" i="2"/>
  <c r="R1258" i="2"/>
  <c r="Q1258" i="2"/>
  <c r="P1258" i="2"/>
  <c r="O1258" i="2"/>
  <c r="N1258" i="2"/>
  <c r="M1258" i="2"/>
  <c r="L1258" i="2"/>
  <c r="K1258" i="2"/>
  <c r="J1258" i="2"/>
  <c r="I1258" i="2"/>
  <c r="H1258" i="2"/>
  <c r="G1258" i="2"/>
  <c r="F1258" i="2"/>
  <c r="D1258" i="2"/>
  <c r="B1258" i="2"/>
  <c r="A1258" i="2"/>
  <c r="T1257" i="2"/>
  <c r="S1257" i="2"/>
  <c r="R1257" i="2"/>
  <c r="Q1257" i="2"/>
  <c r="P1257" i="2"/>
  <c r="O1257" i="2"/>
  <c r="N1257" i="2"/>
  <c r="M1257" i="2"/>
  <c r="L1257" i="2"/>
  <c r="K1257" i="2"/>
  <c r="J1257" i="2"/>
  <c r="I1257" i="2"/>
  <c r="H1257" i="2"/>
  <c r="G1257" i="2"/>
  <c r="F1257" i="2"/>
  <c r="D1257" i="2"/>
  <c r="B1257" i="2"/>
  <c r="A1257" i="2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H1256" i="2"/>
  <c r="G1256" i="2"/>
  <c r="F1256" i="2"/>
  <c r="D1256" i="2"/>
  <c r="B1256" i="2"/>
  <c r="A1256" i="2"/>
  <c r="T1255" i="2"/>
  <c r="S1255" i="2"/>
  <c r="R1255" i="2"/>
  <c r="Q1255" i="2"/>
  <c r="P1255" i="2"/>
  <c r="O1255" i="2"/>
  <c r="N1255" i="2"/>
  <c r="M1255" i="2"/>
  <c r="L1255" i="2"/>
  <c r="K1255" i="2"/>
  <c r="J1255" i="2"/>
  <c r="I1255" i="2"/>
  <c r="H1255" i="2"/>
  <c r="G1255" i="2"/>
  <c r="F1255" i="2"/>
  <c r="D1255" i="2"/>
  <c r="B1255" i="2"/>
  <c r="A1255" i="2"/>
  <c r="T1254" i="2"/>
  <c r="S1254" i="2"/>
  <c r="R1254" i="2"/>
  <c r="Q1254" i="2"/>
  <c r="P1254" i="2"/>
  <c r="O1254" i="2"/>
  <c r="N1254" i="2"/>
  <c r="M1254" i="2"/>
  <c r="L1254" i="2"/>
  <c r="K1254" i="2"/>
  <c r="J1254" i="2"/>
  <c r="I1254" i="2"/>
  <c r="H1254" i="2"/>
  <c r="G1254" i="2"/>
  <c r="F1254" i="2"/>
  <c r="D1254" i="2"/>
  <c r="B1254" i="2"/>
  <c r="A1254" i="2"/>
  <c r="T1253" i="2"/>
  <c r="S1253" i="2"/>
  <c r="R1253" i="2"/>
  <c r="Q1253" i="2"/>
  <c r="P1253" i="2"/>
  <c r="O1253" i="2"/>
  <c r="N1253" i="2"/>
  <c r="M1253" i="2"/>
  <c r="L1253" i="2"/>
  <c r="K1253" i="2"/>
  <c r="J1253" i="2"/>
  <c r="I1253" i="2"/>
  <c r="H1253" i="2"/>
  <c r="G1253" i="2"/>
  <c r="F1253" i="2"/>
  <c r="D1253" i="2"/>
  <c r="B1253" i="2"/>
  <c r="A1253" i="2"/>
  <c r="T1252" i="2"/>
  <c r="S1252" i="2"/>
  <c r="R1252" i="2"/>
  <c r="Q1252" i="2"/>
  <c r="P1252" i="2"/>
  <c r="O1252" i="2"/>
  <c r="N1252" i="2"/>
  <c r="M1252" i="2"/>
  <c r="L1252" i="2"/>
  <c r="K1252" i="2"/>
  <c r="J1252" i="2"/>
  <c r="I1252" i="2"/>
  <c r="H1252" i="2"/>
  <c r="G1252" i="2"/>
  <c r="F1252" i="2"/>
  <c r="D1252" i="2"/>
  <c r="B1252" i="2"/>
  <c r="A1252" i="2"/>
  <c r="T1251" i="2"/>
  <c r="S1251" i="2"/>
  <c r="R1251" i="2"/>
  <c r="Q1251" i="2"/>
  <c r="P1251" i="2"/>
  <c r="O1251" i="2"/>
  <c r="N1251" i="2"/>
  <c r="M1251" i="2"/>
  <c r="L1251" i="2"/>
  <c r="K1251" i="2"/>
  <c r="J1251" i="2"/>
  <c r="I1251" i="2"/>
  <c r="H1251" i="2"/>
  <c r="G1251" i="2"/>
  <c r="F1251" i="2"/>
  <c r="D1251" i="2"/>
  <c r="B1251" i="2"/>
  <c r="A1251" i="2"/>
  <c r="T1250" i="2"/>
  <c r="S1250" i="2"/>
  <c r="R1250" i="2"/>
  <c r="Q1250" i="2"/>
  <c r="P1250" i="2"/>
  <c r="O1250" i="2"/>
  <c r="N1250" i="2"/>
  <c r="M1250" i="2"/>
  <c r="L1250" i="2"/>
  <c r="K1250" i="2"/>
  <c r="J1250" i="2"/>
  <c r="I1250" i="2"/>
  <c r="H1250" i="2"/>
  <c r="G1250" i="2"/>
  <c r="F1250" i="2"/>
  <c r="D1250" i="2"/>
  <c r="B1250" i="2"/>
  <c r="A1250" i="2"/>
  <c r="T1249" i="2"/>
  <c r="S1249" i="2"/>
  <c r="R1249" i="2"/>
  <c r="Q1249" i="2"/>
  <c r="P1249" i="2"/>
  <c r="O1249" i="2"/>
  <c r="N1249" i="2"/>
  <c r="M1249" i="2"/>
  <c r="L1249" i="2"/>
  <c r="K1249" i="2"/>
  <c r="J1249" i="2"/>
  <c r="I1249" i="2"/>
  <c r="H1249" i="2"/>
  <c r="G1249" i="2"/>
  <c r="F1249" i="2"/>
  <c r="D1249" i="2"/>
  <c r="B1249" i="2"/>
  <c r="A1249" i="2"/>
  <c r="T1248" i="2"/>
  <c r="S1248" i="2"/>
  <c r="R1248" i="2"/>
  <c r="Q1248" i="2"/>
  <c r="P1248" i="2"/>
  <c r="O1248" i="2"/>
  <c r="N1248" i="2"/>
  <c r="M1248" i="2"/>
  <c r="L1248" i="2"/>
  <c r="K1248" i="2"/>
  <c r="J1248" i="2"/>
  <c r="I1248" i="2"/>
  <c r="H1248" i="2"/>
  <c r="G1248" i="2"/>
  <c r="F1248" i="2"/>
  <c r="D1248" i="2"/>
  <c r="B1248" i="2"/>
  <c r="A1248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D1247" i="2"/>
  <c r="B1247" i="2"/>
  <c r="A1247" i="2"/>
  <c r="T1246" i="2"/>
  <c r="S1246" i="2"/>
  <c r="R1246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D1246" i="2"/>
  <c r="B1246" i="2"/>
  <c r="A1246" i="2"/>
  <c r="T1245" i="2"/>
  <c r="S1245" i="2"/>
  <c r="R1245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D1245" i="2"/>
  <c r="B1245" i="2"/>
  <c r="A1245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H1244" i="2"/>
  <c r="G1244" i="2"/>
  <c r="F1244" i="2"/>
  <c r="D1244" i="2"/>
  <c r="B1244" i="2"/>
  <c r="A1244" i="2"/>
  <c r="T1243" i="2"/>
  <c r="S1243" i="2"/>
  <c r="R1243" i="2"/>
  <c r="Q1243" i="2"/>
  <c r="P1243" i="2"/>
  <c r="O1243" i="2"/>
  <c r="N1243" i="2"/>
  <c r="M1243" i="2"/>
  <c r="L1243" i="2"/>
  <c r="K1243" i="2"/>
  <c r="J1243" i="2"/>
  <c r="I1243" i="2"/>
  <c r="H1243" i="2"/>
  <c r="G1243" i="2"/>
  <c r="F1243" i="2"/>
  <c r="D1243" i="2"/>
  <c r="B1243" i="2"/>
  <c r="A1243" i="2"/>
  <c r="T1242" i="2"/>
  <c r="S1242" i="2"/>
  <c r="R1242" i="2"/>
  <c r="Q1242" i="2"/>
  <c r="P1242" i="2"/>
  <c r="O1242" i="2"/>
  <c r="N1242" i="2"/>
  <c r="M1242" i="2"/>
  <c r="L1242" i="2"/>
  <c r="K1242" i="2"/>
  <c r="J1242" i="2"/>
  <c r="I1242" i="2"/>
  <c r="H1242" i="2"/>
  <c r="G1242" i="2"/>
  <c r="F1242" i="2"/>
  <c r="D1242" i="2"/>
  <c r="B1242" i="2"/>
  <c r="A1242" i="2"/>
  <c r="T1241" i="2"/>
  <c r="S1241" i="2"/>
  <c r="R1241" i="2"/>
  <c r="Q1241" i="2"/>
  <c r="P1241" i="2"/>
  <c r="O1241" i="2"/>
  <c r="N1241" i="2"/>
  <c r="M1241" i="2"/>
  <c r="L1241" i="2"/>
  <c r="K1241" i="2"/>
  <c r="J1241" i="2"/>
  <c r="I1241" i="2"/>
  <c r="H1241" i="2"/>
  <c r="G1241" i="2"/>
  <c r="F1241" i="2"/>
  <c r="D1241" i="2"/>
  <c r="B1241" i="2"/>
  <c r="A1241" i="2"/>
  <c r="T1240" i="2"/>
  <c r="S1240" i="2"/>
  <c r="R1240" i="2"/>
  <c r="Q1240" i="2"/>
  <c r="P1240" i="2"/>
  <c r="O1240" i="2"/>
  <c r="N1240" i="2"/>
  <c r="M1240" i="2"/>
  <c r="L1240" i="2"/>
  <c r="K1240" i="2"/>
  <c r="J1240" i="2"/>
  <c r="I1240" i="2"/>
  <c r="H1240" i="2"/>
  <c r="G1240" i="2"/>
  <c r="F1240" i="2"/>
  <c r="D1240" i="2"/>
  <c r="B1240" i="2"/>
  <c r="A1240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H1239" i="2"/>
  <c r="G1239" i="2"/>
  <c r="F1239" i="2"/>
  <c r="D1239" i="2"/>
  <c r="B1239" i="2"/>
  <c r="A1239" i="2"/>
  <c r="T1238" i="2"/>
  <c r="S1238" i="2"/>
  <c r="R1238" i="2"/>
  <c r="Q1238" i="2"/>
  <c r="P1238" i="2"/>
  <c r="O1238" i="2"/>
  <c r="N1238" i="2"/>
  <c r="M1238" i="2"/>
  <c r="L1238" i="2"/>
  <c r="K1238" i="2"/>
  <c r="J1238" i="2"/>
  <c r="I1238" i="2"/>
  <c r="H1238" i="2"/>
  <c r="G1238" i="2"/>
  <c r="F1238" i="2"/>
  <c r="D1238" i="2"/>
  <c r="B1238" i="2"/>
  <c r="A1238" i="2"/>
  <c r="T1237" i="2"/>
  <c r="S1237" i="2"/>
  <c r="R1237" i="2"/>
  <c r="Q1237" i="2"/>
  <c r="P1237" i="2"/>
  <c r="O1237" i="2"/>
  <c r="N1237" i="2"/>
  <c r="M1237" i="2"/>
  <c r="L1237" i="2"/>
  <c r="K1237" i="2"/>
  <c r="J1237" i="2"/>
  <c r="I1237" i="2"/>
  <c r="H1237" i="2"/>
  <c r="G1237" i="2"/>
  <c r="F1237" i="2"/>
  <c r="D1237" i="2"/>
  <c r="B1237" i="2"/>
  <c r="A1237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D1236" i="2"/>
  <c r="B1236" i="2"/>
  <c r="A1236" i="2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D1235" i="2"/>
  <c r="B1235" i="2"/>
  <c r="A1235" i="2"/>
  <c r="T1234" i="2"/>
  <c r="S1234" i="2"/>
  <c r="R1234" i="2"/>
  <c r="Q1234" i="2"/>
  <c r="P1234" i="2"/>
  <c r="O1234" i="2"/>
  <c r="N1234" i="2"/>
  <c r="M1234" i="2"/>
  <c r="L1234" i="2"/>
  <c r="K1234" i="2"/>
  <c r="J1234" i="2"/>
  <c r="I1234" i="2"/>
  <c r="H1234" i="2"/>
  <c r="G1234" i="2"/>
  <c r="F1234" i="2"/>
  <c r="D1234" i="2"/>
  <c r="B1234" i="2"/>
  <c r="A1234" i="2"/>
  <c r="T1233" i="2"/>
  <c r="S1233" i="2"/>
  <c r="R1233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D1233" i="2"/>
  <c r="B1233" i="2"/>
  <c r="A1233" i="2"/>
  <c r="T1232" i="2"/>
  <c r="S1232" i="2"/>
  <c r="R1232" i="2"/>
  <c r="Q1232" i="2"/>
  <c r="P1232" i="2"/>
  <c r="O1232" i="2"/>
  <c r="N1232" i="2"/>
  <c r="M1232" i="2"/>
  <c r="L1232" i="2"/>
  <c r="K1232" i="2"/>
  <c r="J1232" i="2"/>
  <c r="I1232" i="2"/>
  <c r="H1232" i="2"/>
  <c r="G1232" i="2"/>
  <c r="F1232" i="2"/>
  <c r="D1232" i="2"/>
  <c r="B1232" i="2"/>
  <c r="A1232" i="2"/>
  <c r="T1231" i="2"/>
  <c r="S1231" i="2"/>
  <c r="R1231" i="2"/>
  <c r="Q1231" i="2"/>
  <c r="P1231" i="2"/>
  <c r="O1231" i="2"/>
  <c r="N1231" i="2"/>
  <c r="M1231" i="2"/>
  <c r="L1231" i="2"/>
  <c r="K1231" i="2"/>
  <c r="J1231" i="2"/>
  <c r="I1231" i="2"/>
  <c r="H1231" i="2"/>
  <c r="G1231" i="2"/>
  <c r="F1231" i="2"/>
  <c r="D1231" i="2"/>
  <c r="B1231" i="2"/>
  <c r="A1231" i="2"/>
  <c r="T1230" i="2"/>
  <c r="S1230" i="2"/>
  <c r="R1230" i="2"/>
  <c r="Q1230" i="2"/>
  <c r="P1230" i="2"/>
  <c r="O1230" i="2"/>
  <c r="N1230" i="2"/>
  <c r="M1230" i="2"/>
  <c r="L1230" i="2"/>
  <c r="K1230" i="2"/>
  <c r="J1230" i="2"/>
  <c r="I1230" i="2"/>
  <c r="H1230" i="2"/>
  <c r="G1230" i="2"/>
  <c r="F1230" i="2"/>
  <c r="D1230" i="2"/>
  <c r="B1230" i="2"/>
  <c r="A1230" i="2"/>
  <c r="T1229" i="2"/>
  <c r="S1229" i="2"/>
  <c r="R1229" i="2"/>
  <c r="Q1229" i="2"/>
  <c r="P1229" i="2"/>
  <c r="O1229" i="2"/>
  <c r="N1229" i="2"/>
  <c r="M1229" i="2"/>
  <c r="L1229" i="2"/>
  <c r="K1229" i="2"/>
  <c r="J1229" i="2"/>
  <c r="I1229" i="2"/>
  <c r="H1229" i="2"/>
  <c r="G1229" i="2"/>
  <c r="F1229" i="2"/>
  <c r="D1229" i="2"/>
  <c r="B1229" i="2"/>
  <c r="A1229" i="2"/>
  <c r="T1228" i="2"/>
  <c r="S1228" i="2"/>
  <c r="R1228" i="2"/>
  <c r="Q1228" i="2"/>
  <c r="P1228" i="2"/>
  <c r="O1228" i="2"/>
  <c r="N1228" i="2"/>
  <c r="M1228" i="2"/>
  <c r="L1228" i="2"/>
  <c r="K1228" i="2"/>
  <c r="J1228" i="2"/>
  <c r="I1228" i="2"/>
  <c r="H1228" i="2"/>
  <c r="G1228" i="2"/>
  <c r="F1228" i="2"/>
  <c r="D1228" i="2"/>
  <c r="B1228" i="2"/>
  <c r="A1228" i="2"/>
  <c r="T1227" i="2"/>
  <c r="S1227" i="2"/>
  <c r="R1227" i="2"/>
  <c r="Q1227" i="2"/>
  <c r="P1227" i="2"/>
  <c r="O1227" i="2"/>
  <c r="N1227" i="2"/>
  <c r="M1227" i="2"/>
  <c r="L1227" i="2"/>
  <c r="K1227" i="2"/>
  <c r="J1227" i="2"/>
  <c r="I1227" i="2"/>
  <c r="H1227" i="2"/>
  <c r="G1227" i="2"/>
  <c r="F1227" i="2"/>
  <c r="D1227" i="2"/>
  <c r="B1227" i="2"/>
  <c r="A1227" i="2"/>
  <c r="T1226" i="2"/>
  <c r="S1226" i="2"/>
  <c r="R1226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D1226" i="2"/>
  <c r="B1226" i="2"/>
  <c r="A1226" i="2"/>
  <c r="T1225" i="2"/>
  <c r="S1225" i="2"/>
  <c r="R1225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D1225" i="2"/>
  <c r="B1225" i="2"/>
  <c r="A1225" i="2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D1224" i="2"/>
  <c r="B1224" i="2"/>
  <c r="A1224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D1223" i="2"/>
  <c r="B1223" i="2"/>
  <c r="A1223" i="2"/>
  <c r="T1222" i="2"/>
  <c r="S1222" i="2"/>
  <c r="R1222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D1222" i="2"/>
  <c r="B1222" i="2"/>
  <c r="A1222" i="2"/>
  <c r="T1221" i="2"/>
  <c r="S1221" i="2"/>
  <c r="R1221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D1221" i="2"/>
  <c r="B1221" i="2"/>
  <c r="A1221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D1220" i="2"/>
  <c r="B1220" i="2"/>
  <c r="A1220" i="2"/>
  <c r="T1219" i="2"/>
  <c r="S1219" i="2"/>
  <c r="R1219" i="2"/>
  <c r="Q1219" i="2"/>
  <c r="P1219" i="2"/>
  <c r="O1219" i="2"/>
  <c r="N1219" i="2"/>
  <c r="M1219" i="2"/>
  <c r="L1219" i="2"/>
  <c r="K1219" i="2"/>
  <c r="J1219" i="2"/>
  <c r="I1219" i="2"/>
  <c r="H1219" i="2"/>
  <c r="G1219" i="2"/>
  <c r="F1219" i="2"/>
  <c r="D1219" i="2"/>
  <c r="B1219" i="2"/>
  <c r="A1219" i="2"/>
  <c r="T1218" i="2"/>
  <c r="S1218" i="2"/>
  <c r="R1218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D1218" i="2"/>
  <c r="B1218" i="2"/>
  <c r="A1218" i="2"/>
  <c r="T1217" i="2"/>
  <c r="S1217" i="2"/>
  <c r="R1217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D1217" i="2"/>
  <c r="B1217" i="2"/>
  <c r="A1217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D1216" i="2"/>
  <c r="B1216" i="2"/>
  <c r="A1216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D1215" i="2"/>
  <c r="B1215" i="2"/>
  <c r="A1215" i="2"/>
  <c r="T1214" i="2"/>
  <c r="S1214" i="2"/>
  <c r="R1214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D1214" i="2"/>
  <c r="B1214" i="2"/>
  <c r="A1214" i="2"/>
  <c r="T1213" i="2"/>
  <c r="S1213" i="2"/>
  <c r="R1213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D1213" i="2"/>
  <c r="B1213" i="2"/>
  <c r="A1213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D1212" i="2"/>
  <c r="B1212" i="2"/>
  <c r="A1212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D1211" i="2"/>
  <c r="B1211" i="2"/>
  <c r="A1211" i="2"/>
  <c r="T1210" i="2"/>
  <c r="S1210" i="2"/>
  <c r="R1210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D1210" i="2"/>
  <c r="B1210" i="2"/>
  <c r="A1210" i="2"/>
  <c r="T1209" i="2"/>
  <c r="S1209" i="2"/>
  <c r="R1209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D1209" i="2"/>
  <c r="B1209" i="2"/>
  <c r="A1209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D1208" i="2"/>
  <c r="B1208" i="2"/>
  <c r="A1208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D1207" i="2"/>
  <c r="B1207" i="2"/>
  <c r="A1207" i="2"/>
  <c r="T1206" i="2"/>
  <c r="S1206" i="2"/>
  <c r="R1206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D1206" i="2"/>
  <c r="B1206" i="2"/>
  <c r="A1206" i="2"/>
  <c r="T1205" i="2"/>
  <c r="S1205" i="2"/>
  <c r="R1205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D1205" i="2"/>
  <c r="B1205" i="2"/>
  <c r="A1205" i="2"/>
  <c r="T1204" i="2"/>
  <c r="S1204" i="2"/>
  <c r="R1204" i="2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D1204" i="2"/>
  <c r="B1204" i="2"/>
  <c r="A1204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D1203" i="2"/>
  <c r="B1203" i="2"/>
  <c r="A1203" i="2"/>
  <c r="T1202" i="2"/>
  <c r="S1202" i="2"/>
  <c r="R1202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D1202" i="2"/>
  <c r="B1202" i="2"/>
  <c r="A1202" i="2"/>
  <c r="T1201" i="2"/>
  <c r="S1201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D1201" i="2"/>
  <c r="B1201" i="2"/>
  <c r="A1201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D1200" i="2"/>
  <c r="B1200" i="2"/>
  <c r="A1200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D1199" i="2"/>
  <c r="B1199" i="2"/>
  <c r="A1199" i="2"/>
  <c r="T1198" i="2"/>
  <c r="S1198" i="2"/>
  <c r="R1198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D1198" i="2"/>
  <c r="B1198" i="2"/>
  <c r="A1198" i="2"/>
  <c r="T1197" i="2"/>
  <c r="S1197" i="2"/>
  <c r="R1197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D1197" i="2"/>
  <c r="B1197" i="2"/>
  <c r="A1197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D1196" i="2"/>
  <c r="B1196" i="2"/>
  <c r="A1196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D1195" i="2"/>
  <c r="B1195" i="2"/>
  <c r="A1195" i="2"/>
  <c r="T1194" i="2"/>
  <c r="S1194" i="2"/>
  <c r="R1194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D1194" i="2"/>
  <c r="B1194" i="2"/>
  <c r="A1194" i="2"/>
  <c r="T1193" i="2"/>
  <c r="S1193" i="2"/>
  <c r="R1193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D1193" i="2"/>
  <c r="B1193" i="2"/>
  <c r="A1193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D1192" i="2"/>
  <c r="B1192" i="2"/>
  <c r="A1192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D1191" i="2"/>
  <c r="B1191" i="2"/>
  <c r="A1191" i="2"/>
  <c r="T1190" i="2"/>
  <c r="S1190" i="2"/>
  <c r="R1190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D1190" i="2"/>
  <c r="B1190" i="2"/>
  <c r="A1190" i="2"/>
  <c r="T1189" i="2"/>
  <c r="S1189" i="2"/>
  <c r="R1189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D1189" i="2"/>
  <c r="B1189" i="2"/>
  <c r="A1189" i="2"/>
  <c r="T1188" i="2"/>
  <c r="S1188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D1188" i="2"/>
  <c r="B1188" i="2"/>
  <c r="A1188" i="2"/>
  <c r="T1187" i="2"/>
  <c r="S1187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D1187" i="2"/>
  <c r="B1187" i="2"/>
  <c r="A1187" i="2"/>
  <c r="T1186" i="2"/>
  <c r="S1186" i="2"/>
  <c r="R1186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D1186" i="2"/>
  <c r="B1186" i="2"/>
  <c r="A1186" i="2"/>
  <c r="T1185" i="2"/>
  <c r="S1185" i="2"/>
  <c r="R1185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D1185" i="2"/>
  <c r="B1185" i="2"/>
  <c r="A1185" i="2"/>
  <c r="T1184" i="2"/>
  <c r="S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D1184" i="2"/>
  <c r="B1184" i="2"/>
  <c r="A1184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D1183" i="2"/>
  <c r="B1183" i="2"/>
  <c r="A1183" i="2"/>
  <c r="T1182" i="2"/>
  <c r="S1182" i="2"/>
  <c r="R1182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D1182" i="2"/>
  <c r="B1182" i="2"/>
  <c r="A1182" i="2"/>
  <c r="T1181" i="2"/>
  <c r="S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D1181" i="2"/>
  <c r="B1181" i="2"/>
  <c r="A1181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D1180" i="2"/>
  <c r="B1180" i="2"/>
  <c r="A1180" i="2"/>
  <c r="T1179" i="2"/>
  <c r="S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D1179" i="2"/>
  <c r="B1179" i="2"/>
  <c r="A1179" i="2"/>
  <c r="T1178" i="2"/>
  <c r="S1178" i="2"/>
  <c r="R1178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D1178" i="2"/>
  <c r="B1178" i="2"/>
  <c r="A1178" i="2"/>
  <c r="T1177" i="2"/>
  <c r="S1177" i="2"/>
  <c r="R1177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D1177" i="2"/>
  <c r="B1177" i="2"/>
  <c r="A1177" i="2"/>
  <c r="T1176" i="2"/>
  <c r="S1176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D1176" i="2"/>
  <c r="B1176" i="2"/>
  <c r="A1176" i="2"/>
  <c r="T1175" i="2"/>
  <c r="S1175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D1175" i="2"/>
  <c r="B1175" i="2"/>
  <c r="A1175" i="2"/>
  <c r="T1174" i="2"/>
  <c r="S1174" i="2"/>
  <c r="R1174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D1174" i="2"/>
  <c r="B1174" i="2"/>
  <c r="A1174" i="2"/>
  <c r="T1173" i="2"/>
  <c r="S1173" i="2"/>
  <c r="R1173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D1173" i="2"/>
  <c r="B1173" i="2"/>
  <c r="A1173" i="2"/>
  <c r="T1172" i="2"/>
  <c r="S1172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D1172" i="2"/>
  <c r="B1172" i="2"/>
  <c r="A1172" i="2"/>
  <c r="T1171" i="2"/>
  <c r="S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D1171" i="2"/>
  <c r="B1171" i="2"/>
  <c r="A1171" i="2"/>
  <c r="T1170" i="2"/>
  <c r="S1170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D1170" i="2"/>
  <c r="B1170" i="2"/>
  <c r="A1170" i="2"/>
  <c r="T1169" i="2"/>
  <c r="S1169" i="2"/>
  <c r="R1169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D1169" i="2"/>
  <c r="B1169" i="2"/>
  <c r="A1169" i="2"/>
  <c r="T1168" i="2"/>
  <c r="S1168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D1168" i="2"/>
  <c r="B1168" i="2"/>
  <c r="A1168" i="2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D1167" i="2"/>
  <c r="B1167" i="2"/>
  <c r="A1167" i="2"/>
  <c r="T1166" i="2"/>
  <c r="S1166" i="2"/>
  <c r="R1166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D1166" i="2"/>
  <c r="B1166" i="2"/>
  <c r="A1166" i="2"/>
  <c r="T1165" i="2"/>
  <c r="S1165" i="2"/>
  <c r="R1165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D1165" i="2"/>
  <c r="B1165" i="2"/>
  <c r="A1165" i="2"/>
  <c r="T1164" i="2"/>
  <c r="S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D1164" i="2"/>
  <c r="B1164" i="2"/>
  <c r="A1164" i="2"/>
  <c r="T1163" i="2"/>
  <c r="S1163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D1163" i="2"/>
  <c r="B1163" i="2"/>
  <c r="A1163" i="2"/>
  <c r="T1162" i="2"/>
  <c r="S1162" i="2"/>
  <c r="R1162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D1162" i="2"/>
  <c r="B1162" i="2"/>
  <c r="A1162" i="2"/>
  <c r="T1161" i="2"/>
  <c r="S1161" i="2"/>
  <c r="R1161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D1161" i="2"/>
  <c r="B1161" i="2"/>
  <c r="A1161" i="2"/>
  <c r="T1160" i="2"/>
  <c r="S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D1160" i="2"/>
  <c r="B1160" i="2"/>
  <c r="A1160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D1159" i="2"/>
  <c r="B1159" i="2"/>
  <c r="A1159" i="2"/>
  <c r="T1158" i="2"/>
  <c r="S1158" i="2"/>
  <c r="R1158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D1158" i="2"/>
  <c r="B1158" i="2"/>
  <c r="A1158" i="2"/>
  <c r="T1157" i="2"/>
  <c r="S1157" i="2"/>
  <c r="R1157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D1157" i="2"/>
  <c r="B1157" i="2"/>
  <c r="A1157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D1156" i="2"/>
  <c r="B1156" i="2"/>
  <c r="A1156" i="2"/>
  <c r="T1155" i="2"/>
  <c r="S1155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D1155" i="2"/>
  <c r="B1155" i="2"/>
  <c r="A1155" i="2"/>
  <c r="T1154" i="2"/>
  <c r="S1154" i="2"/>
  <c r="R1154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D1154" i="2"/>
  <c r="B1154" i="2"/>
  <c r="A1154" i="2"/>
  <c r="T1153" i="2"/>
  <c r="S1153" i="2"/>
  <c r="R1153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D1153" i="2"/>
  <c r="B1153" i="2"/>
  <c r="A1153" i="2"/>
  <c r="T1152" i="2"/>
  <c r="S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D1152" i="2"/>
  <c r="B1152" i="2"/>
  <c r="A1152" i="2"/>
  <c r="T1151" i="2"/>
  <c r="S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D1151" i="2"/>
  <c r="B1151" i="2"/>
  <c r="A1151" i="2"/>
  <c r="T1150" i="2"/>
  <c r="S1150" i="2"/>
  <c r="R1150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D1150" i="2"/>
  <c r="B1150" i="2"/>
  <c r="A1150" i="2"/>
  <c r="T1149" i="2"/>
  <c r="S1149" i="2"/>
  <c r="R1149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D1149" i="2"/>
  <c r="B1149" i="2"/>
  <c r="A1149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D1148" i="2"/>
  <c r="B1148" i="2"/>
  <c r="A1148" i="2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D1147" i="2"/>
  <c r="B1147" i="2"/>
  <c r="A1147" i="2"/>
  <c r="T1146" i="2"/>
  <c r="S1146" i="2"/>
  <c r="R1146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D1146" i="2"/>
  <c r="B1146" i="2"/>
  <c r="A1146" i="2"/>
  <c r="T1145" i="2"/>
  <c r="S1145" i="2"/>
  <c r="R1145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D1145" i="2"/>
  <c r="B1145" i="2"/>
  <c r="A1145" i="2"/>
  <c r="T1144" i="2"/>
  <c r="S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D1144" i="2"/>
  <c r="B1144" i="2"/>
  <c r="A1144" i="2"/>
  <c r="T1143" i="2"/>
  <c r="S1143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D1143" i="2"/>
  <c r="B1143" i="2"/>
  <c r="A1143" i="2"/>
  <c r="T1142" i="2"/>
  <c r="S1142" i="2"/>
  <c r="R1142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D1142" i="2"/>
  <c r="B1142" i="2"/>
  <c r="A1142" i="2"/>
  <c r="T1141" i="2"/>
  <c r="S1141" i="2"/>
  <c r="R1141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D1141" i="2"/>
  <c r="B1141" i="2"/>
  <c r="A1141" i="2"/>
  <c r="T1140" i="2"/>
  <c r="S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D1140" i="2"/>
  <c r="B1140" i="2"/>
  <c r="A1140" i="2"/>
  <c r="T1139" i="2"/>
  <c r="S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D1139" i="2"/>
  <c r="B1139" i="2"/>
  <c r="A1139" i="2"/>
  <c r="T1138" i="2"/>
  <c r="S1138" i="2"/>
  <c r="R1138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D1138" i="2"/>
  <c r="B1138" i="2"/>
  <c r="A1138" i="2"/>
  <c r="T1137" i="2"/>
  <c r="S1137" i="2"/>
  <c r="R1137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D1137" i="2"/>
  <c r="B1137" i="2"/>
  <c r="A1137" i="2"/>
  <c r="T1136" i="2"/>
  <c r="S1136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D1136" i="2"/>
  <c r="B1136" i="2"/>
  <c r="A1136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D1135" i="2"/>
  <c r="B1135" i="2"/>
  <c r="A1135" i="2"/>
  <c r="T1134" i="2"/>
  <c r="S1134" i="2"/>
  <c r="R1134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D1134" i="2"/>
  <c r="B1134" i="2"/>
  <c r="A1134" i="2"/>
  <c r="T1133" i="2"/>
  <c r="S1133" i="2"/>
  <c r="R1133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D1133" i="2"/>
  <c r="B1133" i="2"/>
  <c r="A1133" i="2"/>
  <c r="T1132" i="2"/>
  <c r="S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D1132" i="2"/>
  <c r="B1132" i="2"/>
  <c r="A1132" i="2"/>
  <c r="T1131" i="2"/>
  <c r="S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D1131" i="2"/>
  <c r="B1131" i="2"/>
  <c r="A1131" i="2"/>
  <c r="T1130" i="2"/>
  <c r="S1130" i="2"/>
  <c r="R1130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D1130" i="2"/>
  <c r="B1130" i="2"/>
  <c r="A1130" i="2"/>
  <c r="T1129" i="2"/>
  <c r="S1129" i="2"/>
  <c r="R1129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D1129" i="2"/>
  <c r="B1129" i="2"/>
  <c r="A1129" i="2"/>
  <c r="T1128" i="2"/>
  <c r="S1128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D1128" i="2"/>
  <c r="B1128" i="2"/>
  <c r="A1128" i="2"/>
  <c r="T1127" i="2"/>
  <c r="S1127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D1127" i="2"/>
  <c r="B1127" i="2"/>
  <c r="A1127" i="2"/>
  <c r="T1126" i="2"/>
  <c r="S1126" i="2"/>
  <c r="R1126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D1126" i="2"/>
  <c r="B1126" i="2"/>
  <c r="A1126" i="2"/>
  <c r="T1125" i="2"/>
  <c r="S1125" i="2"/>
  <c r="R1125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D1125" i="2"/>
  <c r="B1125" i="2"/>
  <c r="A1125" i="2"/>
  <c r="T1124" i="2"/>
  <c r="S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D1124" i="2"/>
  <c r="B1124" i="2"/>
  <c r="A1124" i="2"/>
  <c r="T1123" i="2"/>
  <c r="S1123" i="2"/>
  <c r="R1123" i="2"/>
  <c r="Q1123" i="2"/>
  <c r="P1123" i="2"/>
  <c r="O1123" i="2"/>
  <c r="N1123" i="2"/>
  <c r="M1123" i="2"/>
  <c r="L1123" i="2"/>
  <c r="K1123" i="2"/>
  <c r="J1123" i="2"/>
  <c r="I1123" i="2"/>
  <c r="H1123" i="2"/>
  <c r="G1123" i="2"/>
  <c r="F1123" i="2"/>
  <c r="D1123" i="2"/>
  <c r="B1123" i="2"/>
  <c r="A1123" i="2"/>
  <c r="T1122" i="2"/>
  <c r="S1122" i="2"/>
  <c r="R1122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D1122" i="2"/>
  <c r="B1122" i="2"/>
  <c r="A1122" i="2"/>
  <c r="T1121" i="2"/>
  <c r="S1121" i="2"/>
  <c r="R1121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D1121" i="2"/>
  <c r="B1121" i="2"/>
  <c r="A1121" i="2"/>
  <c r="T1120" i="2"/>
  <c r="S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D1120" i="2"/>
  <c r="B1120" i="2"/>
  <c r="A1120" i="2"/>
  <c r="T1119" i="2"/>
  <c r="S1119" i="2"/>
  <c r="R1119" i="2"/>
  <c r="Q1119" i="2"/>
  <c r="P1119" i="2"/>
  <c r="O1119" i="2"/>
  <c r="N1119" i="2"/>
  <c r="M1119" i="2"/>
  <c r="L1119" i="2"/>
  <c r="K1119" i="2"/>
  <c r="J1119" i="2"/>
  <c r="I1119" i="2"/>
  <c r="H1119" i="2"/>
  <c r="G1119" i="2"/>
  <c r="F1119" i="2"/>
  <c r="D1119" i="2"/>
  <c r="B1119" i="2"/>
  <c r="A1119" i="2"/>
  <c r="T1118" i="2"/>
  <c r="S1118" i="2"/>
  <c r="R1118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D1118" i="2"/>
  <c r="B1118" i="2"/>
  <c r="A1118" i="2"/>
  <c r="T1117" i="2"/>
  <c r="S1117" i="2"/>
  <c r="R1117" i="2"/>
  <c r="Q1117" i="2"/>
  <c r="P1117" i="2"/>
  <c r="O1117" i="2"/>
  <c r="N1117" i="2"/>
  <c r="M1117" i="2"/>
  <c r="L1117" i="2"/>
  <c r="K1117" i="2"/>
  <c r="J1117" i="2"/>
  <c r="I1117" i="2"/>
  <c r="H1117" i="2"/>
  <c r="G1117" i="2"/>
  <c r="F1117" i="2"/>
  <c r="D1117" i="2"/>
  <c r="B1117" i="2"/>
  <c r="A1117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D1116" i="2"/>
  <c r="B1116" i="2"/>
  <c r="A1116" i="2"/>
  <c r="T1115" i="2"/>
  <c r="S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D1115" i="2"/>
  <c r="B1115" i="2"/>
  <c r="A1115" i="2"/>
  <c r="T1114" i="2"/>
  <c r="S1114" i="2"/>
  <c r="R1114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D1114" i="2"/>
  <c r="B1114" i="2"/>
  <c r="A1114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H1113" i="2"/>
  <c r="G1113" i="2"/>
  <c r="F1113" i="2"/>
  <c r="D1113" i="2"/>
  <c r="B1113" i="2"/>
  <c r="A1113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D1112" i="2"/>
  <c r="B1112" i="2"/>
  <c r="A1112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H1111" i="2"/>
  <c r="G1111" i="2"/>
  <c r="F1111" i="2"/>
  <c r="D1111" i="2"/>
  <c r="B1111" i="2"/>
  <c r="A1111" i="2"/>
  <c r="T1110" i="2"/>
  <c r="S1110" i="2"/>
  <c r="R1110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D1110" i="2"/>
  <c r="B1110" i="2"/>
  <c r="A1110" i="2"/>
  <c r="T1109" i="2"/>
  <c r="S1109" i="2"/>
  <c r="R1109" i="2"/>
  <c r="Q1109" i="2"/>
  <c r="P1109" i="2"/>
  <c r="O1109" i="2"/>
  <c r="N1109" i="2"/>
  <c r="M1109" i="2"/>
  <c r="L1109" i="2"/>
  <c r="K1109" i="2"/>
  <c r="J1109" i="2"/>
  <c r="I1109" i="2"/>
  <c r="H1109" i="2"/>
  <c r="G1109" i="2"/>
  <c r="F1109" i="2"/>
  <c r="D1109" i="2"/>
  <c r="B1109" i="2"/>
  <c r="A1109" i="2"/>
  <c r="T1108" i="2"/>
  <c r="S1108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D1108" i="2"/>
  <c r="B1108" i="2"/>
  <c r="A1108" i="2"/>
  <c r="T1107" i="2"/>
  <c r="S1107" i="2"/>
  <c r="R1107" i="2"/>
  <c r="Q1107" i="2"/>
  <c r="P1107" i="2"/>
  <c r="O1107" i="2"/>
  <c r="N1107" i="2"/>
  <c r="M1107" i="2"/>
  <c r="L1107" i="2"/>
  <c r="K1107" i="2"/>
  <c r="J1107" i="2"/>
  <c r="I1107" i="2"/>
  <c r="H1107" i="2"/>
  <c r="G1107" i="2"/>
  <c r="F1107" i="2"/>
  <c r="D1107" i="2"/>
  <c r="B1107" i="2"/>
  <c r="A1107" i="2"/>
  <c r="T1106" i="2"/>
  <c r="S1106" i="2"/>
  <c r="R1106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D1106" i="2"/>
  <c r="B1106" i="2"/>
  <c r="A1106" i="2"/>
  <c r="T1105" i="2"/>
  <c r="S1105" i="2"/>
  <c r="R1105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D1105" i="2"/>
  <c r="B1105" i="2"/>
  <c r="A1105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D1104" i="2"/>
  <c r="B1104" i="2"/>
  <c r="A1104" i="2"/>
  <c r="T1103" i="2"/>
  <c r="S1103" i="2"/>
  <c r="R1103" i="2"/>
  <c r="Q1103" i="2"/>
  <c r="P1103" i="2"/>
  <c r="O1103" i="2"/>
  <c r="N1103" i="2"/>
  <c r="M1103" i="2"/>
  <c r="L1103" i="2"/>
  <c r="K1103" i="2"/>
  <c r="J1103" i="2"/>
  <c r="I1103" i="2"/>
  <c r="H1103" i="2"/>
  <c r="G1103" i="2"/>
  <c r="F1103" i="2"/>
  <c r="D1103" i="2"/>
  <c r="B1103" i="2"/>
  <c r="A1103" i="2"/>
  <c r="T1102" i="2"/>
  <c r="S1102" i="2"/>
  <c r="R1102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D1102" i="2"/>
  <c r="B1102" i="2"/>
  <c r="A1102" i="2"/>
  <c r="T1101" i="2"/>
  <c r="S1101" i="2"/>
  <c r="R1101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D1101" i="2"/>
  <c r="B1101" i="2"/>
  <c r="A1101" i="2"/>
  <c r="T1100" i="2"/>
  <c r="S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D1100" i="2"/>
  <c r="B1100" i="2"/>
  <c r="A1100" i="2"/>
  <c r="T1099" i="2"/>
  <c r="S1099" i="2"/>
  <c r="R1099" i="2"/>
  <c r="Q1099" i="2"/>
  <c r="P1099" i="2"/>
  <c r="O1099" i="2"/>
  <c r="N1099" i="2"/>
  <c r="M1099" i="2"/>
  <c r="L1099" i="2"/>
  <c r="K1099" i="2"/>
  <c r="J1099" i="2"/>
  <c r="I1099" i="2"/>
  <c r="H1099" i="2"/>
  <c r="G1099" i="2"/>
  <c r="F1099" i="2"/>
  <c r="D1099" i="2"/>
  <c r="B1099" i="2"/>
  <c r="A1099" i="2"/>
  <c r="T1098" i="2"/>
  <c r="S1098" i="2"/>
  <c r="R1098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D1098" i="2"/>
  <c r="B1098" i="2"/>
  <c r="A1098" i="2"/>
  <c r="T1097" i="2"/>
  <c r="S1097" i="2"/>
  <c r="R1097" i="2"/>
  <c r="Q1097" i="2"/>
  <c r="P1097" i="2"/>
  <c r="O1097" i="2"/>
  <c r="N1097" i="2"/>
  <c r="M1097" i="2"/>
  <c r="L1097" i="2"/>
  <c r="K1097" i="2"/>
  <c r="J1097" i="2"/>
  <c r="I1097" i="2"/>
  <c r="H1097" i="2"/>
  <c r="G1097" i="2"/>
  <c r="F1097" i="2"/>
  <c r="D1097" i="2"/>
  <c r="B1097" i="2"/>
  <c r="A1097" i="2"/>
  <c r="T1096" i="2"/>
  <c r="S1096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D1096" i="2"/>
  <c r="B1096" i="2"/>
  <c r="A1096" i="2"/>
  <c r="T1095" i="2"/>
  <c r="S1095" i="2"/>
  <c r="R1095" i="2"/>
  <c r="Q1095" i="2"/>
  <c r="P1095" i="2"/>
  <c r="O1095" i="2"/>
  <c r="N1095" i="2"/>
  <c r="M1095" i="2"/>
  <c r="L1095" i="2"/>
  <c r="K1095" i="2"/>
  <c r="J1095" i="2"/>
  <c r="I1095" i="2"/>
  <c r="H1095" i="2"/>
  <c r="G1095" i="2"/>
  <c r="F1095" i="2"/>
  <c r="D1095" i="2"/>
  <c r="B1095" i="2"/>
  <c r="A1095" i="2"/>
  <c r="T1094" i="2"/>
  <c r="S1094" i="2"/>
  <c r="R1094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D1094" i="2"/>
  <c r="B1094" i="2"/>
  <c r="A1094" i="2"/>
  <c r="T1093" i="2"/>
  <c r="S1093" i="2"/>
  <c r="R1093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D1093" i="2"/>
  <c r="B1093" i="2"/>
  <c r="A1093" i="2"/>
  <c r="T1092" i="2"/>
  <c r="S1092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D1092" i="2"/>
  <c r="B1092" i="2"/>
  <c r="A1092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H1091" i="2"/>
  <c r="G1091" i="2"/>
  <c r="F1091" i="2"/>
  <c r="D1091" i="2"/>
  <c r="B1091" i="2"/>
  <c r="A1091" i="2"/>
  <c r="T1090" i="2"/>
  <c r="S1090" i="2"/>
  <c r="R1090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D1090" i="2"/>
  <c r="B1090" i="2"/>
  <c r="A1090" i="2"/>
  <c r="T1089" i="2"/>
  <c r="S1089" i="2"/>
  <c r="R1089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D1089" i="2"/>
  <c r="B1089" i="2"/>
  <c r="A1089" i="2"/>
  <c r="T1088" i="2"/>
  <c r="S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D1088" i="2"/>
  <c r="B1088" i="2"/>
  <c r="A1088" i="2"/>
  <c r="T1087" i="2"/>
  <c r="S1087" i="2"/>
  <c r="R1087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D1087" i="2"/>
  <c r="B1087" i="2"/>
  <c r="A1087" i="2"/>
  <c r="T1086" i="2"/>
  <c r="S1086" i="2"/>
  <c r="R1086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D1086" i="2"/>
  <c r="B1086" i="2"/>
  <c r="A1086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H1085" i="2"/>
  <c r="G1085" i="2"/>
  <c r="F1085" i="2"/>
  <c r="D1085" i="2"/>
  <c r="B1085" i="2"/>
  <c r="A1085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D1084" i="2"/>
  <c r="B1084" i="2"/>
  <c r="A1084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H1083" i="2"/>
  <c r="G1083" i="2"/>
  <c r="F1083" i="2"/>
  <c r="D1083" i="2"/>
  <c r="B1083" i="2"/>
  <c r="A1083" i="2"/>
  <c r="T1082" i="2"/>
  <c r="S1082" i="2"/>
  <c r="R1082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D1082" i="2"/>
  <c r="B1082" i="2"/>
  <c r="A1082" i="2"/>
  <c r="T1081" i="2"/>
  <c r="S1081" i="2"/>
  <c r="R1081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D1081" i="2"/>
  <c r="B1081" i="2"/>
  <c r="A1081" i="2"/>
  <c r="T1080" i="2"/>
  <c r="S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D1080" i="2"/>
  <c r="B1080" i="2"/>
  <c r="A1080" i="2"/>
  <c r="T1079" i="2"/>
  <c r="S1079" i="2"/>
  <c r="R1079" i="2"/>
  <c r="Q1079" i="2"/>
  <c r="P1079" i="2"/>
  <c r="O1079" i="2"/>
  <c r="N1079" i="2"/>
  <c r="M1079" i="2"/>
  <c r="L1079" i="2"/>
  <c r="K1079" i="2"/>
  <c r="J1079" i="2"/>
  <c r="I1079" i="2"/>
  <c r="H1079" i="2"/>
  <c r="G1079" i="2"/>
  <c r="F1079" i="2"/>
  <c r="D1079" i="2"/>
  <c r="B1079" i="2"/>
  <c r="A1079" i="2"/>
  <c r="T1078" i="2"/>
  <c r="S1078" i="2"/>
  <c r="R1078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D1078" i="2"/>
  <c r="B1078" i="2"/>
  <c r="A1078" i="2"/>
  <c r="T1077" i="2"/>
  <c r="S1077" i="2"/>
  <c r="R1077" i="2"/>
  <c r="Q1077" i="2"/>
  <c r="P1077" i="2"/>
  <c r="O1077" i="2"/>
  <c r="N1077" i="2"/>
  <c r="M1077" i="2"/>
  <c r="L1077" i="2"/>
  <c r="K1077" i="2"/>
  <c r="J1077" i="2"/>
  <c r="I1077" i="2"/>
  <c r="H1077" i="2"/>
  <c r="G1077" i="2"/>
  <c r="F1077" i="2"/>
  <c r="D1077" i="2"/>
  <c r="B1077" i="2"/>
  <c r="A1077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D1076" i="2"/>
  <c r="B1076" i="2"/>
  <c r="A1076" i="2"/>
  <c r="T1075" i="2"/>
  <c r="S1075" i="2"/>
  <c r="R1075" i="2"/>
  <c r="Q1075" i="2"/>
  <c r="P1075" i="2"/>
  <c r="O1075" i="2"/>
  <c r="N1075" i="2"/>
  <c r="M1075" i="2"/>
  <c r="L1075" i="2"/>
  <c r="K1075" i="2"/>
  <c r="J1075" i="2"/>
  <c r="I1075" i="2"/>
  <c r="H1075" i="2"/>
  <c r="G1075" i="2"/>
  <c r="F1075" i="2"/>
  <c r="D1075" i="2"/>
  <c r="B1075" i="2"/>
  <c r="A1075" i="2"/>
  <c r="T1074" i="2"/>
  <c r="S1074" i="2"/>
  <c r="R1074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D1074" i="2"/>
  <c r="B1074" i="2"/>
  <c r="A1074" i="2"/>
  <c r="T1073" i="2"/>
  <c r="S1073" i="2"/>
  <c r="R1073" i="2"/>
  <c r="Q1073" i="2"/>
  <c r="P1073" i="2"/>
  <c r="O1073" i="2"/>
  <c r="N1073" i="2"/>
  <c r="M1073" i="2"/>
  <c r="L1073" i="2"/>
  <c r="K1073" i="2"/>
  <c r="J1073" i="2"/>
  <c r="I1073" i="2"/>
  <c r="H1073" i="2"/>
  <c r="G1073" i="2"/>
  <c r="F1073" i="2"/>
  <c r="D1073" i="2"/>
  <c r="B1073" i="2"/>
  <c r="A1073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D1072" i="2"/>
  <c r="B1072" i="2"/>
  <c r="A1072" i="2"/>
  <c r="T1071" i="2"/>
  <c r="S1071" i="2"/>
  <c r="R1071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D1071" i="2"/>
  <c r="B1071" i="2"/>
  <c r="A1071" i="2"/>
  <c r="T1070" i="2"/>
  <c r="S1070" i="2"/>
  <c r="R1070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D1070" i="2"/>
  <c r="B1070" i="2"/>
  <c r="A1070" i="2"/>
  <c r="T1069" i="2"/>
  <c r="S1069" i="2"/>
  <c r="R1069" i="2"/>
  <c r="Q1069" i="2"/>
  <c r="P1069" i="2"/>
  <c r="O1069" i="2"/>
  <c r="N1069" i="2"/>
  <c r="M1069" i="2"/>
  <c r="L1069" i="2"/>
  <c r="K1069" i="2"/>
  <c r="J1069" i="2"/>
  <c r="I1069" i="2"/>
  <c r="H1069" i="2"/>
  <c r="G1069" i="2"/>
  <c r="F1069" i="2"/>
  <c r="D1069" i="2"/>
  <c r="B1069" i="2"/>
  <c r="A1069" i="2"/>
  <c r="T1068" i="2"/>
  <c r="S1068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D1068" i="2"/>
  <c r="B1068" i="2"/>
  <c r="A1068" i="2"/>
  <c r="T1067" i="2"/>
  <c r="S1067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D1067" i="2"/>
  <c r="B1067" i="2"/>
  <c r="A1067" i="2"/>
  <c r="T1066" i="2"/>
  <c r="S1066" i="2"/>
  <c r="R1066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D1066" i="2"/>
  <c r="B1066" i="2"/>
  <c r="A1066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D1065" i="2"/>
  <c r="B1065" i="2"/>
  <c r="A1065" i="2"/>
  <c r="T1064" i="2"/>
  <c r="S1064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D1064" i="2"/>
  <c r="B1064" i="2"/>
  <c r="A1064" i="2"/>
  <c r="T1063" i="2"/>
  <c r="S1063" i="2"/>
  <c r="R1063" i="2"/>
  <c r="Q1063" i="2"/>
  <c r="P1063" i="2"/>
  <c r="O1063" i="2"/>
  <c r="N1063" i="2"/>
  <c r="M1063" i="2"/>
  <c r="L1063" i="2"/>
  <c r="K1063" i="2"/>
  <c r="J1063" i="2"/>
  <c r="I1063" i="2"/>
  <c r="H1063" i="2"/>
  <c r="G1063" i="2"/>
  <c r="F1063" i="2"/>
  <c r="D1063" i="2"/>
  <c r="B1063" i="2"/>
  <c r="A1063" i="2"/>
  <c r="T1062" i="2"/>
  <c r="S1062" i="2"/>
  <c r="R1062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D1062" i="2"/>
  <c r="B1062" i="2"/>
  <c r="A1062" i="2"/>
  <c r="T1061" i="2"/>
  <c r="S1061" i="2"/>
  <c r="R1061" i="2"/>
  <c r="Q1061" i="2"/>
  <c r="P1061" i="2"/>
  <c r="O1061" i="2"/>
  <c r="N1061" i="2"/>
  <c r="M1061" i="2"/>
  <c r="L1061" i="2"/>
  <c r="K1061" i="2"/>
  <c r="J1061" i="2"/>
  <c r="I1061" i="2"/>
  <c r="H1061" i="2"/>
  <c r="G1061" i="2"/>
  <c r="F1061" i="2"/>
  <c r="D1061" i="2"/>
  <c r="B1061" i="2"/>
  <c r="A1061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D1060" i="2"/>
  <c r="B1060" i="2"/>
  <c r="A1060" i="2"/>
  <c r="T1059" i="2"/>
  <c r="S1059" i="2"/>
  <c r="R1059" i="2"/>
  <c r="Q1059" i="2"/>
  <c r="P1059" i="2"/>
  <c r="O1059" i="2"/>
  <c r="N1059" i="2"/>
  <c r="M1059" i="2"/>
  <c r="L1059" i="2"/>
  <c r="K1059" i="2"/>
  <c r="J1059" i="2"/>
  <c r="I1059" i="2"/>
  <c r="H1059" i="2"/>
  <c r="G1059" i="2"/>
  <c r="F1059" i="2"/>
  <c r="D1059" i="2"/>
  <c r="B1059" i="2"/>
  <c r="A1059" i="2"/>
  <c r="T1058" i="2"/>
  <c r="S1058" i="2"/>
  <c r="R1058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D1058" i="2"/>
  <c r="B1058" i="2"/>
  <c r="A1058" i="2"/>
  <c r="T1057" i="2"/>
  <c r="S1057" i="2"/>
  <c r="R1057" i="2"/>
  <c r="Q1057" i="2"/>
  <c r="P1057" i="2"/>
  <c r="O1057" i="2"/>
  <c r="N1057" i="2"/>
  <c r="M1057" i="2"/>
  <c r="L1057" i="2"/>
  <c r="K1057" i="2"/>
  <c r="J1057" i="2"/>
  <c r="I1057" i="2"/>
  <c r="H1057" i="2"/>
  <c r="G1057" i="2"/>
  <c r="F1057" i="2"/>
  <c r="D1057" i="2"/>
  <c r="B1057" i="2"/>
  <c r="A1057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D1056" i="2"/>
  <c r="B1056" i="2"/>
  <c r="A1056" i="2"/>
  <c r="T1055" i="2"/>
  <c r="S1055" i="2"/>
  <c r="R1055" i="2"/>
  <c r="Q1055" i="2"/>
  <c r="P1055" i="2"/>
  <c r="O1055" i="2"/>
  <c r="N1055" i="2"/>
  <c r="M1055" i="2"/>
  <c r="L1055" i="2"/>
  <c r="K1055" i="2"/>
  <c r="J1055" i="2"/>
  <c r="I1055" i="2"/>
  <c r="H1055" i="2"/>
  <c r="G1055" i="2"/>
  <c r="F1055" i="2"/>
  <c r="D1055" i="2"/>
  <c r="B1055" i="2"/>
  <c r="A1055" i="2"/>
  <c r="T1054" i="2"/>
  <c r="S1054" i="2"/>
  <c r="R1054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D1054" i="2"/>
  <c r="B1054" i="2"/>
  <c r="A1054" i="2"/>
  <c r="T1053" i="2"/>
  <c r="S1053" i="2"/>
  <c r="R1053" i="2"/>
  <c r="Q1053" i="2"/>
  <c r="P1053" i="2"/>
  <c r="O1053" i="2"/>
  <c r="N1053" i="2"/>
  <c r="M1053" i="2"/>
  <c r="L1053" i="2"/>
  <c r="K1053" i="2"/>
  <c r="J1053" i="2"/>
  <c r="I1053" i="2"/>
  <c r="H1053" i="2"/>
  <c r="G1053" i="2"/>
  <c r="F1053" i="2"/>
  <c r="D1053" i="2"/>
  <c r="B1053" i="2"/>
  <c r="A1053" i="2"/>
  <c r="T1052" i="2"/>
  <c r="S1052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D1052" i="2"/>
  <c r="B1052" i="2"/>
  <c r="A1052" i="2"/>
  <c r="T1051" i="2"/>
  <c r="S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D1051" i="2"/>
  <c r="B1051" i="2"/>
  <c r="A1051" i="2"/>
  <c r="T1050" i="2"/>
  <c r="S1050" i="2"/>
  <c r="R1050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D1050" i="2"/>
  <c r="B1050" i="2"/>
  <c r="A1050" i="2"/>
  <c r="T1049" i="2"/>
  <c r="S1049" i="2"/>
  <c r="R1049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D1049" i="2"/>
  <c r="B1049" i="2"/>
  <c r="A1049" i="2"/>
  <c r="T1048" i="2"/>
  <c r="S1048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D1048" i="2"/>
  <c r="B1048" i="2"/>
  <c r="A1048" i="2"/>
  <c r="T1047" i="2"/>
  <c r="S1047" i="2"/>
  <c r="R1047" i="2"/>
  <c r="Q1047" i="2"/>
  <c r="P1047" i="2"/>
  <c r="O1047" i="2"/>
  <c r="N1047" i="2"/>
  <c r="M1047" i="2"/>
  <c r="L1047" i="2"/>
  <c r="K1047" i="2"/>
  <c r="J1047" i="2"/>
  <c r="I1047" i="2"/>
  <c r="H1047" i="2"/>
  <c r="G1047" i="2"/>
  <c r="F1047" i="2"/>
  <c r="D1047" i="2"/>
  <c r="B1047" i="2"/>
  <c r="A1047" i="2"/>
  <c r="T1046" i="2"/>
  <c r="S1046" i="2"/>
  <c r="R1046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D1046" i="2"/>
  <c r="B1046" i="2"/>
  <c r="A1046" i="2"/>
  <c r="T1045" i="2"/>
  <c r="S1045" i="2"/>
  <c r="R1045" i="2"/>
  <c r="Q1045" i="2"/>
  <c r="P1045" i="2"/>
  <c r="O1045" i="2"/>
  <c r="N1045" i="2"/>
  <c r="M1045" i="2"/>
  <c r="L1045" i="2"/>
  <c r="K1045" i="2"/>
  <c r="J1045" i="2"/>
  <c r="I1045" i="2"/>
  <c r="H1045" i="2"/>
  <c r="G1045" i="2"/>
  <c r="F1045" i="2"/>
  <c r="D1045" i="2"/>
  <c r="B1045" i="2"/>
  <c r="A1045" i="2"/>
  <c r="T1044" i="2"/>
  <c r="S1044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D1044" i="2"/>
  <c r="B1044" i="2"/>
  <c r="A1044" i="2"/>
  <c r="T1043" i="2"/>
  <c r="S1043" i="2"/>
  <c r="R1043" i="2"/>
  <c r="Q1043" i="2"/>
  <c r="P1043" i="2"/>
  <c r="O1043" i="2"/>
  <c r="N1043" i="2"/>
  <c r="M1043" i="2"/>
  <c r="L1043" i="2"/>
  <c r="K1043" i="2"/>
  <c r="J1043" i="2"/>
  <c r="I1043" i="2"/>
  <c r="H1043" i="2"/>
  <c r="G1043" i="2"/>
  <c r="F1043" i="2"/>
  <c r="D1043" i="2"/>
  <c r="B1043" i="2"/>
  <c r="A1043" i="2"/>
  <c r="T1042" i="2"/>
  <c r="S1042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D1042" i="2"/>
  <c r="B1042" i="2"/>
  <c r="A1042" i="2"/>
  <c r="T1041" i="2"/>
  <c r="S1041" i="2"/>
  <c r="R1041" i="2"/>
  <c r="Q1041" i="2"/>
  <c r="P1041" i="2"/>
  <c r="O1041" i="2"/>
  <c r="N1041" i="2"/>
  <c r="M1041" i="2"/>
  <c r="L1041" i="2"/>
  <c r="K1041" i="2"/>
  <c r="J1041" i="2"/>
  <c r="I1041" i="2"/>
  <c r="H1041" i="2"/>
  <c r="G1041" i="2"/>
  <c r="F1041" i="2"/>
  <c r="D1041" i="2"/>
  <c r="B1041" i="2"/>
  <c r="A1041" i="2"/>
  <c r="T1040" i="2"/>
  <c r="S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D1040" i="2"/>
  <c r="B1040" i="2"/>
  <c r="A1040" i="2"/>
  <c r="T1039" i="2"/>
  <c r="S1039" i="2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D1039" i="2"/>
  <c r="B1039" i="2"/>
  <c r="A1039" i="2"/>
  <c r="T1038" i="2"/>
  <c r="S1038" i="2"/>
  <c r="R1038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D1038" i="2"/>
  <c r="B1038" i="2"/>
  <c r="A1038" i="2"/>
  <c r="T1037" i="2"/>
  <c r="S1037" i="2"/>
  <c r="R1037" i="2"/>
  <c r="Q1037" i="2"/>
  <c r="P1037" i="2"/>
  <c r="O1037" i="2"/>
  <c r="N1037" i="2"/>
  <c r="M1037" i="2"/>
  <c r="L1037" i="2"/>
  <c r="K1037" i="2"/>
  <c r="J1037" i="2"/>
  <c r="I1037" i="2"/>
  <c r="H1037" i="2"/>
  <c r="G1037" i="2"/>
  <c r="F1037" i="2"/>
  <c r="D1037" i="2"/>
  <c r="B1037" i="2"/>
  <c r="A1037" i="2"/>
  <c r="T1036" i="2"/>
  <c r="S1036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D1036" i="2"/>
  <c r="B1036" i="2"/>
  <c r="A1036" i="2"/>
  <c r="T1035" i="2"/>
  <c r="S1035" i="2"/>
  <c r="R1035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D1035" i="2"/>
  <c r="B1035" i="2"/>
  <c r="A1035" i="2"/>
  <c r="T1034" i="2"/>
  <c r="S1034" i="2"/>
  <c r="R1034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D1034" i="2"/>
  <c r="B1034" i="2"/>
  <c r="A1034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H1033" i="2"/>
  <c r="G1033" i="2"/>
  <c r="F1033" i="2"/>
  <c r="D1033" i="2"/>
  <c r="B1033" i="2"/>
  <c r="A1033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D1032" i="2"/>
  <c r="B1032" i="2"/>
  <c r="A1032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H1031" i="2"/>
  <c r="G1031" i="2"/>
  <c r="F1031" i="2"/>
  <c r="D1031" i="2"/>
  <c r="B1031" i="2"/>
  <c r="A1031" i="2"/>
  <c r="T1030" i="2"/>
  <c r="S1030" i="2"/>
  <c r="R1030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D1030" i="2"/>
  <c r="B1030" i="2"/>
  <c r="A1030" i="2"/>
  <c r="T1029" i="2"/>
  <c r="S1029" i="2"/>
  <c r="R1029" i="2"/>
  <c r="Q1029" i="2"/>
  <c r="P1029" i="2"/>
  <c r="O1029" i="2"/>
  <c r="N1029" i="2"/>
  <c r="M1029" i="2"/>
  <c r="L1029" i="2"/>
  <c r="K1029" i="2"/>
  <c r="J1029" i="2"/>
  <c r="I1029" i="2"/>
  <c r="H1029" i="2"/>
  <c r="G1029" i="2"/>
  <c r="F1029" i="2"/>
  <c r="D1029" i="2"/>
  <c r="B1029" i="2"/>
  <c r="A1029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D1028" i="2"/>
  <c r="B1028" i="2"/>
  <c r="A1028" i="2"/>
  <c r="T1027" i="2"/>
  <c r="S1027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D1027" i="2"/>
  <c r="B1027" i="2"/>
  <c r="A1027" i="2"/>
  <c r="T1026" i="2"/>
  <c r="S1026" i="2"/>
  <c r="R1026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D1026" i="2"/>
  <c r="B1026" i="2"/>
  <c r="A1026" i="2"/>
  <c r="T1025" i="2"/>
  <c r="S1025" i="2"/>
  <c r="R1025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D1025" i="2"/>
  <c r="B1025" i="2"/>
  <c r="A1025" i="2"/>
  <c r="T1024" i="2"/>
  <c r="S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D1024" i="2"/>
  <c r="B1024" i="2"/>
  <c r="A1024" i="2"/>
  <c r="T1023" i="2"/>
  <c r="S1023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D1023" i="2"/>
  <c r="B1023" i="2"/>
  <c r="A1023" i="2"/>
  <c r="T1022" i="2"/>
  <c r="S1022" i="2"/>
  <c r="R1022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D1022" i="2"/>
  <c r="B1022" i="2"/>
  <c r="A1022" i="2"/>
  <c r="T1021" i="2"/>
  <c r="S1021" i="2"/>
  <c r="R1021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D1021" i="2"/>
  <c r="B1021" i="2"/>
  <c r="A1021" i="2"/>
  <c r="T1020" i="2"/>
  <c r="S1020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D1020" i="2"/>
  <c r="B1020" i="2"/>
  <c r="A1020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D1019" i="2"/>
  <c r="B1019" i="2"/>
  <c r="A1019" i="2"/>
  <c r="T1018" i="2"/>
  <c r="S1018" i="2"/>
  <c r="R1018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D1018" i="2"/>
  <c r="B1018" i="2"/>
  <c r="A1018" i="2"/>
  <c r="T1017" i="2"/>
  <c r="S1017" i="2"/>
  <c r="R1017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D1017" i="2"/>
  <c r="B1017" i="2"/>
  <c r="A1017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D1016" i="2"/>
  <c r="B1016" i="2"/>
  <c r="A1016" i="2"/>
  <c r="T1015" i="2"/>
  <c r="S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D1015" i="2"/>
  <c r="B1015" i="2"/>
  <c r="A1015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D1014" i="2"/>
  <c r="B1014" i="2"/>
  <c r="A1014" i="2"/>
  <c r="T1013" i="2"/>
  <c r="S1013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D1013" i="2"/>
  <c r="B1013" i="2"/>
  <c r="A1013" i="2"/>
  <c r="T1012" i="2"/>
  <c r="S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D1012" i="2"/>
  <c r="B1012" i="2"/>
  <c r="A1012" i="2"/>
  <c r="T1011" i="2"/>
  <c r="S1011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D1011" i="2"/>
  <c r="B1011" i="2"/>
  <c r="A1011" i="2"/>
  <c r="T1010" i="2"/>
  <c r="S1010" i="2"/>
  <c r="R1010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D1010" i="2"/>
  <c r="B1010" i="2"/>
  <c r="A1010" i="2"/>
  <c r="T1009" i="2"/>
  <c r="S1009" i="2"/>
  <c r="R1009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D1009" i="2"/>
  <c r="B1009" i="2"/>
  <c r="A1009" i="2"/>
  <c r="T1008" i="2"/>
  <c r="S1008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D1008" i="2"/>
  <c r="B1008" i="2"/>
  <c r="A1008" i="2"/>
  <c r="T1007" i="2"/>
  <c r="S1007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D1007" i="2"/>
  <c r="B1007" i="2"/>
  <c r="A1007" i="2"/>
  <c r="T1006" i="2"/>
  <c r="S1006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D1006" i="2"/>
  <c r="B1006" i="2"/>
  <c r="A1006" i="2"/>
  <c r="T1005" i="2"/>
  <c r="S1005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D1005" i="2"/>
  <c r="B1005" i="2"/>
  <c r="A1005" i="2"/>
  <c r="T1004" i="2"/>
  <c r="S1004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D1004" i="2"/>
  <c r="B1004" i="2"/>
  <c r="A1004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D1003" i="2"/>
  <c r="B1003" i="2"/>
  <c r="A1003" i="2"/>
  <c r="T1002" i="2"/>
  <c r="S1002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D1002" i="2"/>
  <c r="B1002" i="2"/>
  <c r="A1002" i="2"/>
  <c r="T1001" i="2"/>
  <c r="S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D1001" i="2"/>
  <c r="B1001" i="2"/>
  <c r="A1001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D1000" i="2"/>
  <c r="B1000" i="2"/>
  <c r="A1000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D999" i="2"/>
  <c r="B999" i="2"/>
  <c r="A999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D998" i="2"/>
  <c r="B998" i="2"/>
  <c r="A998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D997" i="2"/>
  <c r="B997" i="2"/>
  <c r="A997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D996" i="2"/>
  <c r="B996" i="2"/>
  <c r="A996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D995" i="2"/>
  <c r="B995" i="2"/>
  <c r="A995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D994" i="2"/>
  <c r="B994" i="2"/>
  <c r="A994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D993" i="2"/>
  <c r="B993" i="2"/>
  <c r="A993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D992" i="2"/>
  <c r="B992" i="2"/>
  <c r="A992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D991" i="2"/>
  <c r="B991" i="2"/>
  <c r="A991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D990" i="2"/>
  <c r="B990" i="2"/>
  <c r="A990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D989" i="2"/>
  <c r="B989" i="2"/>
  <c r="A989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D988" i="2"/>
  <c r="B988" i="2"/>
  <c r="A988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D987" i="2"/>
  <c r="B987" i="2"/>
  <c r="A987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D986" i="2"/>
  <c r="B986" i="2"/>
  <c r="A986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D985" i="2"/>
  <c r="B985" i="2"/>
  <c r="A985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D984" i="2"/>
  <c r="B984" i="2"/>
  <c r="A984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D983" i="2"/>
  <c r="B983" i="2"/>
  <c r="A983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D982" i="2"/>
  <c r="B982" i="2"/>
  <c r="A982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D981" i="2"/>
  <c r="B981" i="2"/>
  <c r="A981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D980" i="2"/>
  <c r="B980" i="2"/>
  <c r="A980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D979" i="2"/>
  <c r="B979" i="2"/>
  <c r="A979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D978" i="2"/>
  <c r="B978" i="2"/>
  <c r="A978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D977" i="2"/>
  <c r="B977" i="2"/>
  <c r="A977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D976" i="2"/>
  <c r="B976" i="2"/>
  <c r="A976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D975" i="2"/>
  <c r="B975" i="2"/>
  <c r="A975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D974" i="2"/>
  <c r="B974" i="2"/>
  <c r="A974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D973" i="2"/>
  <c r="B973" i="2"/>
  <c r="A973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D972" i="2"/>
  <c r="B972" i="2"/>
  <c r="A972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D971" i="2"/>
  <c r="B971" i="2"/>
  <c r="A971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D970" i="2"/>
  <c r="B970" i="2"/>
  <c r="A970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D969" i="2"/>
  <c r="B969" i="2"/>
  <c r="A969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D968" i="2"/>
  <c r="B968" i="2"/>
  <c r="A968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D967" i="2"/>
  <c r="B967" i="2"/>
  <c r="A967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D966" i="2"/>
  <c r="B966" i="2"/>
  <c r="A966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D965" i="2"/>
  <c r="B965" i="2"/>
  <c r="A965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D964" i="2"/>
  <c r="B964" i="2"/>
  <c r="A964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D963" i="2"/>
  <c r="B963" i="2"/>
  <c r="A963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D962" i="2"/>
  <c r="B962" i="2"/>
  <c r="A962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D961" i="2"/>
  <c r="B961" i="2"/>
  <c r="A961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D960" i="2"/>
  <c r="B960" i="2"/>
  <c r="A960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D959" i="2"/>
  <c r="B959" i="2"/>
  <c r="A959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D958" i="2"/>
  <c r="B958" i="2"/>
  <c r="A958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D957" i="2"/>
  <c r="B957" i="2"/>
  <c r="A957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D956" i="2"/>
  <c r="B956" i="2"/>
  <c r="A956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D955" i="2"/>
  <c r="B955" i="2"/>
  <c r="A955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D954" i="2"/>
  <c r="B954" i="2"/>
  <c r="A954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D953" i="2"/>
  <c r="B953" i="2"/>
  <c r="A953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D952" i="2"/>
  <c r="B952" i="2"/>
  <c r="A952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D951" i="2"/>
  <c r="B951" i="2"/>
  <c r="A951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D950" i="2"/>
  <c r="B950" i="2"/>
  <c r="A950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D949" i="2"/>
  <c r="B949" i="2"/>
  <c r="A949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D948" i="2"/>
  <c r="B948" i="2"/>
  <c r="A948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D947" i="2"/>
  <c r="B947" i="2"/>
  <c r="A947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D946" i="2"/>
  <c r="B946" i="2"/>
  <c r="A946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D945" i="2"/>
  <c r="B945" i="2"/>
  <c r="A945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D944" i="2"/>
  <c r="B944" i="2"/>
  <c r="A944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D943" i="2"/>
  <c r="B943" i="2"/>
  <c r="A943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D942" i="2"/>
  <c r="B942" i="2"/>
  <c r="A942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D941" i="2"/>
  <c r="B941" i="2"/>
  <c r="A941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D940" i="2"/>
  <c r="B940" i="2"/>
  <c r="A940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D939" i="2"/>
  <c r="B939" i="2"/>
  <c r="A939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D938" i="2"/>
  <c r="B938" i="2"/>
  <c r="A938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D937" i="2"/>
  <c r="B937" i="2"/>
  <c r="A937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D936" i="2"/>
  <c r="B936" i="2"/>
  <c r="A936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D935" i="2"/>
  <c r="B935" i="2"/>
  <c r="A935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D934" i="2"/>
  <c r="B934" i="2"/>
  <c r="A934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D933" i="2"/>
  <c r="B933" i="2"/>
  <c r="A933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D932" i="2"/>
  <c r="B932" i="2"/>
  <c r="A932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D931" i="2"/>
  <c r="B931" i="2"/>
  <c r="A931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D930" i="2"/>
  <c r="B930" i="2"/>
  <c r="A930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D929" i="2"/>
  <c r="B929" i="2"/>
  <c r="A929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D928" i="2"/>
  <c r="B928" i="2"/>
  <c r="A928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D927" i="2"/>
  <c r="B927" i="2"/>
  <c r="A927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D926" i="2"/>
  <c r="B926" i="2"/>
  <c r="A926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D925" i="2"/>
  <c r="B925" i="2"/>
  <c r="A925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D924" i="2"/>
  <c r="B924" i="2"/>
  <c r="A924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D923" i="2"/>
  <c r="B923" i="2"/>
  <c r="A923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D922" i="2"/>
  <c r="B922" i="2"/>
  <c r="A922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D921" i="2"/>
  <c r="B921" i="2"/>
  <c r="A921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D920" i="2"/>
  <c r="B920" i="2"/>
  <c r="A920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D919" i="2"/>
  <c r="B919" i="2"/>
  <c r="A919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D918" i="2"/>
  <c r="B918" i="2"/>
  <c r="A918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D917" i="2"/>
  <c r="B917" i="2"/>
  <c r="A917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D916" i="2"/>
  <c r="B916" i="2"/>
  <c r="A916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D915" i="2"/>
  <c r="B915" i="2"/>
  <c r="A915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D914" i="2"/>
  <c r="B914" i="2"/>
  <c r="A914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D913" i="2"/>
  <c r="B913" i="2"/>
  <c r="A913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D912" i="2"/>
  <c r="B912" i="2"/>
  <c r="A912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D911" i="2"/>
  <c r="B911" i="2"/>
  <c r="A911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D910" i="2"/>
  <c r="B910" i="2"/>
  <c r="A910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D909" i="2"/>
  <c r="B909" i="2"/>
  <c r="A909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D908" i="2"/>
  <c r="B908" i="2"/>
  <c r="A908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D907" i="2"/>
  <c r="B907" i="2"/>
  <c r="A907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D906" i="2"/>
  <c r="B906" i="2"/>
  <c r="A906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D905" i="2"/>
  <c r="B905" i="2"/>
  <c r="A905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D904" i="2"/>
  <c r="B904" i="2"/>
  <c r="A904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D903" i="2"/>
  <c r="B903" i="2"/>
  <c r="A903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D902" i="2"/>
  <c r="B902" i="2"/>
  <c r="A902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D901" i="2"/>
  <c r="B901" i="2"/>
  <c r="A901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D900" i="2"/>
  <c r="B900" i="2"/>
  <c r="A900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D899" i="2"/>
  <c r="B899" i="2"/>
  <c r="A899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D898" i="2"/>
  <c r="B898" i="2"/>
  <c r="A898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D897" i="2"/>
  <c r="B897" i="2"/>
  <c r="A897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D896" i="2"/>
  <c r="B896" i="2"/>
  <c r="A896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D895" i="2"/>
  <c r="B895" i="2"/>
  <c r="A895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D894" i="2"/>
  <c r="B894" i="2"/>
  <c r="A894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D893" i="2"/>
  <c r="B893" i="2"/>
  <c r="A893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D892" i="2"/>
  <c r="B892" i="2"/>
  <c r="A892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D891" i="2"/>
  <c r="B891" i="2"/>
  <c r="A891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D890" i="2"/>
  <c r="B890" i="2"/>
  <c r="A890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D889" i="2"/>
  <c r="B889" i="2"/>
  <c r="A889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D888" i="2"/>
  <c r="B888" i="2"/>
  <c r="A888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D887" i="2"/>
  <c r="B887" i="2"/>
  <c r="A887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D886" i="2"/>
  <c r="B886" i="2"/>
  <c r="A886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D885" i="2"/>
  <c r="B885" i="2"/>
  <c r="A885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D884" i="2"/>
  <c r="B884" i="2"/>
  <c r="A884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D883" i="2"/>
  <c r="B883" i="2"/>
  <c r="A883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D882" i="2"/>
  <c r="B882" i="2"/>
  <c r="A882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D881" i="2"/>
  <c r="B881" i="2"/>
  <c r="A881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D880" i="2"/>
  <c r="B880" i="2"/>
  <c r="A880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D879" i="2"/>
  <c r="B879" i="2"/>
  <c r="A879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D878" i="2"/>
  <c r="B878" i="2"/>
  <c r="A878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D877" i="2"/>
  <c r="B877" i="2"/>
  <c r="A877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D876" i="2"/>
  <c r="B876" i="2"/>
  <c r="A876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D875" i="2"/>
  <c r="B875" i="2"/>
  <c r="A875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D874" i="2"/>
  <c r="B874" i="2"/>
  <c r="A874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D873" i="2"/>
  <c r="B873" i="2"/>
  <c r="A873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D872" i="2"/>
  <c r="B872" i="2"/>
  <c r="A872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D871" i="2"/>
  <c r="B871" i="2"/>
  <c r="A871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D870" i="2"/>
  <c r="B870" i="2"/>
  <c r="A870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D869" i="2"/>
  <c r="B869" i="2"/>
  <c r="A869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D868" i="2"/>
  <c r="B868" i="2"/>
  <c r="A868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D867" i="2"/>
  <c r="B867" i="2"/>
  <c r="A867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D866" i="2"/>
  <c r="B866" i="2"/>
  <c r="A866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D865" i="2"/>
  <c r="B865" i="2"/>
  <c r="A865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D864" i="2"/>
  <c r="B864" i="2"/>
  <c r="A864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D863" i="2"/>
  <c r="B863" i="2"/>
  <c r="A863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D862" i="2"/>
  <c r="B862" i="2"/>
  <c r="A862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D861" i="2"/>
  <c r="B861" i="2"/>
  <c r="A861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D860" i="2"/>
  <c r="B860" i="2"/>
  <c r="A860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D859" i="2"/>
  <c r="B859" i="2"/>
  <c r="A859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D858" i="2"/>
  <c r="B858" i="2"/>
  <c r="A858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D857" i="2"/>
  <c r="B857" i="2"/>
  <c r="A857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D856" i="2"/>
  <c r="B856" i="2"/>
  <c r="A856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D855" i="2"/>
  <c r="B855" i="2"/>
  <c r="A855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D854" i="2"/>
  <c r="B854" i="2"/>
  <c r="A854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D853" i="2"/>
  <c r="B853" i="2"/>
  <c r="A853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D852" i="2"/>
  <c r="B852" i="2"/>
  <c r="A852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D851" i="2"/>
  <c r="B851" i="2"/>
  <c r="A851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D850" i="2"/>
  <c r="B850" i="2"/>
  <c r="A850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D849" i="2"/>
  <c r="B849" i="2"/>
  <c r="A849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D848" i="2"/>
  <c r="B848" i="2"/>
  <c r="A848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D847" i="2"/>
  <c r="B847" i="2"/>
  <c r="A847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D846" i="2"/>
  <c r="B846" i="2"/>
  <c r="A846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D845" i="2"/>
  <c r="B845" i="2"/>
  <c r="A845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D844" i="2"/>
  <c r="B844" i="2"/>
  <c r="A844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D843" i="2"/>
  <c r="B843" i="2"/>
  <c r="A843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D842" i="2"/>
  <c r="B842" i="2"/>
  <c r="A842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D841" i="2"/>
  <c r="B841" i="2"/>
  <c r="A841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D840" i="2"/>
  <c r="B840" i="2"/>
  <c r="A840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D839" i="2"/>
  <c r="B839" i="2"/>
  <c r="A839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D838" i="2"/>
  <c r="B838" i="2"/>
  <c r="A838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D837" i="2"/>
  <c r="B837" i="2"/>
  <c r="A837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D836" i="2"/>
  <c r="B836" i="2"/>
  <c r="A836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D835" i="2"/>
  <c r="B835" i="2"/>
  <c r="A835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D834" i="2"/>
  <c r="B834" i="2"/>
  <c r="A834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D833" i="2"/>
  <c r="B833" i="2"/>
  <c r="A833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D832" i="2"/>
  <c r="B832" i="2"/>
  <c r="A832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D831" i="2"/>
  <c r="B831" i="2"/>
  <c r="A831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D830" i="2"/>
  <c r="B830" i="2"/>
  <c r="A830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D829" i="2"/>
  <c r="B829" i="2"/>
  <c r="A829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D828" i="2"/>
  <c r="B828" i="2"/>
  <c r="A828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D827" i="2"/>
  <c r="B827" i="2"/>
  <c r="A827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D826" i="2"/>
  <c r="B826" i="2"/>
  <c r="A826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D825" i="2"/>
  <c r="B825" i="2"/>
  <c r="A825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D824" i="2"/>
  <c r="B824" i="2"/>
  <c r="A824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D823" i="2"/>
  <c r="B823" i="2"/>
  <c r="A823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D822" i="2"/>
  <c r="B822" i="2"/>
  <c r="A822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D821" i="2"/>
  <c r="B821" i="2"/>
  <c r="A821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D820" i="2"/>
  <c r="B820" i="2"/>
  <c r="A820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D819" i="2"/>
  <c r="B819" i="2"/>
  <c r="A819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D818" i="2"/>
  <c r="B818" i="2"/>
  <c r="A818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D817" i="2"/>
  <c r="B817" i="2"/>
  <c r="A817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D816" i="2"/>
  <c r="B816" i="2"/>
  <c r="A816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D815" i="2"/>
  <c r="B815" i="2"/>
  <c r="A815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D814" i="2"/>
  <c r="B814" i="2"/>
  <c r="A814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D813" i="2"/>
  <c r="B813" i="2"/>
  <c r="A813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D812" i="2"/>
  <c r="B812" i="2"/>
  <c r="A812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D811" i="2"/>
  <c r="B811" i="2"/>
  <c r="A811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D810" i="2"/>
  <c r="B810" i="2"/>
  <c r="A810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D809" i="2"/>
  <c r="B809" i="2"/>
  <c r="A809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D808" i="2"/>
  <c r="B808" i="2"/>
  <c r="A808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D807" i="2"/>
  <c r="B807" i="2"/>
  <c r="A807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D806" i="2"/>
  <c r="B806" i="2"/>
  <c r="A806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D805" i="2"/>
  <c r="B805" i="2"/>
  <c r="A805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D804" i="2"/>
  <c r="B804" i="2"/>
  <c r="A804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D803" i="2"/>
  <c r="B803" i="2"/>
  <c r="A803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D802" i="2"/>
  <c r="B802" i="2"/>
  <c r="A802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D801" i="2"/>
  <c r="B801" i="2"/>
  <c r="A801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D800" i="2"/>
  <c r="B800" i="2"/>
  <c r="A800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D799" i="2"/>
  <c r="B799" i="2"/>
  <c r="A799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D798" i="2"/>
  <c r="B798" i="2"/>
  <c r="A798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D797" i="2"/>
  <c r="B797" i="2"/>
  <c r="A797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D796" i="2"/>
  <c r="B796" i="2"/>
  <c r="A796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D795" i="2"/>
  <c r="B795" i="2"/>
  <c r="A795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D794" i="2"/>
  <c r="B794" i="2"/>
  <c r="A794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D793" i="2"/>
  <c r="B793" i="2"/>
  <c r="A793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D792" i="2"/>
  <c r="B792" i="2"/>
  <c r="A792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D791" i="2"/>
  <c r="B791" i="2"/>
  <c r="A791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D790" i="2"/>
  <c r="B790" i="2"/>
  <c r="A790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D789" i="2"/>
  <c r="B789" i="2"/>
  <c r="A789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D788" i="2"/>
  <c r="B788" i="2"/>
  <c r="A788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D787" i="2"/>
  <c r="B787" i="2"/>
  <c r="A787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D786" i="2"/>
  <c r="B786" i="2"/>
  <c r="A786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D785" i="2"/>
  <c r="B785" i="2"/>
  <c r="A785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D784" i="2"/>
  <c r="B784" i="2"/>
  <c r="A784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D783" i="2"/>
  <c r="B783" i="2"/>
  <c r="A783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D782" i="2"/>
  <c r="B782" i="2"/>
  <c r="A782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D781" i="2"/>
  <c r="B781" i="2"/>
  <c r="A781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D780" i="2"/>
  <c r="B780" i="2"/>
  <c r="A780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D779" i="2"/>
  <c r="B779" i="2"/>
  <c r="A779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D778" i="2"/>
  <c r="B778" i="2"/>
  <c r="A778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D777" i="2"/>
  <c r="B777" i="2"/>
  <c r="A777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D776" i="2"/>
  <c r="B776" i="2"/>
  <c r="A776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D775" i="2"/>
  <c r="B775" i="2"/>
  <c r="A775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D774" i="2"/>
  <c r="B774" i="2"/>
  <c r="A774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D773" i="2"/>
  <c r="B773" i="2"/>
  <c r="A773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D772" i="2"/>
  <c r="B772" i="2"/>
  <c r="A772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D771" i="2"/>
  <c r="B771" i="2"/>
  <c r="A771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D770" i="2"/>
  <c r="B770" i="2"/>
  <c r="A770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D769" i="2"/>
  <c r="B769" i="2"/>
  <c r="A769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D768" i="2"/>
  <c r="B768" i="2"/>
  <c r="A768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D767" i="2"/>
  <c r="B767" i="2"/>
  <c r="A767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D766" i="2"/>
  <c r="B766" i="2"/>
  <c r="A766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D765" i="2"/>
  <c r="B765" i="2"/>
  <c r="A765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D764" i="2"/>
  <c r="B764" i="2"/>
  <c r="A764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D763" i="2"/>
  <c r="B763" i="2"/>
  <c r="A763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D762" i="2"/>
  <c r="B762" i="2"/>
  <c r="A762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D761" i="2"/>
  <c r="B761" i="2"/>
  <c r="A761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D760" i="2"/>
  <c r="B760" i="2"/>
  <c r="A760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D759" i="2"/>
  <c r="B759" i="2"/>
  <c r="A759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D758" i="2"/>
  <c r="B758" i="2"/>
  <c r="A758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D757" i="2"/>
  <c r="B757" i="2"/>
  <c r="A757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D756" i="2"/>
  <c r="B756" i="2"/>
  <c r="A756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D755" i="2"/>
  <c r="B755" i="2"/>
  <c r="A755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D754" i="2"/>
  <c r="B754" i="2"/>
  <c r="A754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D753" i="2"/>
  <c r="B753" i="2"/>
  <c r="A753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D752" i="2"/>
  <c r="B752" i="2"/>
  <c r="A752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D751" i="2"/>
  <c r="B751" i="2"/>
  <c r="A751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D750" i="2"/>
  <c r="B750" i="2"/>
  <c r="A750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D749" i="2"/>
  <c r="B749" i="2"/>
  <c r="A749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D748" i="2"/>
  <c r="B748" i="2"/>
  <c r="A748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D747" i="2"/>
  <c r="B747" i="2"/>
  <c r="A747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D746" i="2"/>
  <c r="B746" i="2"/>
  <c r="A746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D745" i="2"/>
  <c r="B745" i="2"/>
  <c r="A745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D744" i="2"/>
  <c r="B744" i="2"/>
  <c r="A744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D743" i="2"/>
  <c r="B743" i="2"/>
  <c r="A743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D742" i="2"/>
  <c r="B742" i="2"/>
  <c r="A742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D741" i="2"/>
  <c r="B741" i="2"/>
  <c r="A741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D740" i="2"/>
  <c r="B740" i="2"/>
  <c r="A740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D739" i="2"/>
  <c r="B739" i="2"/>
  <c r="A739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D738" i="2"/>
  <c r="B738" i="2"/>
  <c r="A738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D737" i="2"/>
  <c r="B737" i="2"/>
  <c r="A737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D736" i="2"/>
  <c r="B736" i="2"/>
  <c r="A736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D735" i="2"/>
  <c r="B735" i="2"/>
  <c r="A735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D734" i="2"/>
  <c r="B734" i="2"/>
  <c r="A734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D733" i="2"/>
  <c r="B733" i="2"/>
  <c r="A733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D732" i="2"/>
  <c r="B732" i="2"/>
  <c r="A732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D731" i="2"/>
  <c r="B731" i="2"/>
  <c r="A731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D730" i="2"/>
  <c r="B730" i="2"/>
  <c r="A730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D729" i="2"/>
  <c r="B729" i="2"/>
  <c r="A729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D728" i="2"/>
  <c r="B728" i="2"/>
  <c r="A728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D727" i="2"/>
  <c r="B727" i="2"/>
  <c r="A727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D726" i="2"/>
  <c r="B726" i="2"/>
  <c r="A726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D725" i="2"/>
  <c r="B725" i="2"/>
  <c r="A725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D724" i="2"/>
  <c r="B724" i="2"/>
  <c r="A724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D723" i="2"/>
  <c r="B723" i="2"/>
  <c r="A723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D722" i="2"/>
  <c r="B722" i="2"/>
  <c r="A722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D721" i="2"/>
  <c r="B721" i="2"/>
  <c r="A721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D720" i="2"/>
  <c r="B720" i="2"/>
  <c r="A720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D719" i="2"/>
  <c r="B719" i="2"/>
  <c r="A719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D718" i="2"/>
  <c r="B718" i="2"/>
  <c r="A718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D717" i="2"/>
  <c r="B717" i="2"/>
  <c r="A717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D716" i="2"/>
  <c r="B716" i="2"/>
  <c r="A716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D715" i="2"/>
  <c r="B715" i="2"/>
  <c r="A715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D714" i="2"/>
  <c r="B714" i="2"/>
  <c r="A714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D713" i="2"/>
  <c r="B713" i="2"/>
  <c r="A713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D712" i="2"/>
  <c r="B712" i="2"/>
  <c r="A712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D711" i="2"/>
  <c r="B711" i="2"/>
  <c r="A711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D710" i="2"/>
  <c r="B710" i="2"/>
  <c r="A710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D709" i="2"/>
  <c r="B709" i="2"/>
  <c r="A709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D708" i="2"/>
  <c r="B708" i="2"/>
  <c r="A708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D707" i="2"/>
  <c r="B707" i="2"/>
  <c r="A707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D706" i="2"/>
  <c r="B706" i="2"/>
  <c r="A706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D705" i="2"/>
  <c r="B705" i="2"/>
  <c r="A705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D704" i="2"/>
  <c r="B704" i="2"/>
  <c r="A704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D703" i="2"/>
  <c r="B703" i="2"/>
  <c r="A703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D702" i="2"/>
  <c r="B702" i="2"/>
  <c r="A702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D701" i="2"/>
  <c r="B701" i="2"/>
  <c r="A701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D700" i="2"/>
  <c r="B700" i="2"/>
  <c r="A700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D699" i="2"/>
  <c r="B699" i="2"/>
  <c r="A699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D698" i="2"/>
  <c r="B698" i="2"/>
  <c r="A698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D697" i="2"/>
  <c r="B697" i="2"/>
  <c r="A697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D696" i="2"/>
  <c r="B696" i="2"/>
  <c r="A696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D695" i="2"/>
  <c r="B695" i="2"/>
  <c r="A695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D694" i="2"/>
  <c r="B694" i="2"/>
  <c r="A694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D693" i="2"/>
  <c r="B693" i="2"/>
  <c r="A693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D692" i="2"/>
  <c r="B692" i="2"/>
  <c r="A692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D691" i="2"/>
  <c r="B691" i="2"/>
  <c r="A691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D690" i="2"/>
  <c r="B690" i="2"/>
  <c r="A690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D689" i="2"/>
  <c r="B689" i="2"/>
  <c r="A689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D688" i="2"/>
  <c r="B688" i="2"/>
  <c r="A688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D687" i="2"/>
  <c r="B687" i="2"/>
  <c r="A687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D686" i="2"/>
  <c r="B686" i="2"/>
  <c r="A686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D685" i="2"/>
  <c r="B685" i="2"/>
  <c r="A685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D684" i="2"/>
  <c r="B684" i="2"/>
  <c r="A684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D683" i="2"/>
  <c r="B683" i="2"/>
  <c r="A683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D682" i="2"/>
  <c r="B682" i="2"/>
  <c r="A682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D681" i="2"/>
  <c r="B681" i="2"/>
  <c r="A681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D680" i="2"/>
  <c r="B680" i="2"/>
  <c r="A680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D679" i="2"/>
  <c r="B679" i="2"/>
  <c r="A679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D678" i="2"/>
  <c r="B678" i="2"/>
  <c r="A678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D677" i="2"/>
  <c r="B677" i="2"/>
  <c r="A677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D676" i="2"/>
  <c r="B676" i="2"/>
  <c r="A676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D675" i="2"/>
  <c r="B675" i="2"/>
  <c r="A675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D674" i="2"/>
  <c r="B674" i="2"/>
  <c r="A674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D673" i="2"/>
  <c r="B673" i="2"/>
  <c r="A673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D672" i="2"/>
  <c r="B672" i="2"/>
  <c r="A672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D671" i="2"/>
  <c r="B671" i="2"/>
  <c r="A671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D670" i="2"/>
  <c r="B670" i="2"/>
  <c r="A670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D669" i="2"/>
  <c r="B669" i="2"/>
  <c r="A669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D668" i="2"/>
  <c r="B668" i="2"/>
  <c r="A668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D667" i="2"/>
  <c r="B667" i="2"/>
  <c r="A667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D666" i="2"/>
  <c r="B666" i="2"/>
  <c r="A666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D665" i="2"/>
  <c r="B665" i="2"/>
  <c r="A665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D664" i="2"/>
  <c r="B664" i="2"/>
  <c r="A664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D663" i="2"/>
  <c r="B663" i="2"/>
  <c r="A663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D662" i="2"/>
  <c r="B662" i="2"/>
  <c r="A662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D661" i="2"/>
  <c r="B661" i="2"/>
  <c r="A661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D660" i="2"/>
  <c r="B660" i="2"/>
  <c r="A660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D659" i="2"/>
  <c r="B659" i="2"/>
  <c r="A659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D658" i="2"/>
  <c r="B658" i="2"/>
  <c r="A658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D657" i="2"/>
  <c r="B657" i="2"/>
  <c r="A657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D656" i="2"/>
  <c r="B656" i="2"/>
  <c r="A656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D655" i="2"/>
  <c r="B655" i="2"/>
  <c r="A655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D654" i="2"/>
  <c r="B654" i="2"/>
  <c r="A654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D653" i="2"/>
  <c r="B653" i="2"/>
  <c r="A653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D652" i="2"/>
  <c r="B652" i="2"/>
  <c r="A652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D651" i="2"/>
  <c r="B651" i="2"/>
  <c r="A651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D650" i="2"/>
  <c r="B650" i="2"/>
  <c r="A650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D649" i="2"/>
  <c r="B649" i="2"/>
  <c r="A649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D648" i="2"/>
  <c r="B648" i="2"/>
  <c r="A648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D647" i="2"/>
  <c r="B647" i="2"/>
  <c r="A647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D646" i="2"/>
  <c r="B646" i="2"/>
  <c r="A646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D645" i="2"/>
  <c r="B645" i="2"/>
  <c r="A645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D644" i="2"/>
  <c r="B644" i="2"/>
  <c r="A644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D643" i="2"/>
  <c r="B643" i="2"/>
  <c r="A643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D642" i="2"/>
  <c r="B642" i="2"/>
  <c r="A642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D641" i="2"/>
  <c r="B641" i="2"/>
  <c r="A641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D640" i="2"/>
  <c r="B640" i="2"/>
  <c r="A640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D639" i="2"/>
  <c r="B639" i="2"/>
  <c r="A639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D638" i="2"/>
  <c r="B638" i="2"/>
  <c r="A638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D637" i="2"/>
  <c r="B637" i="2"/>
  <c r="A637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D636" i="2"/>
  <c r="B636" i="2"/>
  <c r="A636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D635" i="2"/>
  <c r="B635" i="2"/>
  <c r="A635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D634" i="2"/>
  <c r="B634" i="2"/>
  <c r="A634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D633" i="2"/>
  <c r="B633" i="2"/>
  <c r="A633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D632" i="2"/>
  <c r="B632" i="2"/>
  <c r="A632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D631" i="2"/>
  <c r="B631" i="2"/>
  <c r="A631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D630" i="2"/>
  <c r="B630" i="2"/>
  <c r="A630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D629" i="2"/>
  <c r="B629" i="2"/>
  <c r="A629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D628" i="2"/>
  <c r="B628" i="2"/>
  <c r="A628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D627" i="2"/>
  <c r="B627" i="2"/>
  <c r="A627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D626" i="2"/>
  <c r="B626" i="2"/>
  <c r="A626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D625" i="2"/>
  <c r="B625" i="2"/>
  <c r="A625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D624" i="2"/>
  <c r="B624" i="2"/>
  <c r="A624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D623" i="2"/>
  <c r="B623" i="2"/>
  <c r="A623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D622" i="2"/>
  <c r="B622" i="2"/>
  <c r="A622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D621" i="2"/>
  <c r="B621" i="2"/>
  <c r="A621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D620" i="2"/>
  <c r="B620" i="2"/>
  <c r="A620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D619" i="2"/>
  <c r="B619" i="2"/>
  <c r="A619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D618" i="2"/>
  <c r="B618" i="2"/>
  <c r="A618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D617" i="2"/>
  <c r="B617" i="2"/>
  <c r="A617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D616" i="2"/>
  <c r="B616" i="2"/>
  <c r="A616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D615" i="2"/>
  <c r="B615" i="2"/>
  <c r="A615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D614" i="2"/>
  <c r="B614" i="2"/>
  <c r="A614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D613" i="2"/>
  <c r="B613" i="2"/>
  <c r="A613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D612" i="2"/>
  <c r="B612" i="2"/>
  <c r="A612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D611" i="2"/>
  <c r="B611" i="2"/>
  <c r="A611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D610" i="2"/>
  <c r="B610" i="2"/>
  <c r="A610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D609" i="2"/>
  <c r="B609" i="2"/>
  <c r="A609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D608" i="2"/>
  <c r="B608" i="2"/>
  <c r="A608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D607" i="2"/>
  <c r="B607" i="2"/>
  <c r="A607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D606" i="2"/>
  <c r="B606" i="2"/>
  <c r="A606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D605" i="2"/>
  <c r="B605" i="2"/>
  <c r="A605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D604" i="2"/>
  <c r="B604" i="2"/>
  <c r="A604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D603" i="2"/>
  <c r="B603" i="2"/>
  <c r="A603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D602" i="2"/>
  <c r="B602" i="2"/>
  <c r="A602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D601" i="2"/>
  <c r="B601" i="2"/>
  <c r="A601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D600" i="2"/>
  <c r="B600" i="2"/>
  <c r="A600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D599" i="2"/>
  <c r="B599" i="2"/>
  <c r="A599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D598" i="2"/>
  <c r="B598" i="2"/>
  <c r="A598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D597" i="2"/>
  <c r="B597" i="2"/>
  <c r="A597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D596" i="2"/>
  <c r="B596" i="2"/>
  <c r="A596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D595" i="2"/>
  <c r="B595" i="2"/>
  <c r="A595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D594" i="2"/>
  <c r="B594" i="2"/>
  <c r="A594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D593" i="2"/>
  <c r="B593" i="2"/>
  <c r="A593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D592" i="2"/>
  <c r="B592" i="2"/>
  <c r="A592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D591" i="2"/>
  <c r="B591" i="2"/>
  <c r="A591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D590" i="2"/>
  <c r="B590" i="2"/>
  <c r="A590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D589" i="2"/>
  <c r="B589" i="2"/>
  <c r="A589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D588" i="2"/>
  <c r="B588" i="2"/>
  <c r="A588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D587" i="2"/>
  <c r="B587" i="2"/>
  <c r="A587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D586" i="2"/>
  <c r="B586" i="2"/>
  <c r="A586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D585" i="2"/>
  <c r="B585" i="2"/>
  <c r="A585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D584" i="2"/>
  <c r="B584" i="2"/>
  <c r="A584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D583" i="2"/>
  <c r="B583" i="2"/>
  <c r="A583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D582" i="2"/>
  <c r="B582" i="2"/>
  <c r="A582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D581" i="2"/>
  <c r="B581" i="2"/>
  <c r="A581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D580" i="2"/>
  <c r="B580" i="2"/>
  <c r="A580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D579" i="2"/>
  <c r="B579" i="2"/>
  <c r="A579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D578" i="2"/>
  <c r="B578" i="2"/>
  <c r="A578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D577" i="2"/>
  <c r="B577" i="2"/>
  <c r="A577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D576" i="2"/>
  <c r="B576" i="2"/>
  <c r="A576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D575" i="2"/>
  <c r="B575" i="2"/>
  <c r="A575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D574" i="2"/>
  <c r="B574" i="2"/>
  <c r="A574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D573" i="2"/>
  <c r="B573" i="2"/>
  <c r="A573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D572" i="2"/>
  <c r="B572" i="2"/>
  <c r="A572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D571" i="2"/>
  <c r="B571" i="2"/>
  <c r="A571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D570" i="2"/>
  <c r="B570" i="2"/>
  <c r="A570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D569" i="2"/>
  <c r="B569" i="2"/>
  <c r="A569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D568" i="2"/>
  <c r="B568" i="2"/>
  <c r="A568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D567" i="2"/>
  <c r="B567" i="2"/>
  <c r="A567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D566" i="2"/>
  <c r="B566" i="2"/>
  <c r="A566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D565" i="2"/>
  <c r="B565" i="2"/>
  <c r="A565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D564" i="2"/>
  <c r="B564" i="2"/>
  <c r="A564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D563" i="2"/>
  <c r="B563" i="2"/>
  <c r="A563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D562" i="2"/>
  <c r="B562" i="2"/>
  <c r="A562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D561" i="2"/>
  <c r="B561" i="2"/>
  <c r="A561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D560" i="2"/>
  <c r="B560" i="2"/>
  <c r="A560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D559" i="2"/>
  <c r="B559" i="2"/>
  <c r="A559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D558" i="2"/>
  <c r="B558" i="2"/>
  <c r="A558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D557" i="2"/>
  <c r="B557" i="2"/>
  <c r="A557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D556" i="2"/>
  <c r="B556" i="2"/>
  <c r="A556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D555" i="2"/>
  <c r="B555" i="2"/>
  <c r="A555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D554" i="2"/>
  <c r="B554" i="2"/>
  <c r="A554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D553" i="2"/>
  <c r="B553" i="2"/>
  <c r="A553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D552" i="2"/>
  <c r="B552" i="2"/>
  <c r="A552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D551" i="2"/>
  <c r="B551" i="2"/>
  <c r="A551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D550" i="2"/>
  <c r="B550" i="2"/>
  <c r="A550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D549" i="2"/>
  <c r="B549" i="2"/>
  <c r="A549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D548" i="2"/>
  <c r="B548" i="2"/>
  <c r="A548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D547" i="2"/>
  <c r="B547" i="2"/>
  <c r="A547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D546" i="2"/>
  <c r="B546" i="2"/>
  <c r="A546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D545" i="2"/>
  <c r="B545" i="2"/>
  <c r="A545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D544" i="2"/>
  <c r="B544" i="2"/>
  <c r="A544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D543" i="2"/>
  <c r="B543" i="2"/>
  <c r="A543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D542" i="2"/>
  <c r="B542" i="2"/>
  <c r="A542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D541" i="2"/>
  <c r="B541" i="2"/>
  <c r="A541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D540" i="2"/>
  <c r="B540" i="2"/>
  <c r="A540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D539" i="2"/>
  <c r="B539" i="2"/>
  <c r="A539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D538" i="2"/>
  <c r="B538" i="2"/>
  <c r="A538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D537" i="2"/>
  <c r="B537" i="2"/>
  <c r="A537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D536" i="2"/>
  <c r="B536" i="2"/>
  <c r="A536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D535" i="2"/>
  <c r="B535" i="2"/>
  <c r="A535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D534" i="2"/>
  <c r="B534" i="2"/>
  <c r="A534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D533" i="2"/>
  <c r="B533" i="2"/>
  <c r="A533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D532" i="2"/>
  <c r="B532" i="2"/>
  <c r="A532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D531" i="2"/>
  <c r="B531" i="2"/>
  <c r="A531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D530" i="2"/>
  <c r="B530" i="2"/>
  <c r="A530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D529" i="2"/>
  <c r="B529" i="2"/>
  <c r="A529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D528" i="2"/>
  <c r="B528" i="2"/>
  <c r="A528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D527" i="2"/>
  <c r="B527" i="2"/>
  <c r="A527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D526" i="2"/>
  <c r="B526" i="2"/>
  <c r="A526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D525" i="2"/>
  <c r="B525" i="2"/>
  <c r="A525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D524" i="2"/>
  <c r="B524" i="2"/>
  <c r="A524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D523" i="2"/>
  <c r="B523" i="2"/>
  <c r="A523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D522" i="2"/>
  <c r="B522" i="2"/>
  <c r="A522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D521" i="2"/>
  <c r="B521" i="2"/>
  <c r="A521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D520" i="2"/>
  <c r="B520" i="2"/>
  <c r="A520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D519" i="2"/>
  <c r="B519" i="2"/>
  <c r="A519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D518" i="2"/>
  <c r="B518" i="2"/>
  <c r="A518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D517" i="2"/>
  <c r="B517" i="2"/>
  <c r="A517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D516" i="2"/>
  <c r="B516" i="2"/>
  <c r="A516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D515" i="2"/>
  <c r="B515" i="2"/>
  <c r="A515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D514" i="2"/>
  <c r="B514" i="2"/>
  <c r="A514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D513" i="2"/>
  <c r="B513" i="2"/>
  <c r="A513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D512" i="2"/>
  <c r="B512" i="2"/>
  <c r="A512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D511" i="2"/>
  <c r="B511" i="2"/>
  <c r="A511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D510" i="2"/>
  <c r="B510" i="2"/>
  <c r="A510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D509" i="2"/>
  <c r="B509" i="2"/>
  <c r="A509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D508" i="2"/>
  <c r="B508" i="2"/>
  <c r="A508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D507" i="2"/>
  <c r="B507" i="2"/>
  <c r="A507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D506" i="2"/>
  <c r="B506" i="2"/>
  <c r="A506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D505" i="2"/>
  <c r="B505" i="2"/>
  <c r="A505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D504" i="2"/>
  <c r="B504" i="2"/>
  <c r="A504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D503" i="2"/>
  <c r="B503" i="2"/>
  <c r="A503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D502" i="2"/>
  <c r="B502" i="2"/>
  <c r="A502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D501" i="2"/>
  <c r="B501" i="2"/>
  <c r="A501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D500" i="2"/>
  <c r="B500" i="2"/>
  <c r="A500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D499" i="2"/>
  <c r="B499" i="2"/>
  <c r="A499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D498" i="2"/>
  <c r="B498" i="2"/>
  <c r="A498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D497" i="2"/>
  <c r="B497" i="2"/>
  <c r="A497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D496" i="2"/>
  <c r="B496" i="2"/>
  <c r="A496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D495" i="2"/>
  <c r="B495" i="2"/>
  <c r="A495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D494" i="2"/>
  <c r="B494" i="2"/>
  <c r="A494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D493" i="2"/>
  <c r="B493" i="2"/>
  <c r="A493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D492" i="2"/>
  <c r="B492" i="2"/>
  <c r="A492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D491" i="2"/>
  <c r="B491" i="2"/>
  <c r="A491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D490" i="2"/>
  <c r="B490" i="2"/>
  <c r="A490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D489" i="2"/>
  <c r="B489" i="2"/>
  <c r="A489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D488" i="2"/>
  <c r="B488" i="2"/>
  <c r="A488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D487" i="2"/>
  <c r="B487" i="2"/>
  <c r="A487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D486" i="2"/>
  <c r="B486" i="2"/>
  <c r="A486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D485" i="2"/>
  <c r="B485" i="2"/>
  <c r="A485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D484" i="2"/>
  <c r="B484" i="2"/>
  <c r="A484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D483" i="2"/>
  <c r="B483" i="2"/>
  <c r="A483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D482" i="2"/>
  <c r="B482" i="2"/>
  <c r="A482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D481" i="2"/>
  <c r="B481" i="2"/>
  <c r="A481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D480" i="2"/>
  <c r="B480" i="2"/>
  <c r="A480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D479" i="2"/>
  <c r="B479" i="2"/>
  <c r="A479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D478" i="2"/>
  <c r="B478" i="2"/>
  <c r="A478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D477" i="2"/>
  <c r="B477" i="2"/>
  <c r="A477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D476" i="2"/>
  <c r="B476" i="2"/>
  <c r="A476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D475" i="2"/>
  <c r="B475" i="2"/>
  <c r="A475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D474" i="2"/>
  <c r="B474" i="2"/>
  <c r="A474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D473" i="2"/>
  <c r="B473" i="2"/>
  <c r="A473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D472" i="2"/>
  <c r="B472" i="2"/>
  <c r="A472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D471" i="2"/>
  <c r="B471" i="2"/>
  <c r="A471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D470" i="2"/>
  <c r="B470" i="2"/>
  <c r="A470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D469" i="2"/>
  <c r="B469" i="2"/>
  <c r="A469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D468" i="2"/>
  <c r="B468" i="2"/>
  <c r="A468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D467" i="2"/>
  <c r="B467" i="2"/>
  <c r="A467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D466" i="2"/>
  <c r="B466" i="2"/>
  <c r="A466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D465" i="2"/>
  <c r="B465" i="2"/>
  <c r="A465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D464" i="2"/>
  <c r="B464" i="2"/>
  <c r="A464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D463" i="2"/>
  <c r="B463" i="2"/>
  <c r="A463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D462" i="2"/>
  <c r="B462" i="2"/>
  <c r="A462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D461" i="2"/>
  <c r="B461" i="2"/>
  <c r="A461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D460" i="2"/>
  <c r="B460" i="2"/>
  <c r="A460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D459" i="2"/>
  <c r="B459" i="2"/>
  <c r="A459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D458" i="2"/>
  <c r="B458" i="2"/>
  <c r="A458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D457" i="2"/>
  <c r="B457" i="2"/>
  <c r="A457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D456" i="2"/>
  <c r="B456" i="2"/>
  <c r="A456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D455" i="2"/>
  <c r="B455" i="2"/>
  <c r="A455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D454" i="2"/>
  <c r="B454" i="2"/>
  <c r="A454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D453" i="2"/>
  <c r="B453" i="2"/>
  <c r="A453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D452" i="2"/>
  <c r="B452" i="2"/>
  <c r="A452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D451" i="2"/>
  <c r="B451" i="2"/>
  <c r="A451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D450" i="2"/>
  <c r="B450" i="2"/>
  <c r="A450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D449" i="2"/>
  <c r="B449" i="2"/>
  <c r="A449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D448" i="2"/>
  <c r="B448" i="2"/>
  <c r="A448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D447" i="2"/>
  <c r="B447" i="2"/>
  <c r="A447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D446" i="2"/>
  <c r="B446" i="2"/>
  <c r="A446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D445" i="2"/>
  <c r="B445" i="2"/>
  <c r="A445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D444" i="2"/>
  <c r="B444" i="2"/>
  <c r="A444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D443" i="2"/>
  <c r="B443" i="2"/>
  <c r="A443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D442" i="2"/>
  <c r="B442" i="2"/>
  <c r="A442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D441" i="2"/>
  <c r="B441" i="2"/>
  <c r="A441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D440" i="2"/>
  <c r="B440" i="2"/>
  <c r="A440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D439" i="2"/>
  <c r="B439" i="2"/>
  <c r="A439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D438" i="2"/>
  <c r="B438" i="2"/>
  <c r="A438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D437" i="2"/>
  <c r="B437" i="2"/>
  <c r="A437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D436" i="2"/>
  <c r="B436" i="2"/>
  <c r="A436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D435" i="2"/>
  <c r="B435" i="2"/>
  <c r="A435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D434" i="2"/>
  <c r="B434" i="2"/>
  <c r="A434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D433" i="2"/>
  <c r="B433" i="2"/>
  <c r="A433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D432" i="2"/>
  <c r="B432" i="2"/>
  <c r="A432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D431" i="2"/>
  <c r="B431" i="2"/>
  <c r="A431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D430" i="2"/>
  <c r="B430" i="2"/>
  <c r="A430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D429" i="2"/>
  <c r="B429" i="2"/>
  <c r="A429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D428" i="2"/>
  <c r="B428" i="2"/>
  <c r="A428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D427" i="2"/>
  <c r="B427" i="2"/>
  <c r="A427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D426" i="2"/>
  <c r="B426" i="2"/>
  <c r="A426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D425" i="2"/>
  <c r="B425" i="2"/>
  <c r="A425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D424" i="2"/>
  <c r="B424" i="2"/>
  <c r="A424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D423" i="2"/>
  <c r="B423" i="2"/>
  <c r="A423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D422" i="2"/>
  <c r="B422" i="2"/>
  <c r="A422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D421" i="2"/>
  <c r="B421" i="2"/>
  <c r="A421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D420" i="2"/>
  <c r="B420" i="2"/>
  <c r="A420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D419" i="2"/>
  <c r="B419" i="2"/>
  <c r="A419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D418" i="2"/>
  <c r="B418" i="2"/>
  <c r="A418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D417" i="2"/>
  <c r="B417" i="2"/>
  <c r="A417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D416" i="2"/>
  <c r="B416" i="2"/>
  <c r="A416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D415" i="2"/>
  <c r="B415" i="2"/>
  <c r="A415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D414" i="2"/>
  <c r="B414" i="2"/>
  <c r="A414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D413" i="2"/>
  <c r="B413" i="2"/>
  <c r="A413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D412" i="2"/>
  <c r="B412" i="2"/>
  <c r="A412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D411" i="2"/>
  <c r="B411" i="2"/>
  <c r="A411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D410" i="2"/>
  <c r="B410" i="2"/>
  <c r="A410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D409" i="2"/>
  <c r="B409" i="2"/>
  <c r="A409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D408" i="2"/>
  <c r="B408" i="2"/>
  <c r="A408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D407" i="2"/>
  <c r="B407" i="2"/>
  <c r="A407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D406" i="2"/>
  <c r="B406" i="2"/>
  <c r="A406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D405" i="2"/>
  <c r="B405" i="2"/>
  <c r="A405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D404" i="2"/>
  <c r="B404" i="2"/>
  <c r="A404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D403" i="2"/>
  <c r="B403" i="2"/>
  <c r="A403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D402" i="2"/>
  <c r="B402" i="2"/>
  <c r="A402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D401" i="2"/>
  <c r="B401" i="2"/>
  <c r="A401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D400" i="2"/>
  <c r="B400" i="2"/>
  <c r="A400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D399" i="2"/>
  <c r="B399" i="2"/>
  <c r="A399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D398" i="2"/>
  <c r="B398" i="2"/>
  <c r="A398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D397" i="2"/>
  <c r="B397" i="2"/>
  <c r="A397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D396" i="2"/>
  <c r="B396" i="2"/>
  <c r="A396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D395" i="2"/>
  <c r="B395" i="2"/>
  <c r="A395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D394" i="2"/>
  <c r="B394" i="2"/>
  <c r="A394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D393" i="2"/>
  <c r="B393" i="2"/>
  <c r="A393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D392" i="2"/>
  <c r="B392" i="2"/>
  <c r="A392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D391" i="2"/>
  <c r="B391" i="2"/>
  <c r="A391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D390" i="2"/>
  <c r="B390" i="2"/>
  <c r="A390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D389" i="2"/>
  <c r="B389" i="2"/>
  <c r="A389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D388" i="2"/>
  <c r="B388" i="2"/>
  <c r="A388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D387" i="2"/>
  <c r="B387" i="2"/>
  <c r="A387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D386" i="2"/>
  <c r="B386" i="2"/>
  <c r="A386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D385" i="2"/>
  <c r="B385" i="2"/>
  <c r="A385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D384" i="2"/>
  <c r="B384" i="2"/>
  <c r="A384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D383" i="2"/>
  <c r="B383" i="2"/>
  <c r="A383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D382" i="2"/>
  <c r="B382" i="2"/>
  <c r="A382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D381" i="2"/>
  <c r="B381" i="2"/>
  <c r="A381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D380" i="2"/>
  <c r="B380" i="2"/>
  <c r="A380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D379" i="2"/>
  <c r="B379" i="2"/>
  <c r="A379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D378" i="2"/>
  <c r="B378" i="2"/>
  <c r="A378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D377" i="2"/>
  <c r="B377" i="2"/>
  <c r="A377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D376" i="2"/>
  <c r="B376" i="2"/>
  <c r="A376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D375" i="2"/>
  <c r="B375" i="2"/>
  <c r="A375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D374" i="2"/>
  <c r="B374" i="2"/>
  <c r="A374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D373" i="2"/>
  <c r="B373" i="2"/>
  <c r="A373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D372" i="2"/>
  <c r="B372" i="2"/>
  <c r="A372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D371" i="2"/>
  <c r="B371" i="2"/>
  <c r="A371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D370" i="2"/>
  <c r="B370" i="2"/>
  <c r="A370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D369" i="2"/>
  <c r="B369" i="2"/>
  <c r="A369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D368" i="2"/>
  <c r="B368" i="2"/>
  <c r="A368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D367" i="2"/>
  <c r="B367" i="2"/>
  <c r="A367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D366" i="2"/>
  <c r="B366" i="2"/>
  <c r="A366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D365" i="2"/>
  <c r="B365" i="2"/>
  <c r="A365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D364" i="2"/>
  <c r="B364" i="2"/>
  <c r="A364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D363" i="2"/>
  <c r="B363" i="2"/>
  <c r="A363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D362" i="2"/>
  <c r="B362" i="2"/>
  <c r="A362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D361" i="2"/>
  <c r="B361" i="2"/>
  <c r="A361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D360" i="2"/>
  <c r="B360" i="2"/>
  <c r="A360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D359" i="2"/>
  <c r="B359" i="2"/>
  <c r="A359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D358" i="2"/>
  <c r="B358" i="2"/>
  <c r="A358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D357" i="2"/>
  <c r="B357" i="2"/>
  <c r="A357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D356" i="2"/>
  <c r="B356" i="2"/>
  <c r="A356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D355" i="2"/>
  <c r="B355" i="2"/>
  <c r="A355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D354" i="2"/>
  <c r="B354" i="2"/>
  <c r="A354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D353" i="2"/>
  <c r="B353" i="2"/>
  <c r="A353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D352" i="2"/>
  <c r="B352" i="2"/>
  <c r="A352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D351" i="2"/>
  <c r="B351" i="2"/>
  <c r="A351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D350" i="2"/>
  <c r="B350" i="2"/>
  <c r="A350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D349" i="2"/>
  <c r="B349" i="2"/>
  <c r="A349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D348" i="2"/>
  <c r="B348" i="2"/>
  <c r="A348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D347" i="2"/>
  <c r="B347" i="2"/>
  <c r="A347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D346" i="2"/>
  <c r="B346" i="2"/>
  <c r="A346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D345" i="2"/>
  <c r="B345" i="2"/>
  <c r="A345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D344" i="2"/>
  <c r="B344" i="2"/>
  <c r="A344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D343" i="2"/>
  <c r="B343" i="2"/>
  <c r="A343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D342" i="2"/>
  <c r="B342" i="2"/>
  <c r="A342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D341" i="2"/>
  <c r="B341" i="2"/>
  <c r="A341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D340" i="2"/>
  <c r="B340" i="2"/>
  <c r="A340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D339" i="2"/>
  <c r="B339" i="2"/>
  <c r="A339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D338" i="2"/>
  <c r="B338" i="2"/>
  <c r="A338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D337" i="2"/>
  <c r="B337" i="2"/>
  <c r="A337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D336" i="2"/>
  <c r="B336" i="2"/>
  <c r="A336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D335" i="2"/>
  <c r="B335" i="2"/>
  <c r="A335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D334" i="2"/>
  <c r="B334" i="2"/>
  <c r="A334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D333" i="2"/>
  <c r="B333" i="2"/>
  <c r="A333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D332" i="2"/>
  <c r="B332" i="2"/>
  <c r="A332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D331" i="2"/>
  <c r="B331" i="2"/>
  <c r="A331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D330" i="2"/>
  <c r="B330" i="2"/>
  <c r="A330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D329" i="2"/>
  <c r="B329" i="2"/>
  <c r="A329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D328" i="2"/>
  <c r="B328" i="2"/>
  <c r="A328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D327" i="2"/>
  <c r="B327" i="2"/>
  <c r="A327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D326" i="2"/>
  <c r="B326" i="2"/>
  <c r="A326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D325" i="2"/>
  <c r="B325" i="2"/>
  <c r="A325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D324" i="2"/>
  <c r="B324" i="2"/>
  <c r="A324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D323" i="2"/>
  <c r="B323" i="2"/>
  <c r="A323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D322" i="2"/>
  <c r="B322" i="2"/>
  <c r="A322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D321" i="2"/>
  <c r="B321" i="2"/>
  <c r="A321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D320" i="2"/>
  <c r="B320" i="2"/>
  <c r="A320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D319" i="2"/>
  <c r="B319" i="2"/>
  <c r="A319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D318" i="2"/>
  <c r="B318" i="2"/>
  <c r="A318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D317" i="2"/>
  <c r="B317" i="2"/>
  <c r="A317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D316" i="2"/>
  <c r="B316" i="2"/>
  <c r="A316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D315" i="2"/>
  <c r="B315" i="2"/>
  <c r="A315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D314" i="2"/>
  <c r="B314" i="2"/>
  <c r="A314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D313" i="2"/>
  <c r="B313" i="2"/>
  <c r="A313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D312" i="2"/>
  <c r="B312" i="2"/>
  <c r="A312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D311" i="2"/>
  <c r="B311" i="2"/>
  <c r="A311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D310" i="2"/>
  <c r="B310" i="2"/>
  <c r="A310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D309" i="2"/>
  <c r="B309" i="2"/>
  <c r="A309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D308" i="2"/>
  <c r="B308" i="2"/>
  <c r="A308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D307" i="2"/>
  <c r="B307" i="2"/>
  <c r="A307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D306" i="2"/>
  <c r="B306" i="2"/>
  <c r="A306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D305" i="2"/>
  <c r="B305" i="2"/>
  <c r="A305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D304" i="2"/>
  <c r="B304" i="2"/>
  <c r="A304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D303" i="2"/>
  <c r="B303" i="2"/>
  <c r="A303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D302" i="2"/>
  <c r="B302" i="2"/>
  <c r="A302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D301" i="2"/>
  <c r="B301" i="2"/>
  <c r="A301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D300" i="2"/>
  <c r="B300" i="2"/>
  <c r="A300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D299" i="2"/>
  <c r="B299" i="2"/>
  <c r="A299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D298" i="2"/>
  <c r="B298" i="2"/>
  <c r="A298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D297" i="2"/>
  <c r="B297" i="2"/>
  <c r="A297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D296" i="2"/>
  <c r="B296" i="2"/>
  <c r="A296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D295" i="2"/>
  <c r="B295" i="2"/>
  <c r="A295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D294" i="2"/>
  <c r="B294" i="2"/>
  <c r="A294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D293" i="2"/>
  <c r="B293" i="2"/>
  <c r="A293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D292" i="2"/>
  <c r="B292" i="2"/>
  <c r="A292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D291" i="2"/>
  <c r="B291" i="2"/>
  <c r="A291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D290" i="2"/>
  <c r="B290" i="2"/>
  <c r="A290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D289" i="2"/>
  <c r="B289" i="2"/>
  <c r="A289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D288" i="2"/>
  <c r="B288" i="2"/>
  <c r="A288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D287" i="2"/>
  <c r="B287" i="2"/>
  <c r="A287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D286" i="2"/>
  <c r="B286" i="2"/>
  <c r="A286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D285" i="2"/>
  <c r="B285" i="2"/>
  <c r="A285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D284" i="2"/>
  <c r="B284" i="2"/>
  <c r="A284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D283" i="2"/>
  <c r="B283" i="2"/>
  <c r="A283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D282" i="2"/>
  <c r="B282" i="2"/>
  <c r="A282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D281" i="2"/>
  <c r="B281" i="2"/>
  <c r="A281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D280" i="2"/>
  <c r="B280" i="2"/>
  <c r="A280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D279" i="2"/>
  <c r="B279" i="2"/>
  <c r="A279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D278" i="2"/>
  <c r="B278" i="2"/>
  <c r="A278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D277" i="2"/>
  <c r="B277" i="2"/>
  <c r="A277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D276" i="2"/>
  <c r="B276" i="2"/>
  <c r="A276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D275" i="2"/>
  <c r="B275" i="2"/>
  <c r="A275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D274" i="2"/>
  <c r="B274" i="2"/>
  <c r="A274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D273" i="2"/>
  <c r="B273" i="2"/>
  <c r="A273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D272" i="2"/>
  <c r="B272" i="2"/>
  <c r="A272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D271" i="2"/>
  <c r="B271" i="2"/>
  <c r="A271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D270" i="2"/>
  <c r="B270" i="2"/>
  <c r="A270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D269" i="2"/>
  <c r="B269" i="2"/>
  <c r="A269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D268" i="2"/>
  <c r="B268" i="2"/>
  <c r="A268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D267" i="2"/>
  <c r="B267" i="2"/>
  <c r="A267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D266" i="2"/>
  <c r="B266" i="2"/>
  <c r="A266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D265" i="2"/>
  <c r="B265" i="2"/>
  <c r="A265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D264" i="2"/>
  <c r="B264" i="2"/>
  <c r="A264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D263" i="2"/>
  <c r="B263" i="2"/>
  <c r="A263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D262" i="2"/>
  <c r="B262" i="2"/>
  <c r="A262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D261" i="2"/>
  <c r="B261" i="2"/>
  <c r="A261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D260" i="2"/>
  <c r="B260" i="2"/>
  <c r="A260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D259" i="2"/>
  <c r="B259" i="2"/>
  <c r="A259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D258" i="2"/>
  <c r="B258" i="2"/>
  <c r="A258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D257" i="2"/>
  <c r="B257" i="2"/>
  <c r="A257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D256" i="2"/>
  <c r="B256" i="2"/>
  <c r="A256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D255" i="2"/>
  <c r="B255" i="2"/>
  <c r="A255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D254" i="2"/>
  <c r="B254" i="2"/>
  <c r="A254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D253" i="2"/>
  <c r="B253" i="2"/>
  <c r="A253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D252" i="2"/>
  <c r="B252" i="2"/>
  <c r="A252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D251" i="2"/>
  <c r="B251" i="2"/>
  <c r="A251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D250" i="2"/>
  <c r="B250" i="2"/>
  <c r="A250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D249" i="2"/>
  <c r="B249" i="2"/>
  <c r="A249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D248" i="2"/>
  <c r="B248" i="2"/>
  <c r="A248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D247" i="2"/>
  <c r="B247" i="2"/>
  <c r="A247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D246" i="2"/>
  <c r="B246" i="2"/>
  <c r="A246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D245" i="2"/>
  <c r="B245" i="2"/>
  <c r="A245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D244" i="2"/>
  <c r="B244" i="2"/>
  <c r="A244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D243" i="2"/>
  <c r="B243" i="2"/>
  <c r="A243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D242" i="2"/>
  <c r="B242" i="2"/>
  <c r="A242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D241" i="2"/>
  <c r="B241" i="2"/>
  <c r="A241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D240" i="2"/>
  <c r="B240" i="2"/>
  <c r="A240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D239" i="2"/>
  <c r="B239" i="2"/>
  <c r="A239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D238" i="2"/>
  <c r="B238" i="2"/>
  <c r="A238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D237" i="2"/>
  <c r="B237" i="2"/>
  <c r="A237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D236" i="2"/>
  <c r="B236" i="2"/>
  <c r="A236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D235" i="2"/>
  <c r="B235" i="2"/>
  <c r="A235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D234" i="2"/>
  <c r="B234" i="2"/>
  <c r="A234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D233" i="2"/>
  <c r="B233" i="2"/>
  <c r="A233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D232" i="2"/>
  <c r="B232" i="2"/>
  <c r="A232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D231" i="2"/>
  <c r="B231" i="2"/>
  <c r="A231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D230" i="2"/>
  <c r="B230" i="2"/>
  <c r="A230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D229" i="2"/>
  <c r="B229" i="2"/>
  <c r="A229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D228" i="2"/>
  <c r="B228" i="2"/>
  <c r="A228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D227" i="2"/>
  <c r="B227" i="2"/>
  <c r="A227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D226" i="2"/>
  <c r="B226" i="2"/>
  <c r="A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D225" i="2"/>
  <c r="B225" i="2"/>
  <c r="A225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D224" i="2"/>
  <c r="B224" i="2"/>
  <c r="A224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D223" i="2"/>
  <c r="B223" i="2"/>
  <c r="A223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D222" i="2"/>
  <c r="B222" i="2"/>
  <c r="A222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D221" i="2"/>
  <c r="B221" i="2"/>
  <c r="A221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D220" i="2"/>
  <c r="B220" i="2"/>
  <c r="A220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D219" i="2"/>
  <c r="B219" i="2"/>
  <c r="A219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D218" i="2"/>
  <c r="B218" i="2"/>
  <c r="A218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D217" i="2"/>
  <c r="B217" i="2"/>
  <c r="A217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D216" i="2"/>
  <c r="B216" i="2"/>
  <c r="A216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D215" i="2"/>
  <c r="B215" i="2"/>
  <c r="A215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D214" i="2"/>
  <c r="B214" i="2"/>
  <c r="A214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D213" i="2"/>
  <c r="B213" i="2"/>
  <c r="A213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D212" i="2"/>
  <c r="B212" i="2"/>
  <c r="A212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D211" i="2"/>
  <c r="B211" i="2"/>
  <c r="A211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D210" i="2"/>
  <c r="B210" i="2"/>
  <c r="A210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D209" i="2"/>
  <c r="B209" i="2"/>
  <c r="A209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D208" i="2"/>
  <c r="B208" i="2"/>
  <c r="A208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D207" i="2"/>
  <c r="B207" i="2"/>
  <c r="A207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D206" i="2"/>
  <c r="B206" i="2"/>
  <c r="A206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D205" i="2"/>
  <c r="B205" i="2"/>
  <c r="A205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D204" i="2"/>
  <c r="B204" i="2"/>
  <c r="A204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D203" i="2"/>
  <c r="B203" i="2"/>
  <c r="A203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D202" i="2"/>
  <c r="B202" i="2"/>
  <c r="A202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D201" i="2"/>
  <c r="B201" i="2"/>
  <c r="A201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D200" i="2"/>
  <c r="B200" i="2"/>
  <c r="A200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D199" i="2"/>
  <c r="B199" i="2"/>
  <c r="A199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D198" i="2"/>
  <c r="B198" i="2"/>
  <c r="A198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D197" i="2"/>
  <c r="B197" i="2"/>
  <c r="A197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D196" i="2"/>
  <c r="B196" i="2"/>
  <c r="A196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D195" i="2"/>
  <c r="B195" i="2"/>
  <c r="A195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D194" i="2"/>
  <c r="B194" i="2"/>
  <c r="A194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D193" i="2"/>
  <c r="B193" i="2"/>
  <c r="A193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D192" i="2"/>
  <c r="B192" i="2"/>
  <c r="A192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D191" i="2"/>
  <c r="B191" i="2"/>
  <c r="A191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D190" i="2"/>
  <c r="B190" i="2"/>
  <c r="A190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D189" i="2"/>
  <c r="B189" i="2"/>
  <c r="A189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D188" i="2"/>
  <c r="B188" i="2"/>
  <c r="A188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D187" i="2"/>
  <c r="B187" i="2"/>
  <c r="A187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D186" i="2"/>
  <c r="B186" i="2"/>
  <c r="A186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D185" i="2"/>
  <c r="B185" i="2"/>
  <c r="A185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D184" i="2"/>
  <c r="B184" i="2"/>
  <c r="A184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D183" i="2"/>
  <c r="B183" i="2"/>
  <c r="A183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D182" i="2"/>
  <c r="B182" i="2"/>
  <c r="A182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D181" i="2"/>
  <c r="B181" i="2"/>
  <c r="A181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D180" i="2"/>
  <c r="B180" i="2"/>
  <c r="A180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D179" i="2"/>
  <c r="B179" i="2"/>
  <c r="A179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D178" i="2"/>
  <c r="B178" i="2"/>
  <c r="A178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D177" i="2"/>
  <c r="B177" i="2"/>
  <c r="A177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D176" i="2"/>
  <c r="B176" i="2"/>
  <c r="A176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D175" i="2"/>
  <c r="B175" i="2"/>
  <c r="A175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D174" i="2"/>
  <c r="B174" i="2"/>
  <c r="A174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D173" i="2"/>
  <c r="B173" i="2"/>
  <c r="A173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D172" i="2"/>
  <c r="B172" i="2"/>
  <c r="A172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D171" i="2"/>
  <c r="B171" i="2"/>
  <c r="A171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D170" i="2"/>
  <c r="B170" i="2"/>
  <c r="A170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D169" i="2"/>
  <c r="B169" i="2"/>
  <c r="A169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D168" i="2"/>
  <c r="B168" i="2"/>
  <c r="A168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D167" i="2"/>
  <c r="B167" i="2"/>
  <c r="A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D166" i="2"/>
  <c r="B166" i="2"/>
  <c r="A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D165" i="2"/>
  <c r="B165" i="2"/>
  <c r="A165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D164" i="2"/>
  <c r="B164" i="2"/>
  <c r="A164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D163" i="2"/>
  <c r="B163" i="2"/>
  <c r="A163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D162" i="2"/>
  <c r="B162" i="2"/>
  <c r="A162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D161" i="2"/>
  <c r="B161" i="2"/>
  <c r="A161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D160" i="2"/>
  <c r="B160" i="2"/>
  <c r="A160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D159" i="2"/>
  <c r="B159" i="2"/>
  <c r="A159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D158" i="2"/>
  <c r="B158" i="2"/>
  <c r="A158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D157" i="2"/>
  <c r="B157" i="2"/>
  <c r="A157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D156" i="2"/>
  <c r="B156" i="2"/>
  <c r="A156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D155" i="2"/>
  <c r="B155" i="2"/>
  <c r="A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D154" i="2"/>
  <c r="B154" i="2"/>
  <c r="A154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D153" i="2"/>
  <c r="B153" i="2"/>
  <c r="A153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D152" i="2"/>
  <c r="B152" i="2"/>
  <c r="A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D151" i="2"/>
  <c r="B151" i="2"/>
  <c r="A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D150" i="2"/>
  <c r="B150" i="2"/>
  <c r="A150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D149" i="2"/>
  <c r="B149" i="2"/>
  <c r="A149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D148" i="2"/>
  <c r="B148" i="2"/>
  <c r="A148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D147" i="2"/>
  <c r="B147" i="2"/>
  <c r="A147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D146" i="2"/>
  <c r="B146" i="2"/>
  <c r="A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D145" i="2"/>
  <c r="B145" i="2"/>
  <c r="A145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D144" i="2"/>
  <c r="B144" i="2"/>
  <c r="A144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D143" i="2"/>
  <c r="B143" i="2"/>
  <c r="A143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D142" i="2"/>
  <c r="B142" i="2"/>
  <c r="A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D141" i="2"/>
  <c r="B141" i="2"/>
  <c r="A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D140" i="2"/>
  <c r="B140" i="2"/>
  <c r="A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D139" i="2"/>
  <c r="B139" i="2"/>
  <c r="A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D138" i="2"/>
  <c r="B138" i="2"/>
  <c r="A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D137" i="2"/>
  <c r="B137" i="2"/>
  <c r="A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D136" i="2"/>
  <c r="B136" i="2"/>
  <c r="A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D135" i="2"/>
  <c r="B135" i="2"/>
  <c r="A135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D134" i="2"/>
  <c r="B134" i="2"/>
  <c r="A134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D133" i="2"/>
  <c r="B133" i="2"/>
  <c r="A133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D132" i="2"/>
  <c r="B132" i="2"/>
  <c r="A132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D131" i="2"/>
  <c r="B131" i="2"/>
  <c r="A131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D130" i="2"/>
  <c r="B130" i="2"/>
  <c r="A130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D129" i="2"/>
  <c r="B129" i="2"/>
  <c r="A129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D128" i="2"/>
  <c r="B128" i="2"/>
  <c r="A128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D127" i="2"/>
  <c r="B127" i="2"/>
  <c r="A127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D126" i="2"/>
  <c r="B126" i="2"/>
  <c r="A126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D125" i="2"/>
  <c r="B125" i="2"/>
  <c r="A125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D124" i="2"/>
  <c r="B124" i="2"/>
  <c r="A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D123" i="2"/>
  <c r="B123" i="2"/>
  <c r="A123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D122" i="2"/>
  <c r="B122" i="2"/>
  <c r="A122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D121" i="2"/>
  <c r="B121" i="2"/>
  <c r="A121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D120" i="2"/>
  <c r="B120" i="2"/>
  <c r="A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D119" i="2"/>
  <c r="B119" i="2"/>
  <c r="A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D118" i="2"/>
  <c r="B118" i="2"/>
  <c r="A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117" i="2"/>
  <c r="B117" i="2"/>
  <c r="A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116" i="2"/>
  <c r="B116" i="2"/>
  <c r="A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115" i="2"/>
  <c r="B115" i="2"/>
  <c r="A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114" i="2"/>
  <c r="B114" i="2"/>
  <c r="A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113" i="2"/>
  <c r="B113" i="2"/>
  <c r="A113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112" i="2"/>
  <c r="B112" i="2"/>
  <c r="A112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111" i="2"/>
  <c r="B111" i="2"/>
  <c r="A111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110" i="2"/>
  <c r="B110" i="2"/>
  <c r="A110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109" i="2"/>
  <c r="B109" i="2"/>
  <c r="A109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108" i="2"/>
  <c r="B108" i="2"/>
  <c r="A108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107" i="2"/>
  <c r="B107" i="2"/>
  <c r="A107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106" i="2"/>
  <c r="B106" i="2"/>
  <c r="A106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105" i="2"/>
  <c r="B105" i="2"/>
  <c r="A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104" i="2"/>
  <c r="B104" i="2"/>
  <c r="A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103" i="2"/>
  <c r="B103" i="2"/>
  <c r="A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102" i="2"/>
  <c r="B102" i="2"/>
  <c r="A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101" i="2"/>
  <c r="B101" i="2"/>
  <c r="A101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100" i="2"/>
  <c r="B100" i="2"/>
  <c r="A100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99" i="2"/>
  <c r="B99" i="2"/>
  <c r="A99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98" i="2"/>
  <c r="B98" i="2"/>
  <c r="A98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97" i="2"/>
  <c r="B97" i="2"/>
  <c r="A97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96" i="2"/>
  <c r="B96" i="2"/>
  <c r="A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95" i="2"/>
  <c r="B95" i="2"/>
  <c r="A95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94" i="2"/>
  <c r="B94" i="2"/>
  <c r="A94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93" i="2"/>
  <c r="B93" i="2"/>
  <c r="A93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92" i="2"/>
  <c r="B92" i="2"/>
  <c r="A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91" i="2"/>
  <c r="B91" i="2"/>
  <c r="A91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90" i="2"/>
  <c r="B90" i="2"/>
  <c r="A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89" i="2"/>
  <c r="B89" i="2"/>
  <c r="A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88" i="2"/>
  <c r="B88" i="2"/>
  <c r="A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87" i="2"/>
  <c r="B87" i="2"/>
  <c r="A87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86" i="2"/>
  <c r="B86" i="2"/>
  <c r="A86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85" i="2"/>
  <c r="B85" i="2"/>
  <c r="A85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84" i="2"/>
  <c r="B84" i="2"/>
  <c r="A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83" i="2"/>
  <c r="B83" i="2"/>
  <c r="A83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82" i="2"/>
  <c r="B82" i="2"/>
  <c r="A82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81" i="2"/>
  <c r="B81" i="2"/>
  <c r="A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80" i="2"/>
  <c r="B80" i="2"/>
  <c r="A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79" i="2"/>
  <c r="B79" i="2"/>
  <c r="A79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78" i="2"/>
  <c r="B78" i="2"/>
  <c r="A78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77" i="2"/>
  <c r="B77" i="2"/>
  <c r="A77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76" i="2"/>
  <c r="B76" i="2"/>
  <c r="A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75" i="2"/>
  <c r="B75" i="2"/>
  <c r="A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74" i="2"/>
  <c r="B74" i="2"/>
  <c r="A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73" i="2"/>
  <c r="B73" i="2"/>
  <c r="A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72" i="2"/>
  <c r="B72" i="2"/>
  <c r="A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71" i="2"/>
  <c r="B71" i="2"/>
  <c r="A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70" i="2"/>
  <c r="B70" i="2"/>
  <c r="A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69" i="2"/>
  <c r="B69" i="2"/>
  <c r="A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68" i="2"/>
  <c r="B68" i="2"/>
  <c r="A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67" i="2"/>
  <c r="B67" i="2"/>
  <c r="A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66" i="2"/>
  <c r="B66" i="2"/>
  <c r="A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65" i="2"/>
  <c r="B65" i="2"/>
  <c r="A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64" i="2"/>
  <c r="B64" i="2"/>
  <c r="A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63" i="2"/>
  <c r="B63" i="2"/>
  <c r="A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62" i="2"/>
  <c r="B62" i="2"/>
  <c r="A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61" i="2"/>
  <c r="B61" i="2"/>
  <c r="A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60" i="2"/>
  <c r="B60" i="2"/>
  <c r="A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59" i="2"/>
  <c r="B59" i="2"/>
  <c r="A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58" i="2"/>
  <c r="B58" i="2"/>
  <c r="A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57" i="2"/>
  <c r="B57" i="2"/>
  <c r="A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56" i="2"/>
  <c r="B56" i="2"/>
  <c r="A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55" i="2"/>
  <c r="B55" i="2"/>
  <c r="A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54" i="2"/>
  <c r="B54" i="2"/>
  <c r="A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53" i="2"/>
  <c r="B53" i="2"/>
  <c r="A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52" i="2"/>
  <c r="B52" i="2"/>
  <c r="A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51" i="2"/>
  <c r="B51" i="2"/>
  <c r="A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50" i="2"/>
  <c r="B50" i="2"/>
  <c r="A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49" i="2"/>
  <c r="B49" i="2"/>
  <c r="A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48" i="2"/>
  <c r="B48" i="2"/>
  <c r="A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47" i="2"/>
  <c r="B47" i="2"/>
  <c r="A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46" i="2"/>
  <c r="B46" i="2"/>
  <c r="A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45" i="2"/>
  <c r="B45" i="2"/>
  <c r="A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44" i="2"/>
  <c r="B44" i="2"/>
  <c r="A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43" i="2"/>
  <c r="B43" i="2"/>
  <c r="A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42" i="2"/>
  <c r="B42" i="2"/>
  <c r="A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41" i="2"/>
  <c r="B41" i="2"/>
  <c r="A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40" i="2"/>
  <c r="B40" i="2"/>
  <c r="A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D39" i="2"/>
  <c r="B39" i="2"/>
  <c r="A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D38" i="2"/>
  <c r="B38" i="2"/>
  <c r="A38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D37" i="2"/>
  <c r="B37" i="2"/>
  <c r="A37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D36" i="2"/>
  <c r="B36" i="2"/>
  <c r="A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35" i="2"/>
  <c r="B35" i="2"/>
  <c r="A35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D34" i="2"/>
  <c r="B34" i="2"/>
  <c r="A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D33" i="2"/>
  <c r="B33" i="2"/>
  <c r="A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D32" i="2"/>
  <c r="B32" i="2"/>
  <c r="A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D31" i="2"/>
  <c r="B31" i="2"/>
  <c r="A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D30" i="2"/>
  <c r="B30" i="2"/>
  <c r="A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D29" i="2"/>
  <c r="B29" i="2"/>
  <c r="A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D28" i="2"/>
  <c r="B28" i="2"/>
  <c r="A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D27" i="2"/>
  <c r="B27" i="2"/>
  <c r="A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D26" i="2"/>
  <c r="B26" i="2"/>
  <c r="A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D25" i="2"/>
  <c r="B25" i="2"/>
  <c r="A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D24" i="2"/>
  <c r="B24" i="2"/>
  <c r="A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D23" i="2"/>
  <c r="B23" i="2"/>
  <c r="A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D22" i="2"/>
  <c r="B22" i="2"/>
  <c r="A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D21" i="2"/>
  <c r="B21" i="2"/>
  <c r="A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D20" i="2"/>
  <c r="B20" i="2"/>
  <c r="A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D19" i="2"/>
  <c r="B19" i="2"/>
  <c r="A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D18" i="2"/>
  <c r="B18" i="2"/>
  <c r="A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D17" i="2"/>
  <c r="B17" i="2"/>
  <c r="A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D16" i="2"/>
  <c r="B16" i="2"/>
  <c r="A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D15" i="2"/>
  <c r="B15" i="2"/>
  <c r="A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D14" i="2"/>
  <c r="B14" i="2"/>
  <c r="A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D13" i="2"/>
  <c r="B13" i="2"/>
  <c r="A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D12" i="2"/>
  <c r="B12" i="2"/>
  <c r="A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D11" i="2"/>
  <c r="B11" i="2"/>
  <c r="A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D10" i="2"/>
  <c r="B10" i="2"/>
  <c r="A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D9" i="2"/>
  <c r="B9" i="2"/>
  <c r="A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D8" i="2"/>
  <c r="B8" i="2"/>
  <c r="A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D7" i="2"/>
  <c r="B7" i="2"/>
  <c r="A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D6" i="2"/>
  <c r="B6" i="2"/>
  <c r="A6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D5" i="2"/>
  <c r="B5" i="2"/>
  <c r="A5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D4" i="2"/>
  <c r="B4" i="2"/>
  <c r="A4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D3" i="2"/>
  <c r="B3" i="2"/>
  <c r="A3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D2" i="2"/>
  <c r="B2" i="2"/>
</calcChain>
</file>

<file path=xl/sharedStrings.xml><?xml version="1.0" encoding="utf-8"?>
<sst xmlns="http://schemas.openxmlformats.org/spreadsheetml/2006/main" count="1866" uniqueCount="129">
  <si>
    <t>CUSIP</t>
  </si>
  <si>
    <t>State Code</t>
  </si>
  <si>
    <t>Issuer Name</t>
  </si>
  <si>
    <t>Yield at Issue</t>
  </si>
  <si>
    <t>Amt Issued</t>
  </si>
  <si>
    <t>Issue Date</t>
  </si>
  <si>
    <t>Maturity</t>
  </si>
  <si>
    <t>Tax Prov</t>
  </si>
  <si>
    <t>Fin Typ</t>
  </si>
  <si>
    <t>BICS Level 2</t>
  </si>
  <si>
    <t>Self-reported Green</t>
  </si>
  <si>
    <t>Mgmt of Proc</t>
  </si>
  <si>
    <t>ESG Reporting</t>
  </si>
  <si>
    <t>ESG Assurance Providers</t>
  </si>
  <si>
    <t>Proj Sel Proc</t>
  </si>
  <si>
    <t>ESG Framework</t>
  </si>
  <si>
    <t>Industry</t>
  </si>
  <si>
    <t>Issuer Type</t>
  </si>
  <si>
    <t>ESG Project Categories</t>
  </si>
  <si>
    <t>Project Subcategory</t>
  </si>
  <si>
    <t>City of Dardanelle AR Water &amp; Sewer Revenue Sales &amp; Use Tax</t>
  </si>
  <si>
    <t>City of Hot Springs AR Wastewater Revenue</t>
  </si>
  <si>
    <t>Arkansas Development Finance Authority</t>
  </si>
  <si>
    <t>Benton Washington Regional Public Water Authority</t>
  </si>
  <si>
    <t>Stockton-East Water District</t>
  </si>
  <si>
    <t>Tender Option Bond Trust Receipts/Certificates</t>
  </si>
  <si>
    <t>Western Placer Unified School District</t>
  </si>
  <si>
    <t>California Infrastructure &amp; Economic Development Bank</t>
  </si>
  <si>
    <t>San Francisco Bay Area Rapid Transit District Sales Tax Revenue</t>
  </si>
  <si>
    <t>South Tahoe Public Utility District Wastewater Revenue</t>
  </si>
  <si>
    <t>California Community Choice Financing Authority</t>
  </si>
  <si>
    <t>Deutsche Bank Spears/Lifers Trust</t>
  </si>
  <si>
    <t>East Bay Municipal Utility District Wastewater System Revenue</t>
  </si>
  <si>
    <t>East Bay Municipal Utility District Water System Revenue</t>
  </si>
  <si>
    <t>City of Los Angeles Department of Airports</t>
  </si>
  <si>
    <t>Sacramento Municipal Utility District</t>
  </si>
  <si>
    <t>San Francisco Bay Area Rapid Transit District</t>
  </si>
  <si>
    <t>City of San Francisco CA Public Utilities Commission Water Revenue</t>
  </si>
  <si>
    <t>San Joaquin Valley Clean Energy Authority</t>
  </si>
  <si>
    <t>Bay Area Toll Authority</t>
  </si>
  <si>
    <t>City of Arvada CO Wastewater Revenue</t>
  </si>
  <si>
    <t>City of Arvada CO Water Revenue</t>
  </si>
  <si>
    <t>City of Sheridan CO</t>
  </si>
  <si>
    <t>Hartford County Metropolitan District Clean Water Project Revenue</t>
  </si>
  <si>
    <t>Connecticut Green Bank</t>
  </si>
  <si>
    <t>District of Columbia Water &amp; Sewer Authority</t>
  </si>
  <si>
    <t>JPMorgan Chase Putters/Drivers Trust</t>
  </si>
  <si>
    <t>Metropolitan Atlanta Rapid Transit Authority</t>
  </si>
  <si>
    <t>City of Atlanta GA Department of Aviation</t>
  </si>
  <si>
    <t>City &amp; County Honolulu HI Wastewater System Revenue</t>
  </si>
  <si>
    <t>Iowa Finance Authority</t>
  </si>
  <si>
    <t>City of Le Mars IA Water Revenue</t>
  </si>
  <si>
    <t>County of Greene IA</t>
  </si>
  <si>
    <t>Illinois Finance Authority</t>
  </si>
  <si>
    <t>City of Joliet IL Waterworks &amp; Sewerage Revenue</t>
  </si>
  <si>
    <t>Indiana Finance Authority</t>
  </si>
  <si>
    <t>City of Wamego KS</t>
  </si>
  <si>
    <t>City of Girard KS</t>
  </si>
  <si>
    <t>City of St Marys KS</t>
  </si>
  <si>
    <t>Montgomery County School District Finance Corp</t>
  </si>
  <si>
    <t>Danville Independent School District Finance Corp</t>
  </si>
  <si>
    <t>Fulton Independent School District Finance Corp</t>
  </si>
  <si>
    <t>Massachusetts Clean Water Trust/The</t>
  </si>
  <si>
    <t>Washington Suburban Sanitary Commission</t>
  </si>
  <si>
    <t>Eco Maine</t>
  </si>
  <si>
    <t>Portland Water District Water System Revenue</t>
  </si>
  <si>
    <t>Finance Authority of Maine</t>
  </si>
  <si>
    <t>Anchor Bay School District</t>
  </si>
  <si>
    <t>MBS International Airport Revenue</t>
  </si>
  <si>
    <t>Minnesota Agricultural &amp; Economic Development Board</t>
  </si>
  <si>
    <t>City of St Paul MN Sewer Revenue</t>
  </si>
  <si>
    <t>St Charles County Industrial Development Authority</t>
  </si>
  <si>
    <t>Town of Bedford NH</t>
  </si>
  <si>
    <t>Upper Deerfield Township Board of Education</t>
  </si>
  <si>
    <t>Vernon Township Board of Education</t>
  </si>
  <si>
    <t>Vineland Board of Education</t>
  </si>
  <si>
    <t>West Windsor-Plainsboro Regional School District/NJ</t>
  </si>
  <si>
    <t>Cranford Township Board Of Education</t>
  </si>
  <si>
    <t>Elmwood Park Board of Education</t>
  </si>
  <si>
    <t>Jersey City Municipal Utilities Authority</t>
  </si>
  <si>
    <t>Monroe Township Board of Education/Middlesex County</t>
  </si>
  <si>
    <t>Township of Monroe NJ/Middlesex County</t>
  </si>
  <si>
    <t>New Jersey Infrastructure Bank</t>
  </si>
  <si>
    <t>Bayonne School District</t>
  </si>
  <si>
    <t>Albuquerque Metropolitan Arroyo Flood Control Authority</t>
  </si>
  <si>
    <t>State of Nevada Department of Business &amp; Industry</t>
  </si>
  <si>
    <t>Upper Mohawk Valley Regional Water Finance Authority</t>
  </si>
  <si>
    <t>Utility Debt Securitization Authority</t>
  </si>
  <si>
    <t>East Rockaway Union Free School District</t>
  </si>
  <si>
    <t>Metropolitan Transportation Authority</t>
  </si>
  <si>
    <t>New York State Environmental Facilities Corp</t>
  </si>
  <si>
    <t>New York State Energy Research &amp; Development Authority</t>
  </si>
  <si>
    <t>New York Transportation Development Corp</t>
  </si>
  <si>
    <t>New York State Thruway Authority</t>
  </si>
  <si>
    <t>City of Strongsville OH</t>
  </si>
  <si>
    <t>Delaware County Port Authority</t>
  </si>
  <si>
    <t>Ohio Water Development Authority Water Pollution Control Loan Fund</t>
  </si>
  <si>
    <t>Oklahoma Water Resources Board</t>
  </si>
  <si>
    <t>State of Oregon</t>
  </si>
  <si>
    <t>Economy Borough Municipal Authority</t>
  </si>
  <si>
    <t>University Area Joint Authority Sewer Revenue</t>
  </si>
  <si>
    <t>Rhode Island Infrastructure Bank State Revolving Fund</t>
  </si>
  <si>
    <t>Texas Water Development Board</t>
  </si>
  <si>
    <t>Mission Economic Development Corp</t>
  </si>
  <si>
    <t>City of Tacoma WA Electric System Revenue</t>
  </si>
  <si>
    <t>State of Wisconsin Environmental Improvement Fund Revenue</t>
  </si>
  <si>
    <t>Middleton-Cross Plains Area School District/WI</t>
  </si>
  <si>
    <t>Milwaukee Metropolitan Sewerage District</t>
  </si>
  <si>
    <t>Berkeley County Public Service Sewer District</t>
  </si>
  <si>
    <t>West Virginia Economic Development Authority</t>
  </si>
  <si>
    <t>Berkeley County Public Service District</t>
  </si>
  <si>
    <t>Summary</t>
  </si>
  <si>
    <t>SRCH Results</t>
  </si>
  <si>
    <t>Number of securities: 1,825</t>
  </si>
  <si>
    <t>Currency: USD</t>
  </si>
  <si>
    <t>Created by  MAURICE HIRT ( SAID BUSINESS SCHOOL UNI OF OXFORD )  on  01/28/2026 16:52:20 GMT+0000 (GMT)</t>
  </si>
  <si>
    <t>SRCH Criteria</t>
  </si>
  <si>
    <t>Asset Classes: Municipals</t>
  </si>
  <si>
    <t>Sources: All Securities</t>
  </si>
  <si>
    <t xml:space="preserve">Security: </t>
  </si>
  <si>
    <t xml:space="preserve"> AND </t>
  </si>
  <si>
    <t>Security Status</t>
  </si>
  <si>
    <t>Include</t>
  </si>
  <si>
    <t>Municipals : All</t>
  </si>
  <si>
    <t>Green Instrument Indicator</t>
  </si>
  <si>
    <t>--</t>
  </si>
  <si>
    <t>True</t>
  </si>
  <si>
    <t>In the range</t>
  </si>
  <si>
    <t>01/01/2025 to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</si>
</sst>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">
    <xf numFmtId="0" fontId="0" fillId="0" borderId="0" xfId="0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26"/>
  <sheetViews>
    <sheetView tabSelected="1" workbookViewId="0">
      <selection activeCell="C11" sqref="C11"/>
    </sheetView>
  </sheetViews>
  <sheetFormatPr defaultRowHeight="15" x14ac:dyDescent="0.25"/>
  <cols>
    <col min="1" max="2" width="9.140625" bestFit="1" customWidth="1"/>
    <col min="3" max="3" width="75.28515625" customWidth="1"/>
    <col min="4" max="4" width="9.140625" bestFit="1" customWidth="1"/>
    <col min="5" max="5" width="11" bestFit="1" customWidth="1"/>
    <col min="6" max="20" width="9.140625" bestFit="1" customWidth="1"/>
  </cols>
  <sheetData>
    <row r="1" spans="1:2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B2" t="e">
        <f ca="1">BDP("237190AA Muni","STATE_CODE")</f>
        <v>#NAME?</v>
      </c>
      <c r="C2" t="s">
        <v>20</v>
      </c>
      <c r="D2" t="e">
        <f ca="1">BDP("237190AA Muni","YIELD_ON_ISSUE_DATE")</f>
        <v>#NAME?</v>
      </c>
      <c r="E2">
        <v>2145000</v>
      </c>
      <c r="F2" t="e">
        <f ca="1">BDP("237190AA Muni","ISSUE_DT")</f>
        <v>#NAME?</v>
      </c>
      <c r="G2" t="e">
        <f ca="1">BDP("237190AA Muni","MATURITY")</f>
        <v>#NAME?</v>
      </c>
      <c r="H2" t="e">
        <f ca="1">BDP("237190AA Muni","MUNI_TAX_PROV")</f>
        <v>#NAME?</v>
      </c>
      <c r="I2" t="e">
        <f ca="1">BDP("237190AA Muni","FINANCING_TYPE")</f>
        <v>#NAME?</v>
      </c>
      <c r="J2" t="e">
        <f ca="1">BDP("237190AA Muni","BICS_LEVEL_2_INDUSTRY_GROUP_NAME")</f>
        <v>#NAME?</v>
      </c>
      <c r="K2" t="e">
        <f ca="1">BDP("237190AA Muni","SELF_REPRTD_GREEN_INSTR_INDCTR")</f>
        <v>#NAME?</v>
      </c>
      <c r="L2" t="e">
        <f ca="1">BDP("237190AA Muni","GB_MANAGEMENT_PROCEEDS")</f>
        <v>#NAME?</v>
      </c>
      <c r="M2" t="e">
        <f ca="1">BDP("237190AA Muni","GB_REPORTING")</f>
        <v>#NAME?</v>
      </c>
      <c r="N2" t="e">
        <f ca="1">BDP("237190AA Muni","GB_ASSURANCE_PROVIDERS")</f>
        <v>#NAME?</v>
      </c>
      <c r="O2" t="e">
        <f ca="1">BDP("237190AA Muni","GB_PROJECT_SELECTION_PROCESS")</f>
        <v>#NAME?</v>
      </c>
      <c r="P2" t="e">
        <f ca="1">BDP("237190AA Muni","ESG_FRAMEWORK_INDICATOR")</f>
        <v>#NAME?</v>
      </c>
      <c r="Q2" t="e">
        <f ca="1">BDP("237190AA Muni","BLOOMBERG_SECTOR_CODE")</f>
        <v>#NAME?</v>
      </c>
      <c r="R2" t="e">
        <f ca="1">BDP("237190AA Muni","ISSUER_TYPE")</f>
        <v>#NAME?</v>
      </c>
      <c r="S2" t="e">
        <f ca="1">BDS("237190AA Muni","ESG_PROJECT_CATEGORY", "aggregate=y")</f>
        <v>#NAME?</v>
      </c>
      <c r="T2" t="e">
        <f ca="1">BDS("237190AA Muni","ESG_PROJECT_SUBCATEGORY", "aggregate=y")</f>
        <v>#NAME?</v>
      </c>
    </row>
    <row r="3" spans="1:20" x14ac:dyDescent="0.25">
      <c r="A3" t="e">
        <f ca="1">BDP("237190AC Muni","ID_CUSIP")</f>
        <v>#NAME?</v>
      </c>
      <c r="B3" t="e">
        <f ca="1">BDP("237190AC Muni","STATE_CODE")</f>
        <v>#NAME?</v>
      </c>
      <c r="C3" t="s">
        <v>20</v>
      </c>
      <c r="D3" t="e">
        <f ca="1">BDP("237190AC Muni","YIELD_ON_ISSUE_DATE")</f>
        <v>#NAME?</v>
      </c>
      <c r="E3">
        <v>755000</v>
      </c>
      <c r="F3" t="e">
        <f ca="1">BDP("237190AC Muni","ISSUE_DT")</f>
        <v>#NAME?</v>
      </c>
      <c r="G3" t="e">
        <f ca="1">BDP("237190AC Muni","MATURITY")</f>
        <v>#NAME?</v>
      </c>
      <c r="H3" t="e">
        <f ca="1">BDP("237190AC Muni","MUNI_TAX_PROV")</f>
        <v>#NAME?</v>
      </c>
      <c r="I3" t="e">
        <f ca="1">BDP("237190AC Muni","FINANCING_TYPE")</f>
        <v>#NAME?</v>
      </c>
      <c r="J3" t="e">
        <f ca="1">BDP("237190AC Muni","BICS_LEVEL_2_INDUSTRY_GROUP_NAME")</f>
        <v>#NAME?</v>
      </c>
      <c r="K3" t="e">
        <f ca="1">BDP("237190AC Muni","SELF_REPRTD_GREEN_INSTR_INDCTR")</f>
        <v>#NAME?</v>
      </c>
      <c r="L3" t="e">
        <f ca="1">BDP("237190AC Muni","GB_MANAGEMENT_PROCEEDS")</f>
        <v>#NAME?</v>
      </c>
      <c r="M3" t="e">
        <f ca="1">BDP("237190AC Muni","GB_REPORTING")</f>
        <v>#NAME?</v>
      </c>
      <c r="N3" t="e">
        <f ca="1">BDP("237190AC Muni","GB_ASSURANCE_PROVIDERS")</f>
        <v>#NAME?</v>
      </c>
      <c r="O3" t="e">
        <f ca="1">BDP("237190AC Muni","GB_PROJECT_SELECTION_PROCESS")</f>
        <v>#NAME?</v>
      </c>
      <c r="P3" t="e">
        <f ca="1">BDP("237190AC Muni","ESG_FRAMEWORK_INDICATOR")</f>
        <v>#NAME?</v>
      </c>
      <c r="Q3" t="e">
        <f ca="1">BDP("237190AC Muni","BLOOMBERG_SECTOR_CODE")</f>
        <v>#NAME?</v>
      </c>
      <c r="R3" t="e">
        <f ca="1">BDP("237190AC Muni","ISSUER_TYPE")</f>
        <v>#NAME?</v>
      </c>
      <c r="S3" t="e">
        <f ca="1">BDS("237190AC Muni","ESG_PROJECT_CATEGORY", "aggregate=y")</f>
        <v>#NAME?</v>
      </c>
      <c r="T3" t="e">
        <f ca="1">BDS("237190AC Muni","ESG_PROJECT_SUBCATEGORY", "aggregate=y")</f>
        <v>#NAME?</v>
      </c>
    </row>
    <row r="4" spans="1:20" x14ac:dyDescent="0.25">
      <c r="A4" t="e">
        <f ca="1">BDP("237190AD Muni","ID_CUSIP")</f>
        <v>#NAME?</v>
      </c>
      <c r="B4" t="e">
        <f ca="1">BDP("237190AD Muni","STATE_CODE")</f>
        <v>#NAME?</v>
      </c>
      <c r="C4" t="s">
        <v>20</v>
      </c>
      <c r="D4" t="e">
        <f ca="1">BDP("237190AD Muni","YIELD_ON_ISSUE_DATE")</f>
        <v>#NAME?</v>
      </c>
      <c r="E4">
        <v>815000</v>
      </c>
      <c r="F4" t="e">
        <f ca="1">BDP("237190AD Muni","ISSUE_DT")</f>
        <v>#NAME?</v>
      </c>
      <c r="G4" t="e">
        <f ca="1">BDP("237190AD Muni","MATURITY")</f>
        <v>#NAME?</v>
      </c>
      <c r="H4" t="e">
        <f ca="1">BDP("237190AD Muni","MUNI_TAX_PROV")</f>
        <v>#NAME?</v>
      </c>
      <c r="I4" t="e">
        <f ca="1">BDP("237190AD Muni","FINANCING_TYPE")</f>
        <v>#NAME?</v>
      </c>
      <c r="J4" t="e">
        <f ca="1">BDP("237190AD Muni","BICS_LEVEL_2_INDUSTRY_GROUP_NAME")</f>
        <v>#NAME?</v>
      </c>
      <c r="K4" t="e">
        <f ca="1">BDP("237190AD Muni","SELF_REPRTD_GREEN_INSTR_INDCTR")</f>
        <v>#NAME?</v>
      </c>
      <c r="L4" t="e">
        <f ca="1">BDP("237190AD Muni","GB_MANAGEMENT_PROCEEDS")</f>
        <v>#NAME?</v>
      </c>
      <c r="M4" t="e">
        <f ca="1">BDP("237190AD Muni","GB_REPORTING")</f>
        <v>#NAME?</v>
      </c>
      <c r="N4" t="e">
        <f ca="1">BDP("237190AD Muni","GB_ASSURANCE_PROVIDERS")</f>
        <v>#NAME?</v>
      </c>
      <c r="O4" t="e">
        <f ca="1">BDP("237190AD Muni","GB_PROJECT_SELECTION_PROCESS")</f>
        <v>#NAME?</v>
      </c>
      <c r="P4" t="e">
        <f ca="1">BDP("237190AD Muni","ESG_FRAMEWORK_INDICATOR")</f>
        <v>#NAME?</v>
      </c>
      <c r="Q4" t="e">
        <f ca="1">BDP("237190AD Muni","BLOOMBERG_SECTOR_CODE")</f>
        <v>#NAME?</v>
      </c>
      <c r="R4" t="e">
        <f ca="1">BDP("237190AD Muni","ISSUER_TYPE")</f>
        <v>#NAME?</v>
      </c>
      <c r="S4" t="e">
        <f ca="1">BDS("237190AD Muni","ESG_PROJECT_CATEGORY", "aggregate=y")</f>
        <v>#NAME?</v>
      </c>
      <c r="T4" t="e">
        <f ca="1">BDS("237190AD Muni","ESG_PROJECT_SUBCATEGORY", "aggregate=y")</f>
        <v>#NAME?</v>
      </c>
    </row>
    <row r="5" spans="1:20" x14ac:dyDescent="0.25">
      <c r="A5" t="e">
        <f ca="1">BDP("237190AE Muni","ID_CUSIP")</f>
        <v>#NAME?</v>
      </c>
      <c r="B5" t="e">
        <f ca="1">BDP("237190AE Muni","STATE_CODE")</f>
        <v>#NAME?</v>
      </c>
      <c r="C5" t="s">
        <v>20</v>
      </c>
      <c r="D5" t="e">
        <f ca="1">BDP("237190AE Muni","YIELD_ON_ISSUE_DATE")</f>
        <v>#NAME?</v>
      </c>
      <c r="E5">
        <v>1355000</v>
      </c>
      <c r="F5" t="e">
        <f ca="1">BDP("237190AE Muni","ISSUE_DT")</f>
        <v>#NAME?</v>
      </c>
      <c r="G5" t="e">
        <f ca="1">BDP("237190AE Muni","MATURITY")</f>
        <v>#NAME?</v>
      </c>
      <c r="H5" t="e">
        <f ca="1">BDP("237190AE Muni","MUNI_TAX_PROV")</f>
        <v>#NAME?</v>
      </c>
      <c r="I5" t="e">
        <f ca="1">BDP("237190AE Muni","FINANCING_TYPE")</f>
        <v>#NAME?</v>
      </c>
      <c r="J5" t="e">
        <f ca="1">BDP("237190AE Muni","BICS_LEVEL_2_INDUSTRY_GROUP_NAME")</f>
        <v>#NAME?</v>
      </c>
      <c r="K5" t="e">
        <f ca="1">BDP("237190AE Muni","SELF_REPRTD_GREEN_INSTR_INDCTR")</f>
        <v>#NAME?</v>
      </c>
      <c r="L5" t="e">
        <f ca="1">BDP("237190AE Muni","GB_MANAGEMENT_PROCEEDS")</f>
        <v>#NAME?</v>
      </c>
      <c r="M5" t="e">
        <f ca="1">BDP("237190AE Muni","GB_REPORTING")</f>
        <v>#NAME?</v>
      </c>
      <c r="N5" t="e">
        <f ca="1">BDP("237190AE Muni","GB_ASSURANCE_PROVIDERS")</f>
        <v>#NAME?</v>
      </c>
      <c r="O5" t="e">
        <f ca="1">BDP("237190AE Muni","GB_PROJECT_SELECTION_PROCESS")</f>
        <v>#NAME?</v>
      </c>
      <c r="P5" t="e">
        <f ca="1">BDP("237190AE Muni","ESG_FRAMEWORK_INDICATOR")</f>
        <v>#NAME?</v>
      </c>
      <c r="Q5" t="e">
        <f ca="1">BDP("237190AE Muni","BLOOMBERG_SECTOR_CODE")</f>
        <v>#NAME?</v>
      </c>
      <c r="R5" t="e">
        <f ca="1">BDP("237190AE Muni","ISSUER_TYPE")</f>
        <v>#NAME?</v>
      </c>
      <c r="S5" t="e">
        <f ca="1">BDS("237190AE Muni","ESG_PROJECT_CATEGORY", "aggregate=y")</f>
        <v>#NAME?</v>
      </c>
      <c r="T5" t="e">
        <f ca="1">BDS("237190AE Muni","ESG_PROJECT_SUBCATEGORY", "aggregate=y")</f>
        <v>#NAME?</v>
      </c>
    </row>
    <row r="6" spans="1:20" x14ac:dyDescent="0.25">
      <c r="A6" t="e">
        <f ca="1">BDP("237190AG Muni","ID_CUSIP")</f>
        <v>#NAME?</v>
      </c>
      <c r="B6" t="e">
        <f ca="1">BDP("237190AG Muni","STATE_CODE")</f>
        <v>#NAME?</v>
      </c>
      <c r="C6" t="s">
        <v>20</v>
      </c>
      <c r="D6" t="e">
        <f ca="1">BDP("237190AG Muni","YIELD_ON_ISSUE_DATE")</f>
        <v>#NAME?</v>
      </c>
      <c r="E6">
        <v>3410000</v>
      </c>
      <c r="F6" t="e">
        <f ca="1">BDP("237190AG Muni","ISSUE_DT")</f>
        <v>#NAME?</v>
      </c>
      <c r="G6" t="e">
        <f ca="1">BDP("237190AG Muni","MATURITY")</f>
        <v>#NAME?</v>
      </c>
      <c r="H6" t="e">
        <f ca="1">BDP("237190AG Muni","MUNI_TAX_PROV")</f>
        <v>#NAME?</v>
      </c>
      <c r="I6" t="e">
        <f ca="1">BDP("237190AG Muni","FINANCING_TYPE")</f>
        <v>#NAME?</v>
      </c>
      <c r="J6" t="e">
        <f ca="1">BDP("237190AG Muni","BICS_LEVEL_2_INDUSTRY_GROUP_NAME")</f>
        <v>#NAME?</v>
      </c>
      <c r="K6" t="e">
        <f ca="1">BDP("237190AG Muni","SELF_REPRTD_GREEN_INSTR_INDCTR")</f>
        <v>#NAME?</v>
      </c>
      <c r="L6" t="e">
        <f ca="1">BDP("237190AG Muni","GB_MANAGEMENT_PROCEEDS")</f>
        <v>#NAME?</v>
      </c>
      <c r="M6" t="e">
        <f ca="1">BDP("237190AG Muni","GB_REPORTING")</f>
        <v>#NAME?</v>
      </c>
      <c r="N6" t="e">
        <f ca="1">BDP("237190AG Muni","GB_ASSURANCE_PROVIDERS")</f>
        <v>#NAME?</v>
      </c>
      <c r="O6" t="e">
        <f ca="1">BDP("237190AG Muni","GB_PROJECT_SELECTION_PROCESS")</f>
        <v>#NAME?</v>
      </c>
      <c r="P6" t="e">
        <f ca="1">BDP("237190AG Muni","ESG_FRAMEWORK_INDICATOR")</f>
        <v>#NAME?</v>
      </c>
      <c r="Q6" t="e">
        <f ca="1">BDP("237190AG Muni","BLOOMBERG_SECTOR_CODE")</f>
        <v>#NAME?</v>
      </c>
      <c r="R6" t="e">
        <f ca="1">BDP("237190AG Muni","ISSUER_TYPE")</f>
        <v>#NAME?</v>
      </c>
      <c r="S6" t="e">
        <f ca="1">BDS("237190AG Muni","ESG_PROJECT_CATEGORY", "aggregate=y")</f>
        <v>#NAME?</v>
      </c>
      <c r="T6" t="e">
        <f ca="1">BDS("237190AG Muni","ESG_PROJECT_SUBCATEGORY", "aggregate=y")</f>
        <v>#NAME?</v>
      </c>
    </row>
    <row r="7" spans="1:20" x14ac:dyDescent="0.25">
      <c r="A7" t="e">
        <f ca="1">BDP("237190AH Muni","ID_CUSIP")</f>
        <v>#NAME?</v>
      </c>
      <c r="B7" t="e">
        <f ca="1">BDP("237190AH Muni","STATE_CODE")</f>
        <v>#NAME?</v>
      </c>
      <c r="C7" t="s">
        <v>20</v>
      </c>
      <c r="D7" t="e">
        <f ca="1">BDP("237190AH Muni","YIELD_ON_ISSUE_DATE")</f>
        <v>#NAME?</v>
      </c>
      <c r="E7">
        <v>4365000</v>
      </c>
      <c r="F7" t="e">
        <f ca="1">BDP("237190AH Muni","ISSUE_DT")</f>
        <v>#NAME?</v>
      </c>
      <c r="G7" t="e">
        <f ca="1">BDP("237190AH Muni","MATURITY")</f>
        <v>#NAME?</v>
      </c>
      <c r="H7" t="e">
        <f ca="1">BDP("237190AH Muni","MUNI_TAX_PROV")</f>
        <v>#NAME?</v>
      </c>
      <c r="I7" t="e">
        <f ca="1">BDP("237190AH Muni","FINANCING_TYPE")</f>
        <v>#NAME?</v>
      </c>
      <c r="J7" t="e">
        <f ca="1">BDP("237190AH Muni","BICS_LEVEL_2_INDUSTRY_GROUP_NAME")</f>
        <v>#NAME?</v>
      </c>
      <c r="K7" t="e">
        <f ca="1">BDP("237190AH Muni","SELF_REPRTD_GREEN_INSTR_INDCTR")</f>
        <v>#NAME?</v>
      </c>
      <c r="L7" t="e">
        <f ca="1">BDP("237190AH Muni","GB_MANAGEMENT_PROCEEDS")</f>
        <v>#NAME?</v>
      </c>
      <c r="M7" t="e">
        <f ca="1">BDP("237190AH Muni","GB_REPORTING")</f>
        <v>#NAME?</v>
      </c>
      <c r="N7" t="e">
        <f ca="1">BDP("237190AH Muni","GB_ASSURANCE_PROVIDERS")</f>
        <v>#NAME?</v>
      </c>
      <c r="O7" t="e">
        <f ca="1">BDP("237190AH Muni","GB_PROJECT_SELECTION_PROCESS")</f>
        <v>#NAME?</v>
      </c>
      <c r="P7" t="e">
        <f ca="1">BDP("237190AH Muni","ESG_FRAMEWORK_INDICATOR")</f>
        <v>#NAME?</v>
      </c>
      <c r="Q7" t="e">
        <f ca="1">BDP("237190AH Muni","BLOOMBERG_SECTOR_CODE")</f>
        <v>#NAME?</v>
      </c>
      <c r="R7" t="e">
        <f ca="1">BDP("237190AH Muni","ISSUER_TYPE")</f>
        <v>#NAME?</v>
      </c>
      <c r="S7" t="e">
        <f ca="1">BDS("237190AH Muni","ESG_PROJECT_CATEGORY", "aggregate=y")</f>
        <v>#NAME?</v>
      </c>
      <c r="T7" t="e">
        <f ca="1">BDS("237190AH Muni","ESG_PROJECT_SUBCATEGORY", "aggregate=y")</f>
        <v>#NAME?</v>
      </c>
    </row>
    <row r="8" spans="1:20" x14ac:dyDescent="0.25">
      <c r="A8" t="e">
        <f ca="1">BDP("441178DF Muni","ID_CUSIP")</f>
        <v>#NAME?</v>
      </c>
      <c r="B8" t="e">
        <f ca="1">BDP("441178DF Muni","STATE_CODE")</f>
        <v>#NAME?</v>
      </c>
      <c r="C8" t="s">
        <v>21</v>
      </c>
      <c r="D8" t="e">
        <f ca="1">BDP("441178DF Muni","YIELD_ON_ISSUE_DATE")</f>
        <v>#NAME?</v>
      </c>
      <c r="E8">
        <v>375000</v>
      </c>
      <c r="F8" t="e">
        <f ca="1">BDP("441178DF Muni","ISSUE_DT")</f>
        <v>#NAME?</v>
      </c>
      <c r="G8" t="e">
        <f ca="1">BDP("441178DF Muni","MATURITY")</f>
        <v>#NAME?</v>
      </c>
      <c r="H8" t="e">
        <f ca="1">BDP("441178DF Muni","MUNI_TAX_PROV")</f>
        <v>#NAME?</v>
      </c>
      <c r="I8" t="e">
        <f ca="1">BDP("441178DF Muni","FINANCING_TYPE")</f>
        <v>#NAME?</v>
      </c>
      <c r="J8" t="e">
        <f ca="1">BDP("441178DF Muni","BICS_LEVEL_2_INDUSTRY_GROUP_NAME")</f>
        <v>#NAME?</v>
      </c>
      <c r="K8" t="e">
        <f ca="1">BDP("441178DF Muni","SELF_REPRTD_GREEN_INSTR_INDCTR")</f>
        <v>#NAME?</v>
      </c>
      <c r="L8" t="e">
        <f ca="1">BDP("441178DF Muni","GB_MANAGEMENT_PROCEEDS")</f>
        <v>#NAME?</v>
      </c>
      <c r="M8" t="e">
        <f ca="1">BDP("441178DF Muni","GB_REPORTING")</f>
        <v>#NAME?</v>
      </c>
      <c r="N8" t="e">
        <f ca="1">BDP("441178DF Muni","GB_ASSURANCE_PROVIDERS")</f>
        <v>#NAME?</v>
      </c>
      <c r="O8" t="e">
        <f ca="1">BDP("441178DF Muni","GB_PROJECT_SELECTION_PROCESS")</f>
        <v>#NAME?</v>
      </c>
      <c r="P8" t="e">
        <f ca="1">BDP("441178DF Muni","ESG_FRAMEWORK_INDICATOR")</f>
        <v>#NAME?</v>
      </c>
      <c r="Q8" t="e">
        <f ca="1">BDP("441178DF Muni","BLOOMBERG_SECTOR_CODE")</f>
        <v>#NAME?</v>
      </c>
      <c r="R8" t="e">
        <f ca="1">BDP("441178DF Muni","ISSUER_TYPE")</f>
        <v>#NAME?</v>
      </c>
      <c r="S8" t="e">
        <f ca="1">BDS("441178DF Muni","ESG_PROJECT_CATEGORY", "aggregate=y")</f>
        <v>#NAME?</v>
      </c>
      <c r="T8" t="e">
        <f ca="1">BDS("441178DF Muni","ESG_PROJECT_SUBCATEGORY", "aggregate=y")</f>
        <v>#NAME?</v>
      </c>
    </row>
    <row r="9" spans="1:20" x14ac:dyDescent="0.25">
      <c r="A9" t="e">
        <f ca="1">BDP("441178DG Muni","ID_CUSIP")</f>
        <v>#NAME?</v>
      </c>
      <c r="B9" t="e">
        <f ca="1">BDP("441178DG Muni","STATE_CODE")</f>
        <v>#NAME?</v>
      </c>
      <c r="C9" t="s">
        <v>21</v>
      </c>
      <c r="D9" t="e">
        <f ca="1">BDP("441178DG Muni","YIELD_ON_ISSUE_DATE")</f>
        <v>#NAME?</v>
      </c>
      <c r="E9">
        <v>1150000</v>
      </c>
      <c r="F9" t="e">
        <f ca="1">BDP("441178DG Muni","ISSUE_DT")</f>
        <v>#NAME?</v>
      </c>
      <c r="G9" t="e">
        <f ca="1">BDP("441178DG Muni","MATURITY")</f>
        <v>#NAME?</v>
      </c>
      <c r="H9" t="e">
        <f ca="1">BDP("441178DG Muni","MUNI_TAX_PROV")</f>
        <v>#NAME?</v>
      </c>
      <c r="I9" t="e">
        <f ca="1">BDP("441178DG Muni","FINANCING_TYPE")</f>
        <v>#NAME?</v>
      </c>
      <c r="J9" t="e">
        <f ca="1">BDP("441178DG Muni","BICS_LEVEL_2_INDUSTRY_GROUP_NAME")</f>
        <v>#NAME?</v>
      </c>
      <c r="K9" t="e">
        <f ca="1">BDP("441178DG Muni","SELF_REPRTD_GREEN_INSTR_INDCTR")</f>
        <v>#NAME?</v>
      </c>
      <c r="L9" t="e">
        <f ca="1">BDP("441178DG Muni","GB_MANAGEMENT_PROCEEDS")</f>
        <v>#NAME?</v>
      </c>
      <c r="M9" t="e">
        <f ca="1">BDP("441178DG Muni","GB_REPORTING")</f>
        <v>#NAME?</v>
      </c>
      <c r="N9" t="e">
        <f ca="1">BDP("441178DG Muni","GB_ASSURANCE_PROVIDERS")</f>
        <v>#NAME?</v>
      </c>
      <c r="O9" t="e">
        <f ca="1">BDP("441178DG Muni","GB_PROJECT_SELECTION_PROCESS")</f>
        <v>#NAME?</v>
      </c>
      <c r="P9" t="e">
        <f ca="1">BDP("441178DG Muni","ESG_FRAMEWORK_INDICATOR")</f>
        <v>#NAME?</v>
      </c>
      <c r="Q9" t="e">
        <f ca="1">BDP("441178DG Muni","BLOOMBERG_SECTOR_CODE")</f>
        <v>#NAME?</v>
      </c>
      <c r="R9" t="e">
        <f ca="1">BDP("441178DG Muni","ISSUER_TYPE")</f>
        <v>#NAME?</v>
      </c>
      <c r="S9" t="e">
        <f ca="1">BDS("441178DG Muni","ESG_PROJECT_CATEGORY", "aggregate=y")</f>
        <v>#NAME?</v>
      </c>
      <c r="T9" t="e">
        <f ca="1">BDS("441178DG Muni","ESG_PROJECT_SUBCATEGORY", "aggregate=y")</f>
        <v>#NAME?</v>
      </c>
    </row>
    <row r="10" spans="1:20" x14ac:dyDescent="0.25">
      <c r="A10" t="e">
        <f ca="1">BDP("441178DJ Muni","ID_CUSIP")</f>
        <v>#NAME?</v>
      </c>
      <c r="B10" t="e">
        <f ca="1">BDP("441178DJ Muni","STATE_CODE")</f>
        <v>#NAME?</v>
      </c>
      <c r="C10" t="s">
        <v>21</v>
      </c>
      <c r="D10" t="e">
        <f ca="1">BDP("441178DJ Muni","YIELD_ON_ISSUE_DATE")</f>
        <v>#NAME?</v>
      </c>
      <c r="E10">
        <v>1265000</v>
      </c>
      <c r="F10" t="e">
        <f ca="1">BDP("441178DJ Muni","ISSUE_DT")</f>
        <v>#NAME?</v>
      </c>
      <c r="G10" t="e">
        <f ca="1">BDP("441178DJ Muni","MATURITY")</f>
        <v>#NAME?</v>
      </c>
      <c r="H10" t="e">
        <f ca="1">BDP("441178DJ Muni","MUNI_TAX_PROV")</f>
        <v>#NAME?</v>
      </c>
      <c r="I10" t="e">
        <f ca="1">BDP("441178DJ Muni","FINANCING_TYPE")</f>
        <v>#NAME?</v>
      </c>
      <c r="J10" t="e">
        <f ca="1">BDP("441178DJ Muni","BICS_LEVEL_2_INDUSTRY_GROUP_NAME")</f>
        <v>#NAME?</v>
      </c>
      <c r="K10" t="e">
        <f ca="1">BDP("441178DJ Muni","SELF_REPRTD_GREEN_INSTR_INDCTR")</f>
        <v>#NAME?</v>
      </c>
      <c r="L10" t="e">
        <f ca="1">BDP("441178DJ Muni","GB_MANAGEMENT_PROCEEDS")</f>
        <v>#NAME?</v>
      </c>
      <c r="M10" t="e">
        <f ca="1">BDP("441178DJ Muni","GB_REPORTING")</f>
        <v>#NAME?</v>
      </c>
      <c r="N10" t="e">
        <f ca="1">BDP("441178DJ Muni","GB_ASSURANCE_PROVIDERS")</f>
        <v>#NAME?</v>
      </c>
      <c r="O10" t="e">
        <f ca="1">BDP("441178DJ Muni","GB_PROJECT_SELECTION_PROCESS")</f>
        <v>#NAME?</v>
      </c>
      <c r="P10" t="e">
        <f ca="1">BDP("441178DJ Muni","ESG_FRAMEWORK_INDICATOR")</f>
        <v>#NAME?</v>
      </c>
      <c r="Q10" t="e">
        <f ca="1">BDP("441178DJ Muni","BLOOMBERG_SECTOR_CODE")</f>
        <v>#NAME?</v>
      </c>
      <c r="R10" t="e">
        <f ca="1">BDP("441178DJ Muni","ISSUER_TYPE")</f>
        <v>#NAME?</v>
      </c>
      <c r="S10" t="e">
        <f ca="1">BDS("441178DJ Muni","ESG_PROJECT_CATEGORY", "aggregate=y")</f>
        <v>#NAME?</v>
      </c>
      <c r="T10" t="e">
        <f ca="1">BDS("441178DJ Muni","ESG_PROJECT_SUBCATEGORY", "aggregate=y")</f>
        <v>#NAME?</v>
      </c>
    </row>
    <row r="11" spans="1:20" x14ac:dyDescent="0.25">
      <c r="A11" t="e">
        <f ca="1">BDP("441178DK Muni","ID_CUSIP")</f>
        <v>#NAME?</v>
      </c>
      <c r="B11" t="e">
        <f ca="1">BDP("441178DK Muni","STATE_CODE")</f>
        <v>#NAME?</v>
      </c>
      <c r="C11" t="s">
        <v>21</v>
      </c>
      <c r="D11" t="e">
        <f ca="1">BDP("441178DK Muni","YIELD_ON_ISSUE_DATE")</f>
        <v>#NAME?</v>
      </c>
      <c r="E11">
        <v>1325000</v>
      </c>
      <c r="F11" t="e">
        <f ca="1">BDP("441178DK Muni","ISSUE_DT")</f>
        <v>#NAME?</v>
      </c>
      <c r="G11" t="e">
        <f ca="1">BDP("441178DK Muni","MATURITY")</f>
        <v>#NAME?</v>
      </c>
      <c r="H11" t="e">
        <f ca="1">BDP("441178DK Muni","MUNI_TAX_PROV")</f>
        <v>#NAME?</v>
      </c>
      <c r="I11" t="e">
        <f ca="1">BDP("441178DK Muni","FINANCING_TYPE")</f>
        <v>#NAME?</v>
      </c>
      <c r="J11" t="e">
        <f ca="1">BDP("441178DK Muni","BICS_LEVEL_2_INDUSTRY_GROUP_NAME")</f>
        <v>#NAME?</v>
      </c>
      <c r="K11" t="e">
        <f ca="1">BDP("441178DK Muni","SELF_REPRTD_GREEN_INSTR_INDCTR")</f>
        <v>#NAME?</v>
      </c>
      <c r="L11" t="e">
        <f ca="1">BDP("441178DK Muni","GB_MANAGEMENT_PROCEEDS")</f>
        <v>#NAME?</v>
      </c>
      <c r="M11" t="e">
        <f ca="1">BDP("441178DK Muni","GB_REPORTING")</f>
        <v>#NAME?</v>
      </c>
      <c r="N11" t="e">
        <f ca="1">BDP("441178DK Muni","GB_ASSURANCE_PROVIDERS")</f>
        <v>#NAME?</v>
      </c>
      <c r="O11" t="e">
        <f ca="1">BDP("441178DK Muni","GB_PROJECT_SELECTION_PROCESS")</f>
        <v>#NAME?</v>
      </c>
      <c r="P11" t="e">
        <f ca="1">BDP("441178DK Muni","ESG_FRAMEWORK_INDICATOR")</f>
        <v>#NAME?</v>
      </c>
      <c r="Q11" t="e">
        <f ca="1">BDP("441178DK Muni","BLOOMBERG_SECTOR_CODE")</f>
        <v>#NAME?</v>
      </c>
      <c r="R11" t="e">
        <f ca="1">BDP("441178DK Muni","ISSUER_TYPE")</f>
        <v>#NAME?</v>
      </c>
      <c r="S11" t="e">
        <f ca="1">BDS("441178DK Muni","ESG_PROJECT_CATEGORY", "aggregate=y")</f>
        <v>#NAME?</v>
      </c>
      <c r="T11" t="e">
        <f ca="1">BDS("441178DK Muni","ESG_PROJECT_SUBCATEGORY", "aggregate=y")</f>
        <v>#NAME?</v>
      </c>
    </row>
    <row r="12" spans="1:20" x14ac:dyDescent="0.25">
      <c r="A12" t="e">
        <f ca="1">BDP("441178DL Muni","ID_CUSIP")</f>
        <v>#NAME?</v>
      </c>
      <c r="B12" t="e">
        <f ca="1">BDP("441178DL Muni","STATE_CODE")</f>
        <v>#NAME?</v>
      </c>
      <c r="C12" t="s">
        <v>21</v>
      </c>
      <c r="D12" t="e">
        <f ca="1">BDP("441178DL Muni","YIELD_ON_ISSUE_DATE")</f>
        <v>#NAME?</v>
      </c>
      <c r="E12">
        <v>1395000</v>
      </c>
      <c r="F12" t="e">
        <f ca="1">BDP("441178DL Muni","ISSUE_DT")</f>
        <v>#NAME?</v>
      </c>
      <c r="G12" t="e">
        <f ca="1">BDP("441178DL Muni","MATURITY")</f>
        <v>#NAME?</v>
      </c>
      <c r="H12" t="e">
        <f ca="1">BDP("441178DL Muni","MUNI_TAX_PROV")</f>
        <v>#NAME?</v>
      </c>
      <c r="I12" t="e">
        <f ca="1">BDP("441178DL Muni","FINANCING_TYPE")</f>
        <v>#NAME?</v>
      </c>
      <c r="J12" t="e">
        <f ca="1">BDP("441178DL Muni","BICS_LEVEL_2_INDUSTRY_GROUP_NAME")</f>
        <v>#NAME?</v>
      </c>
      <c r="K12" t="e">
        <f ca="1">BDP("441178DL Muni","SELF_REPRTD_GREEN_INSTR_INDCTR")</f>
        <v>#NAME?</v>
      </c>
      <c r="L12" t="e">
        <f ca="1">BDP("441178DL Muni","GB_MANAGEMENT_PROCEEDS")</f>
        <v>#NAME?</v>
      </c>
      <c r="M12" t="e">
        <f ca="1">BDP("441178DL Muni","GB_REPORTING")</f>
        <v>#NAME?</v>
      </c>
      <c r="N12" t="e">
        <f ca="1">BDP("441178DL Muni","GB_ASSURANCE_PROVIDERS")</f>
        <v>#NAME?</v>
      </c>
      <c r="O12" t="e">
        <f ca="1">BDP("441178DL Muni","GB_PROJECT_SELECTION_PROCESS")</f>
        <v>#NAME?</v>
      </c>
      <c r="P12" t="e">
        <f ca="1">BDP("441178DL Muni","ESG_FRAMEWORK_INDICATOR")</f>
        <v>#NAME?</v>
      </c>
      <c r="Q12" t="e">
        <f ca="1">BDP("441178DL Muni","BLOOMBERG_SECTOR_CODE")</f>
        <v>#NAME?</v>
      </c>
      <c r="R12" t="e">
        <f ca="1">BDP("441178DL Muni","ISSUER_TYPE")</f>
        <v>#NAME?</v>
      </c>
      <c r="S12" t="e">
        <f ca="1">BDS("441178DL Muni","ESG_PROJECT_CATEGORY", "aggregate=y")</f>
        <v>#NAME?</v>
      </c>
      <c r="T12" t="e">
        <f ca="1">BDS("441178DL Muni","ESG_PROJECT_SUBCATEGORY", "aggregate=y")</f>
        <v>#NAME?</v>
      </c>
    </row>
    <row r="13" spans="1:20" x14ac:dyDescent="0.25">
      <c r="A13" t="e">
        <f ca="1">BDP("441178DM Muni","ID_CUSIP")</f>
        <v>#NAME?</v>
      </c>
      <c r="B13" t="e">
        <f ca="1">BDP("441178DM Muni","STATE_CODE")</f>
        <v>#NAME?</v>
      </c>
      <c r="C13" t="s">
        <v>21</v>
      </c>
      <c r="D13" t="e">
        <f ca="1">BDP("441178DM Muni","YIELD_ON_ISSUE_DATE")</f>
        <v>#NAME?</v>
      </c>
      <c r="E13">
        <v>1465000</v>
      </c>
      <c r="F13" t="e">
        <f ca="1">BDP("441178DM Muni","ISSUE_DT")</f>
        <v>#NAME?</v>
      </c>
      <c r="G13" t="e">
        <f ca="1">BDP("441178DM Muni","MATURITY")</f>
        <v>#NAME?</v>
      </c>
      <c r="H13" t="e">
        <f ca="1">BDP("441178DM Muni","MUNI_TAX_PROV")</f>
        <v>#NAME?</v>
      </c>
      <c r="I13" t="e">
        <f ca="1">BDP("441178DM Muni","FINANCING_TYPE")</f>
        <v>#NAME?</v>
      </c>
      <c r="J13" t="e">
        <f ca="1">BDP("441178DM Muni","BICS_LEVEL_2_INDUSTRY_GROUP_NAME")</f>
        <v>#NAME?</v>
      </c>
      <c r="K13" t="e">
        <f ca="1">BDP("441178DM Muni","SELF_REPRTD_GREEN_INSTR_INDCTR")</f>
        <v>#NAME?</v>
      </c>
      <c r="L13" t="e">
        <f ca="1">BDP("441178DM Muni","GB_MANAGEMENT_PROCEEDS")</f>
        <v>#NAME?</v>
      </c>
      <c r="M13" t="e">
        <f ca="1">BDP("441178DM Muni","GB_REPORTING")</f>
        <v>#NAME?</v>
      </c>
      <c r="N13" t="e">
        <f ca="1">BDP("441178DM Muni","GB_ASSURANCE_PROVIDERS")</f>
        <v>#NAME?</v>
      </c>
      <c r="O13" t="e">
        <f ca="1">BDP("441178DM Muni","GB_PROJECT_SELECTION_PROCESS")</f>
        <v>#NAME?</v>
      </c>
      <c r="P13" t="e">
        <f ca="1">BDP("441178DM Muni","ESG_FRAMEWORK_INDICATOR")</f>
        <v>#NAME?</v>
      </c>
      <c r="Q13" t="e">
        <f ca="1">BDP("441178DM Muni","BLOOMBERG_SECTOR_CODE")</f>
        <v>#NAME?</v>
      </c>
      <c r="R13" t="e">
        <f ca="1">BDP("441178DM Muni","ISSUER_TYPE")</f>
        <v>#NAME?</v>
      </c>
      <c r="S13" t="e">
        <f ca="1">BDS("441178DM Muni","ESG_PROJECT_CATEGORY", "aggregate=y")</f>
        <v>#NAME?</v>
      </c>
      <c r="T13" t="e">
        <f ca="1">BDS("441178DM Muni","ESG_PROJECT_SUBCATEGORY", "aggregate=y")</f>
        <v>#NAME?</v>
      </c>
    </row>
    <row r="14" spans="1:20" x14ac:dyDescent="0.25">
      <c r="A14" t="e">
        <f ca="1">BDP("441178DQ Muni","ID_CUSIP")</f>
        <v>#NAME?</v>
      </c>
      <c r="B14" t="e">
        <f ca="1">BDP("441178DQ Muni","STATE_CODE")</f>
        <v>#NAME?</v>
      </c>
      <c r="C14" t="s">
        <v>21</v>
      </c>
      <c r="D14" t="e">
        <f ca="1">BDP("441178DQ Muni","YIELD_ON_ISSUE_DATE")</f>
        <v>#NAME?</v>
      </c>
      <c r="E14">
        <v>3910000</v>
      </c>
      <c r="F14" t="e">
        <f ca="1">BDP("441178DQ Muni","ISSUE_DT")</f>
        <v>#NAME?</v>
      </c>
      <c r="G14" t="e">
        <f ca="1">BDP("441178DQ Muni","MATURITY")</f>
        <v>#NAME?</v>
      </c>
      <c r="H14" t="e">
        <f ca="1">BDP("441178DQ Muni","MUNI_TAX_PROV")</f>
        <v>#NAME?</v>
      </c>
      <c r="I14" t="e">
        <f ca="1">BDP("441178DQ Muni","FINANCING_TYPE")</f>
        <v>#NAME?</v>
      </c>
      <c r="J14" t="e">
        <f ca="1">BDP("441178DQ Muni","BICS_LEVEL_2_INDUSTRY_GROUP_NAME")</f>
        <v>#NAME?</v>
      </c>
      <c r="K14" t="e">
        <f ca="1">BDP("441178DQ Muni","SELF_REPRTD_GREEN_INSTR_INDCTR")</f>
        <v>#NAME?</v>
      </c>
      <c r="L14" t="e">
        <f ca="1">BDP("441178DQ Muni","GB_MANAGEMENT_PROCEEDS")</f>
        <v>#NAME?</v>
      </c>
      <c r="M14" t="e">
        <f ca="1">BDP("441178DQ Muni","GB_REPORTING")</f>
        <v>#NAME?</v>
      </c>
      <c r="N14" t="e">
        <f ca="1">BDP("441178DQ Muni","GB_ASSURANCE_PROVIDERS")</f>
        <v>#NAME?</v>
      </c>
      <c r="O14" t="e">
        <f ca="1">BDP("441178DQ Muni","GB_PROJECT_SELECTION_PROCESS")</f>
        <v>#NAME?</v>
      </c>
      <c r="P14" t="e">
        <f ca="1">BDP("441178DQ Muni","ESG_FRAMEWORK_INDICATOR")</f>
        <v>#NAME?</v>
      </c>
      <c r="Q14" t="e">
        <f ca="1">BDP("441178DQ Muni","BLOOMBERG_SECTOR_CODE")</f>
        <v>#NAME?</v>
      </c>
      <c r="R14" t="e">
        <f ca="1">BDP("441178DQ Muni","ISSUER_TYPE")</f>
        <v>#NAME?</v>
      </c>
      <c r="S14" t="e">
        <f ca="1">BDS("441178DQ Muni","ESG_PROJECT_CATEGORY", "aggregate=y")</f>
        <v>#NAME?</v>
      </c>
      <c r="T14" t="e">
        <f ca="1">BDS("441178DQ Muni","ESG_PROJECT_SUBCATEGORY", "aggregate=y")</f>
        <v>#NAME?</v>
      </c>
    </row>
    <row r="15" spans="1:20" x14ac:dyDescent="0.25">
      <c r="A15" t="e">
        <f ca="1">BDP("441178DU Muni","ID_CUSIP")</f>
        <v>#NAME?</v>
      </c>
      <c r="B15" t="e">
        <f ca="1">BDP("441178DU Muni","STATE_CODE")</f>
        <v>#NAME?</v>
      </c>
      <c r="C15" t="s">
        <v>21</v>
      </c>
      <c r="D15" t="e">
        <f ca="1">BDP("441178DU Muni","YIELD_ON_ISSUE_DATE")</f>
        <v>#NAME?</v>
      </c>
      <c r="E15">
        <v>18245000</v>
      </c>
      <c r="F15" t="e">
        <f ca="1">BDP("441178DU Muni","ISSUE_DT")</f>
        <v>#NAME?</v>
      </c>
      <c r="G15" t="e">
        <f ca="1">BDP("441178DU Muni","MATURITY")</f>
        <v>#NAME?</v>
      </c>
      <c r="H15" t="e">
        <f ca="1">BDP("441178DU Muni","MUNI_TAX_PROV")</f>
        <v>#NAME?</v>
      </c>
      <c r="I15" t="e">
        <f ca="1">BDP("441178DU Muni","FINANCING_TYPE")</f>
        <v>#NAME?</v>
      </c>
      <c r="J15" t="e">
        <f ca="1">BDP("441178DU Muni","BICS_LEVEL_2_INDUSTRY_GROUP_NAME")</f>
        <v>#NAME?</v>
      </c>
      <c r="K15" t="e">
        <f ca="1">BDP("441178DU Muni","SELF_REPRTD_GREEN_INSTR_INDCTR")</f>
        <v>#NAME?</v>
      </c>
      <c r="L15" t="e">
        <f ca="1">BDP("441178DU Muni","GB_MANAGEMENT_PROCEEDS")</f>
        <v>#NAME?</v>
      </c>
      <c r="M15" t="e">
        <f ca="1">BDP("441178DU Muni","GB_REPORTING")</f>
        <v>#NAME?</v>
      </c>
      <c r="N15" t="e">
        <f ca="1">BDP("441178DU Muni","GB_ASSURANCE_PROVIDERS")</f>
        <v>#NAME?</v>
      </c>
      <c r="O15" t="e">
        <f ca="1">BDP("441178DU Muni","GB_PROJECT_SELECTION_PROCESS")</f>
        <v>#NAME?</v>
      </c>
      <c r="P15" t="e">
        <f ca="1">BDP("441178DU Muni","ESG_FRAMEWORK_INDICATOR")</f>
        <v>#NAME?</v>
      </c>
      <c r="Q15" t="e">
        <f ca="1">BDP("441178DU Muni","BLOOMBERG_SECTOR_CODE")</f>
        <v>#NAME?</v>
      </c>
      <c r="R15" t="e">
        <f ca="1">BDP("441178DU Muni","ISSUER_TYPE")</f>
        <v>#NAME?</v>
      </c>
      <c r="S15" t="e">
        <f ca="1">BDS("441178DU Muni","ESG_PROJECT_CATEGORY", "aggregate=y")</f>
        <v>#NAME?</v>
      </c>
      <c r="T15" t="e">
        <f ca="1">BDS("441178DU Muni","ESG_PROJECT_SUBCATEGORY", "aggregate=y")</f>
        <v>#NAME?</v>
      </c>
    </row>
    <row r="16" spans="1:20" x14ac:dyDescent="0.25">
      <c r="A16" t="e">
        <f ca="1">BDP("441178DT Muni","ID_CUSIP")</f>
        <v>#NAME?</v>
      </c>
      <c r="B16" t="e">
        <f ca="1">BDP("441178DT Muni","STATE_CODE")</f>
        <v>#NAME?</v>
      </c>
      <c r="C16" t="s">
        <v>21</v>
      </c>
      <c r="D16" t="e">
        <f ca="1">BDP("441178DT Muni","YIELD_ON_ISSUE_DATE")</f>
        <v>#NAME?</v>
      </c>
      <c r="E16">
        <v>14695000</v>
      </c>
      <c r="F16" t="e">
        <f ca="1">BDP("441178DT Muni","ISSUE_DT")</f>
        <v>#NAME?</v>
      </c>
      <c r="G16" t="e">
        <f ca="1">BDP("441178DT Muni","MATURITY")</f>
        <v>#NAME?</v>
      </c>
      <c r="H16" t="e">
        <f ca="1">BDP("441178DT Muni","MUNI_TAX_PROV")</f>
        <v>#NAME?</v>
      </c>
      <c r="I16" t="e">
        <f ca="1">BDP("441178DT Muni","FINANCING_TYPE")</f>
        <v>#NAME?</v>
      </c>
      <c r="J16" t="e">
        <f ca="1">BDP("441178DT Muni","BICS_LEVEL_2_INDUSTRY_GROUP_NAME")</f>
        <v>#NAME?</v>
      </c>
      <c r="K16" t="e">
        <f ca="1">BDP("441178DT Muni","SELF_REPRTD_GREEN_INSTR_INDCTR")</f>
        <v>#NAME?</v>
      </c>
      <c r="L16" t="e">
        <f ca="1">BDP("441178DT Muni","GB_MANAGEMENT_PROCEEDS")</f>
        <v>#NAME?</v>
      </c>
      <c r="M16" t="e">
        <f ca="1">BDP("441178DT Muni","GB_REPORTING")</f>
        <v>#NAME?</v>
      </c>
      <c r="N16" t="e">
        <f ca="1">BDP("441178DT Muni","GB_ASSURANCE_PROVIDERS")</f>
        <v>#NAME?</v>
      </c>
      <c r="O16" t="e">
        <f ca="1">BDP("441178DT Muni","GB_PROJECT_SELECTION_PROCESS")</f>
        <v>#NAME?</v>
      </c>
      <c r="P16" t="e">
        <f ca="1">BDP("441178DT Muni","ESG_FRAMEWORK_INDICATOR")</f>
        <v>#NAME?</v>
      </c>
      <c r="Q16" t="e">
        <f ca="1">BDP("441178DT Muni","BLOOMBERG_SECTOR_CODE")</f>
        <v>#NAME?</v>
      </c>
      <c r="R16" t="e">
        <f ca="1">BDP("441178DT Muni","ISSUER_TYPE")</f>
        <v>#NAME?</v>
      </c>
      <c r="S16" t="e">
        <f ca="1">BDS("441178DT Muni","ESG_PROJECT_CATEGORY", "aggregate=y")</f>
        <v>#NAME?</v>
      </c>
      <c r="T16" t="e">
        <f ca="1">BDS("441178DT Muni","ESG_PROJECT_SUBCATEGORY", "aggregate=y")</f>
        <v>#NAME?</v>
      </c>
    </row>
    <row r="17" spans="1:20" x14ac:dyDescent="0.25">
      <c r="A17" t="e">
        <f ca="1">BDP("04108KU9 Muni","ID_CUSIP")</f>
        <v>#NAME?</v>
      </c>
      <c r="B17" t="e">
        <f ca="1">BDP("04108KU9 Muni","STATE_CODE")</f>
        <v>#NAME?</v>
      </c>
      <c r="C17" t="s">
        <v>22</v>
      </c>
      <c r="D17" t="e">
        <f ca="1">BDP("04108KU9 Muni","YIELD_ON_ISSUE_DATE")</f>
        <v>#NAME?</v>
      </c>
      <c r="E17">
        <v>2060000</v>
      </c>
      <c r="F17" t="e">
        <f ca="1">BDP("04108KU9 Muni","ISSUE_DT")</f>
        <v>#NAME?</v>
      </c>
      <c r="G17" t="e">
        <f ca="1">BDP("04108KU9 Muni","MATURITY")</f>
        <v>#NAME?</v>
      </c>
      <c r="H17" t="e">
        <f ca="1">BDP("04108KU9 Muni","MUNI_TAX_PROV")</f>
        <v>#NAME?</v>
      </c>
      <c r="I17" t="e">
        <f ca="1">BDP("04108KU9 Muni","FINANCING_TYPE")</f>
        <v>#NAME?</v>
      </c>
      <c r="J17" t="e">
        <f ca="1">BDP("04108KU9 Muni","BICS_LEVEL_2_INDUSTRY_GROUP_NAME")</f>
        <v>#NAME?</v>
      </c>
      <c r="K17" t="e">
        <f ca="1">BDP("04108KU9 Muni","SELF_REPRTD_GREEN_INSTR_INDCTR")</f>
        <v>#NAME?</v>
      </c>
      <c r="L17" t="e">
        <f ca="1">BDP("04108KU9 Muni","GB_MANAGEMENT_PROCEEDS")</f>
        <v>#NAME?</v>
      </c>
      <c r="M17" t="e">
        <f ca="1">BDP("04108KU9 Muni","GB_REPORTING")</f>
        <v>#NAME?</v>
      </c>
      <c r="N17" t="e">
        <f ca="1">BDP("04108KU9 Muni","GB_ASSURANCE_PROVIDERS")</f>
        <v>#NAME?</v>
      </c>
      <c r="O17" t="e">
        <f ca="1">BDP("04108KU9 Muni","GB_PROJECT_SELECTION_PROCESS")</f>
        <v>#NAME?</v>
      </c>
      <c r="P17" t="e">
        <f ca="1">BDP("04108KU9 Muni","ESG_FRAMEWORK_INDICATOR")</f>
        <v>#NAME?</v>
      </c>
      <c r="Q17" t="e">
        <f ca="1">BDP("04108KU9 Muni","BLOOMBERG_SECTOR_CODE")</f>
        <v>#NAME?</v>
      </c>
      <c r="R17" t="e">
        <f ca="1">BDP("04108KU9 Muni","ISSUER_TYPE")</f>
        <v>#NAME?</v>
      </c>
      <c r="S17" t="e">
        <f ca="1">BDS("04108KU9 Muni","ESG_PROJECT_CATEGORY", "aggregate=y")</f>
        <v>#NAME?</v>
      </c>
      <c r="T17" t="e">
        <f ca="1">BDS("04108KU9 Muni","ESG_PROJECT_SUBCATEGORY", "aggregate=y")</f>
        <v>#NAME?</v>
      </c>
    </row>
    <row r="18" spans="1:20" x14ac:dyDescent="0.25">
      <c r="A18" t="e">
        <f ca="1">BDP("04108KW4 Muni","ID_CUSIP")</f>
        <v>#NAME?</v>
      </c>
      <c r="B18" t="e">
        <f ca="1">BDP("04108KW4 Muni","STATE_CODE")</f>
        <v>#NAME?</v>
      </c>
      <c r="C18" t="s">
        <v>22</v>
      </c>
      <c r="D18" t="e">
        <f ca="1">BDP("04108KW4 Muni","YIELD_ON_ISSUE_DATE")</f>
        <v>#NAME?</v>
      </c>
      <c r="E18">
        <v>3530000</v>
      </c>
      <c r="F18" t="e">
        <f ca="1">BDP("04108KW4 Muni","ISSUE_DT")</f>
        <v>#NAME?</v>
      </c>
      <c r="G18" t="e">
        <f ca="1">BDP("04108KW4 Muni","MATURITY")</f>
        <v>#NAME?</v>
      </c>
      <c r="H18" t="e">
        <f ca="1">BDP("04108KW4 Muni","MUNI_TAX_PROV")</f>
        <v>#NAME?</v>
      </c>
      <c r="I18" t="e">
        <f ca="1">BDP("04108KW4 Muni","FINANCING_TYPE")</f>
        <v>#NAME?</v>
      </c>
      <c r="J18" t="e">
        <f ca="1">BDP("04108KW4 Muni","BICS_LEVEL_2_INDUSTRY_GROUP_NAME")</f>
        <v>#NAME?</v>
      </c>
      <c r="K18" t="e">
        <f ca="1">BDP("04108KW4 Muni","SELF_REPRTD_GREEN_INSTR_INDCTR")</f>
        <v>#NAME?</v>
      </c>
      <c r="L18" t="e">
        <f ca="1">BDP("04108KW4 Muni","GB_MANAGEMENT_PROCEEDS")</f>
        <v>#NAME?</v>
      </c>
      <c r="M18" t="e">
        <f ca="1">BDP("04108KW4 Muni","GB_REPORTING")</f>
        <v>#NAME?</v>
      </c>
      <c r="N18" t="e">
        <f ca="1">BDP("04108KW4 Muni","GB_ASSURANCE_PROVIDERS")</f>
        <v>#NAME?</v>
      </c>
      <c r="O18" t="e">
        <f ca="1">BDP("04108KW4 Muni","GB_PROJECT_SELECTION_PROCESS")</f>
        <v>#NAME?</v>
      </c>
      <c r="P18" t="e">
        <f ca="1">BDP("04108KW4 Muni","ESG_FRAMEWORK_INDICATOR")</f>
        <v>#NAME?</v>
      </c>
      <c r="Q18" t="e">
        <f ca="1">BDP("04108KW4 Muni","BLOOMBERG_SECTOR_CODE")</f>
        <v>#NAME?</v>
      </c>
      <c r="R18" t="e">
        <f ca="1">BDP("04108KW4 Muni","ISSUER_TYPE")</f>
        <v>#NAME?</v>
      </c>
      <c r="S18" t="e">
        <f ca="1">BDS("04108KW4 Muni","ESG_PROJECT_CATEGORY", "aggregate=y")</f>
        <v>#NAME?</v>
      </c>
      <c r="T18" t="e">
        <f ca="1">BDS("04108KW4 Muni","ESG_PROJECT_SUBCATEGORY", "aggregate=y")</f>
        <v>#NAME?</v>
      </c>
    </row>
    <row r="19" spans="1:20" x14ac:dyDescent="0.25">
      <c r="A19" t="e">
        <f ca="1">BDP("04108KW3 Muni","ID_CUSIP")</f>
        <v>#NAME?</v>
      </c>
      <c r="B19" t="e">
        <f ca="1">BDP("04108KW3 Muni","STATE_CODE")</f>
        <v>#NAME?</v>
      </c>
      <c r="C19" t="s">
        <v>22</v>
      </c>
      <c r="D19" t="e">
        <f ca="1">BDP("04108KW3 Muni","YIELD_ON_ISSUE_DATE")</f>
        <v>#NAME?</v>
      </c>
      <c r="E19">
        <v>3360000</v>
      </c>
      <c r="F19" t="e">
        <f ca="1">BDP("04108KW3 Muni","ISSUE_DT")</f>
        <v>#NAME?</v>
      </c>
      <c r="G19" t="e">
        <f ca="1">BDP("04108KW3 Muni","MATURITY")</f>
        <v>#NAME?</v>
      </c>
      <c r="H19" t="e">
        <f ca="1">BDP("04108KW3 Muni","MUNI_TAX_PROV")</f>
        <v>#NAME?</v>
      </c>
      <c r="I19" t="e">
        <f ca="1">BDP("04108KW3 Muni","FINANCING_TYPE")</f>
        <v>#NAME?</v>
      </c>
      <c r="J19" t="e">
        <f ca="1">BDP("04108KW3 Muni","BICS_LEVEL_2_INDUSTRY_GROUP_NAME")</f>
        <v>#NAME?</v>
      </c>
      <c r="K19" t="e">
        <f ca="1">BDP("04108KW3 Muni","SELF_REPRTD_GREEN_INSTR_INDCTR")</f>
        <v>#NAME?</v>
      </c>
      <c r="L19" t="e">
        <f ca="1">BDP("04108KW3 Muni","GB_MANAGEMENT_PROCEEDS")</f>
        <v>#NAME?</v>
      </c>
      <c r="M19" t="e">
        <f ca="1">BDP("04108KW3 Muni","GB_REPORTING")</f>
        <v>#NAME?</v>
      </c>
      <c r="N19" t="e">
        <f ca="1">BDP("04108KW3 Muni","GB_ASSURANCE_PROVIDERS")</f>
        <v>#NAME?</v>
      </c>
      <c r="O19" t="e">
        <f ca="1">BDP("04108KW3 Muni","GB_PROJECT_SELECTION_PROCESS")</f>
        <v>#NAME?</v>
      </c>
      <c r="P19" t="e">
        <f ca="1">BDP("04108KW3 Muni","ESG_FRAMEWORK_INDICATOR")</f>
        <v>#NAME?</v>
      </c>
      <c r="Q19" t="e">
        <f ca="1">BDP("04108KW3 Muni","BLOOMBERG_SECTOR_CODE")</f>
        <v>#NAME?</v>
      </c>
      <c r="R19" t="e">
        <f ca="1">BDP("04108KW3 Muni","ISSUER_TYPE")</f>
        <v>#NAME?</v>
      </c>
      <c r="S19" t="e">
        <f ca="1">BDS("04108KW3 Muni","ESG_PROJECT_CATEGORY", "aggregate=y")</f>
        <v>#NAME?</v>
      </c>
      <c r="T19" t="e">
        <f ca="1">BDS("04108KW3 Muni","ESG_PROJECT_SUBCATEGORY", "aggregate=y")</f>
        <v>#NAME?</v>
      </c>
    </row>
    <row r="20" spans="1:20" x14ac:dyDescent="0.25">
      <c r="A20" t="e">
        <f ca="1">BDP("04108KV6 Muni","ID_CUSIP")</f>
        <v>#NAME?</v>
      </c>
      <c r="B20" t="e">
        <f ca="1">BDP("04108KV6 Muni","STATE_CODE")</f>
        <v>#NAME?</v>
      </c>
      <c r="C20" t="s">
        <v>22</v>
      </c>
      <c r="D20" t="e">
        <f ca="1">BDP("04108KV6 Muni","YIELD_ON_ISSUE_DATE")</f>
        <v>#NAME?</v>
      </c>
      <c r="E20">
        <v>2635000</v>
      </c>
      <c r="F20" t="e">
        <f ca="1">BDP("04108KV6 Muni","ISSUE_DT")</f>
        <v>#NAME?</v>
      </c>
      <c r="G20" t="e">
        <f ca="1">BDP("04108KV6 Muni","MATURITY")</f>
        <v>#NAME?</v>
      </c>
      <c r="H20" t="e">
        <f ca="1">BDP("04108KV6 Muni","MUNI_TAX_PROV")</f>
        <v>#NAME?</v>
      </c>
      <c r="I20" t="e">
        <f ca="1">BDP("04108KV6 Muni","FINANCING_TYPE")</f>
        <v>#NAME?</v>
      </c>
      <c r="J20" t="e">
        <f ca="1">BDP("04108KV6 Muni","BICS_LEVEL_2_INDUSTRY_GROUP_NAME")</f>
        <v>#NAME?</v>
      </c>
      <c r="K20" t="e">
        <f ca="1">BDP("04108KV6 Muni","SELF_REPRTD_GREEN_INSTR_INDCTR")</f>
        <v>#NAME?</v>
      </c>
      <c r="L20" t="e">
        <f ca="1">BDP("04108KV6 Muni","GB_MANAGEMENT_PROCEEDS")</f>
        <v>#NAME?</v>
      </c>
      <c r="M20" t="e">
        <f ca="1">BDP("04108KV6 Muni","GB_REPORTING")</f>
        <v>#NAME?</v>
      </c>
      <c r="N20" t="e">
        <f ca="1">BDP("04108KV6 Muni","GB_ASSURANCE_PROVIDERS")</f>
        <v>#NAME?</v>
      </c>
      <c r="O20" t="e">
        <f ca="1">BDP("04108KV6 Muni","GB_PROJECT_SELECTION_PROCESS")</f>
        <v>#NAME?</v>
      </c>
      <c r="P20" t="e">
        <f ca="1">BDP("04108KV6 Muni","ESG_FRAMEWORK_INDICATOR")</f>
        <v>#NAME?</v>
      </c>
      <c r="Q20" t="e">
        <f ca="1">BDP("04108KV6 Muni","BLOOMBERG_SECTOR_CODE")</f>
        <v>#NAME?</v>
      </c>
      <c r="R20" t="e">
        <f ca="1">BDP("04108KV6 Muni","ISSUER_TYPE")</f>
        <v>#NAME?</v>
      </c>
      <c r="S20" t="e">
        <f ca="1">BDS("04108KV6 Muni","ESG_PROJECT_CATEGORY", "aggregate=y")</f>
        <v>#NAME?</v>
      </c>
      <c r="T20" t="e">
        <f ca="1">BDS("04108KV6 Muni","ESG_PROJECT_SUBCATEGORY", "aggregate=y")</f>
        <v>#NAME?</v>
      </c>
    </row>
    <row r="21" spans="1:20" x14ac:dyDescent="0.25">
      <c r="A21" t="e">
        <f ca="1">BDP("04108KV8 Muni","ID_CUSIP")</f>
        <v>#NAME?</v>
      </c>
      <c r="B21" t="e">
        <f ca="1">BDP("04108KV8 Muni","STATE_CODE")</f>
        <v>#NAME?</v>
      </c>
      <c r="C21" t="s">
        <v>22</v>
      </c>
      <c r="D21" t="e">
        <f ca="1">BDP("04108KV8 Muni","YIELD_ON_ISSUE_DATE")</f>
        <v>#NAME?</v>
      </c>
      <c r="E21">
        <v>2905000</v>
      </c>
      <c r="F21" t="e">
        <f ca="1">BDP("04108KV8 Muni","ISSUE_DT")</f>
        <v>#NAME?</v>
      </c>
      <c r="G21" t="e">
        <f ca="1">BDP("04108KV8 Muni","MATURITY")</f>
        <v>#NAME?</v>
      </c>
      <c r="H21" t="e">
        <f ca="1">BDP("04108KV8 Muni","MUNI_TAX_PROV")</f>
        <v>#NAME?</v>
      </c>
      <c r="I21" t="e">
        <f ca="1">BDP("04108KV8 Muni","FINANCING_TYPE")</f>
        <v>#NAME?</v>
      </c>
      <c r="J21" t="e">
        <f ca="1">BDP("04108KV8 Muni","BICS_LEVEL_2_INDUSTRY_GROUP_NAME")</f>
        <v>#NAME?</v>
      </c>
      <c r="K21" t="e">
        <f ca="1">BDP("04108KV8 Muni","SELF_REPRTD_GREEN_INSTR_INDCTR")</f>
        <v>#NAME?</v>
      </c>
      <c r="L21" t="e">
        <f ca="1">BDP("04108KV8 Muni","GB_MANAGEMENT_PROCEEDS")</f>
        <v>#NAME?</v>
      </c>
      <c r="M21" t="e">
        <f ca="1">BDP("04108KV8 Muni","GB_REPORTING")</f>
        <v>#NAME?</v>
      </c>
      <c r="N21" t="e">
        <f ca="1">BDP("04108KV8 Muni","GB_ASSURANCE_PROVIDERS")</f>
        <v>#NAME?</v>
      </c>
      <c r="O21" t="e">
        <f ca="1">BDP("04108KV8 Muni","GB_PROJECT_SELECTION_PROCESS")</f>
        <v>#NAME?</v>
      </c>
      <c r="P21" t="e">
        <f ca="1">BDP("04108KV8 Muni","ESG_FRAMEWORK_INDICATOR")</f>
        <v>#NAME?</v>
      </c>
      <c r="Q21" t="e">
        <f ca="1">BDP("04108KV8 Muni","BLOOMBERG_SECTOR_CODE")</f>
        <v>#NAME?</v>
      </c>
      <c r="R21" t="e">
        <f ca="1">BDP("04108KV8 Muni","ISSUER_TYPE")</f>
        <v>#NAME?</v>
      </c>
      <c r="S21" t="e">
        <f ca="1">BDS("04108KV8 Muni","ESG_PROJECT_CATEGORY", "aggregate=y")</f>
        <v>#NAME?</v>
      </c>
      <c r="T21" t="e">
        <f ca="1">BDS("04108KV8 Muni","ESG_PROJECT_SUBCATEGORY", "aggregate=y")</f>
        <v>#NAME?</v>
      </c>
    </row>
    <row r="22" spans="1:20" x14ac:dyDescent="0.25">
      <c r="A22" t="e">
        <f ca="1">BDP("083389HM Muni","ID_CUSIP")</f>
        <v>#NAME?</v>
      </c>
      <c r="B22" t="e">
        <f ca="1">BDP("083389HM Muni","STATE_CODE")</f>
        <v>#NAME?</v>
      </c>
      <c r="C22" t="s">
        <v>23</v>
      </c>
      <c r="D22" t="e">
        <f ca="1">BDP("083389HM Muni","YIELD_ON_ISSUE_DATE")</f>
        <v>#NAME?</v>
      </c>
      <c r="E22">
        <v>6065000</v>
      </c>
      <c r="F22" t="e">
        <f ca="1">BDP("083389HM Muni","ISSUE_DT")</f>
        <v>#NAME?</v>
      </c>
      <c r="G22" t="e">
        <f ca="1">BDP("083389HM Muni","MATURITY")</f>
        <v>#NAME?</v>
      </c>
      <c r="H22" t="e">
        <f ca="1">BDP("083389HM Muni","MUNI_TAX_PROV")</f>
        <v>#NAME?</v>
      </c>
      <c r="I22" t="e">
        <f ca="1">BDP("083389HM Muni","FINANCING_TYPE")</f>
        <v>#NAME?</v>
      </c>
      <c r="J22" t="e">
        <f ca="1">BDP("083389HM Muni","BICS_LEVEL_2_INDUSTRY_GROUP_NAME")</f>
        <v>#NAME?</v>
      </c>
      <c r="K22" t="e">
        <f ca="1">BDP("083389HM Muni","SELF_REPRTD_GREEN_INSTR_INDCTR")</f>
        <v>#NAME?</v>
      </c>
      <c r="L22" t="e">
        <f ca="1">BDP("083389HM Muni","GB_MANAGEMENT_PROCEEDS")</f>
        <v>#NAME?</v>
      </c>
      <c r="M22" t="e">
        <f ca="1">BDP("083389HM Muni","GB_REPORTING")</f>
        <v>#NAME?</v>
      </c>
      <c r="N22" t="e">
        <f ca="1">BDP("083389HM Muni","GB_ASSURANCE_PROVIDERS")</f>
        <v>#NAME?</v>
      </c>
      <c r="O22" t="e">
        <f ca="1">BDP("083389HM Muni","GB_PROJECT_SELECTION_PROCESS")</f>
        <v>#NAME?</v>
      </c>
      <c r="P22" t="e">
        <f ca="1">BDP("083389HM Muni","ESG_FRAMEWORK_INDICATOR")</f>
        <v>#NAME?</v>
      </c>
      <c r="Q22" t="e">
        <f ca="1">BDP("083389HM Muni","BLOOMBERG_SECTOR_CODE")</f>
        <v>#NAME?</v>
      </c>
      <c r="R22" t="e">
        <f ca="1">BDP("083389HM Muni","ISSUER_TYPE")</f>
        <v>#NAME?</v>
      </c>
      <c r="S22" t="e">
        <f ca="1">BDS("083389HM Muni","ESG_PROJECT_CATEGORY", "aggregate=y")</f>
        <v>#NAME?</v>
      </c>
      <c r="T22" t="e">
        <f ca="1">BDS("083389HM Muni","ESG_PROJECT_SUBCATEGORY", "aggregate=y")</f>
        <v>#NAME?</v>
      </c>
    </row>
    <row r="23" spans="1:20" x14ac:dyDescent="0.25">
      <c r="A23" t="e">
        <f ca="1">BDP("04108KW5 Muni","ID_CUSIP")</f>
        <v>#NAME?</v>
      </c>
      <c r="B23" t="e">
        <f ca="1">BDP("04108KW5 Muni","STATE_CODE")</f>
        <v>#NAME?</v>
      </c>
      <c r="C23" t="s">
        <v>22</v>
      </c>
      <c r="D23" t="e">
        <f ca="1">BDP("04108KW5 Muni","YIELD_ON_ISSUE_DATE")</f>
        <v>#NAME?</v>
      </c>
      <c r="E23">
        <v>3705000</v>
      </c>
      <c r="F23" t="e">
        <f ca="1">BDP("04108KW5 Muni","ISSUE_DT")</f>
        <v>#NAME?</v>
      </c>
      <c r="G23" t="e">
        <f ca="1">BDP("04108KW5 Muni","MATURITY")</f>
        <v>#NAME?</v>
      </c>
      <c r="H23" t="e">
        <f ca="1">BDP("04108KW5 Muni","MUNI_TAX_PROV")</f>
        <v>#NAME?</v>
      </c>
      <c r="I23" t="e">
        <f ca="1">BDP("04108KW5 Muni","FINANCING_TYPE")</f>
        <v>#NAME?</v>
      </c>
      <c r="J23" t="e">
        <f ca="1">BDP("04108KW5 Muni","BICS_LEVEL_2_INDUSTRY_GROUP_NAME")</f>
        <v>#NAME?</v>
      </c>
      <c r="K23" t="e">
        <f ca="1">BDP("04108KW5 Muni","SELF_REPRTD_GREEN_INSTR_INDCTR")</f>
        <v>#NAME?</v>
      </c>
      <c r="L23" t="e">
        <f ca="1">BDP("04108KW5 Muni","GB_MANAGEMENT_PROCEEDS")</f>
        <v>#NAME?</v>
      </c>
      <c r="M23" t="e">
        <f ca="1">BDP("04108KW5 Muni","GB_REPORTING")</f>
        <v>#NAME?</v>
      </c>
      <c r="N23" t="e">
        <f ca="1">BDP("04108KW5 Muni","GB_ASSURANCE_PROVIDERS")</f>
        <v>#NAME?</v>
      </c>
      <c r="O23" t="e">
        <f ca="1">BDP("04108KW5 Muni","GB_PROJECT_SELECTION_PROCESS")</f>
        <v>#NAME?</v>
      </c>
      <c r="P23" t="e">
        <f ca="1">BDP("04108KW5 Muni","ESG_FRAMEWORK_INDICATOR")</f>
        <v>#NAME?</v>
      </c>
      <c r="Q23" t="e">
        <f ca="1">BDP("04108KW5 Muni","BLOOMBERG_SECTOR_CODE")</f>
        <v>#NAME?</v>
      </c>
      <c r="R23" t="e">
        <f ca="1">BDP("04108KW5 Muni","ISSUER_TYPE")</f>
        <v>#NAME?</v>
      </c>
      <c r="S23" t="e">
        <f ca="1">BDS("04108KW5 Muni","ESG_PROJECT_CATEGORY", "aggregate=y")</f>
        <v>#NAME?</v>
      </c>
      <c r="T23" t="e">
        <f ca="1">BDS("04108KW5 Muni","ESG_PROJECT_SUBCATEGORY", "aggregate=y")</f>
        <v>#NAME?</v>
      </c>
    </row>
    <row r="24" spans="1:20" x14ac:dyDescent="0.25">
      <c r="A24" t="e">
        <f ca="1">BDP("441178DR Muni","ID_CUSIP")</f>
        <v>#NAME?</v>
      </c>
      <c r="B24" t="e">
        <f ca="1">BDP("441178DR Muni","STATE_CODE")</f>
        <v>#NAME?</v>
      </c>
      <c r="C24" t="s">
        <v>21</v>
      </c>
      <c r="D24" t="e">
        <f ca="1">BDP("441178DR Muni","YIELD_ON_ISSUE_DATE")</f>
        <v>#NAME?</v>
      </c>
      <c r="E24">
        <v>6180000</v>
      </c>
      <c r="F24" t="e">
        <f ca="1">BDP("441178DR Muni","ISSUE_DT")</f>
        <v>#NAME?</v>
      </c>
      <c r="G24" t="e">
        <f ca="1">BDP("441178DR Muni","MATURITY")</f>
        <v>#NAME?</v>
      </c>
      <c r="H24" t="e">
        <f ca="1">BDP("441178DR Muni","MUNI_TAX_PROV")</f>
        <v>#NAME?</v>
      </c>
      <c r="I24" t="e">
        <f ca="1">BDP("441178DR Muni","FINANCING_TYPE")</f>
        <v>#NAME?</v>
      </c>
      <c r="J24" t="e">
        <f ca="1">BDP("441178DR Muni","BICS_LEVEL_2_INDUSTRY_GROUP_NAME")</f>
        <v>#NAME?</v>
      </c>
      <c r="K24" t="e">
        <f ca="1">BDP("441178DR Muni","SELF_REPRTD_GREEN_INSTR_INDCTR")</f>
        <v>#NAME?</v>
      </c>
      <c r="L24" t="e">
        <f ca="1">BDP("441178DR Muni","GB_MANAGEMENT_PROCEEDS")</f>
        <v>#NAME?</v>
      </c>
      <c r="M24" t="e">
        <f ca="1">BDP("441178DR Muni","GB_REPORTING")</f>
        <v>#NAME?</v>
      </c>
      <c r="N24" t="e">
        <f ca="1">BDP("441178DR Muni","GB_ASSURANCE_PROVIDERS")</f>
        <v>#NAME?</v>
      </c>
      <c r="O24" t="e">
        <f ca="1">BDP("441178DR Muni","GB_PROJECT_SELECTION_PROCESS")</f>
        <v>#NAME?</v>
      </c>
      <c r="P24" t="e">
        <f ca="1">BDP("441178DR Muni","ESG_FRAMEWORK_INDICATOR")</f>
        <v>#NAME?</v>
      </c>
      <c r="Q24" t="e">
        <f ca="1">BDP("441178DR Muni","BLOOMBERG_SECTOR_CODE")</f>
        <v>#NAME?</v>
      </c>
      <c r="R24" t="e">
        <f ca="1">BDP("441178DR Muni","ISSUER_TYPE")</f>
        <v>#NAME?</v>
      </c>
      <c r="S24" t="e">
        <f ca="1">BDS("441178DR Muni","ESG_PROJECT_CATEGORY", "aggregate=y")</f>
        <v>#NAME?</v>
      </c>
      <c r="T24" t="e">
        <f ca="1">BDS("441178DR Muni","ESG_PROJECT_SUBCATEGORY", "aggregate=y")</f>
        <v>#NAME?</v>
      </c>
    </row>
    <row r="25" spans="1:20" x14ac:dyDescent="0.25">
      <c r="A25" t="e">
        <f ca="1">BDP("083389HD Muni","ID_CUSIP")</f>
        <v>#NAME?</v>
      </c>
      <c r="B25" t="e">
        <f ca="1">BDP("083389HD Muni","STATE_CODE")</f>
        <v>#NAME?</v>
      </c>
      <c r="C25" t="s">
        <v>23</v>
      </c>
      <c r="D25" t="e">
        <f ca="1">BDP("083389HD Muni","YIELD_ON_ISSUE_DATE")</f>
        <v>#NAME?</v>
      </c>
      <c r="E25">
        <v>580000</v>
      </c>
      <c r="F25" t="e">
        <f ca="1">BDP("083389HD Muni","ISSUE_DT")</f>
        <v>#NAME?</v>
      </c>
      <c r="G25" t="e">
        <f ca="1">BDP("083389HD Muni","MATURITY")</f>
        <v>#NAME?</v>
      </c>
      <c r="H25" t="e">
        <f ca="1">BDP("083389HD Muni","MUNI_TAX_PROV")</f>
        <v>#NAME?</v>
      </c>
      <c r="I25" t="e">
        <f ca="1">BDP("083389HD Muni","FINANCING_TYPE")</f>
        <v>#NAME?</v>
      </c>
      <c r="J25" t="e">
        <f ca="1">BDP("083389HD Muni","BICS_LEVEL_2_INDUSTRY_GROUP_NAME")</f>
        <v>#NAME?</v>
      </c>
      <c r="K25" t="e">
        <f ca="1">BDP("083389HD Muni","SELF_REPRTD_GREEN_INSTR_INDCTR")</f>
        <v>#NAME?</v>
      </c>
      <c r="L25" t="e">
        <f ca="1">BDP("083389HD Muni","GB_MANAGEMENT_PROCEEDS")</f>
        <v>#NAME?</v>
      </c>
      <c r="M25" t="e">
        <f ca="1">BDP("083389HD Muni","GB_REPORTING")</f>
        <v>#NAME?</v>
      </c>
      <c r="N25" t="e">
        <f ca="1">BDP("083389HD Muni","GB_ASSURANCE_PROVIDERS")</f>
        <v>#NAME?</v>
      </c>
      <c r="O25" t="e">
        <f ca="1">BDP("083389HD Muni","GB_PROJECT_SELECTION_PROCESS")</f>
        <v>#NAME?</v>
      </c>
      <c r="P25" t="e">
        <f ca="1">BDP("083389HD Muni","ESG_FRAMEWORK_INDICATOR")</f>
        <v>#NAME?</v>
      </c>
      <c r="Q25" t="e">
        <f ca="1">BDP("083389HD Muni","BLOOMBERG_SECTOR_CODE")</f>
        <v>#NAME?</v>
      </c>
      <c r="R25" t="e">
        <f ca="1">BDP("083389HD Muni","ISSUER_TYPE")</f>
        <v>#NAME?</v>
      </c>
      <c r="S25" t="e">
        <f ca="1">BDS("083389HD Muni","ESG_PROJECT_CATEGORY", "aggregate=y")</f>
        <v>#NAME?</v>
      </c>
      <c r="T25" t="e">
        <f ca="1">BDS("083389HD Muni","ESG_PROJECT_SUBCATEGORY", "aggregate=y")</f>
        <v>#NAME?</v>
      </c>
    </row>
    <row r="26" spans="1:20" x14ac:dyDescent="0.25">
      <c r="A26" t="e">
        <f ca="1">BDP("04108KW6 Muni","ID_CUSIP")</f>
        <v>#NAME?</v>
      </c>
      <c r="B26" t="e">
        <f ca="1">BDP("04108KW6 Muni","STATE_CODE")</f>
        <v>#NAME?</v>
      </c>
      <c r="C26" t="s">
        <v>22</v>
      </c>
      <c r="D26" t="e">
        <f ca="1">BDP("04108KW6 Muni","YIELD_ON_ISSUE_DATE")</f>
        <v>#NAME?</v>
      </c>
      <c r="E26">
        <v>3890000</v>
      </c>
      <c r="F26" t="e">
        <f ca="1">BDP("04108KW6 Muni","ISSUE_DT")</f>
        <v>#NAME?</v>
      </c>
      <c r="G26" t="e">
        <f ca="1">BDP("04108KW6 Muni","MATURITY")</f>
        <v>#NAME?</v>
      </c>
      <c r="H26" t="e">
        <f ca="1">BDP("04108KW6 Muni","MUNI_TAX_PROV")</f>
        <v>#NAME?</v>
      </c>
      <c r="I26" t="e">
        <f ca="1">BDP("04108KW6 Muni","FINANCING_TYPE")</f>
        <v>#NAME?</v>
      </c>
      <c r="J26" t="e">
        <f ca="1">BDP("04108KW6 Muni","BICS_LEVEL_2_INDUSTRY_GROUP_NAME")</f>
        <v>#NAME?</v>
      </c>
      <c r="K26" t="e">
        <f ca="1">BDP("04108KW6 Muni","SELF_REPRTD_GREEN_INSTR_INDCTR")</f>
        <v>#NAME?</v>
      </c>
      <c r="L26" t="e">
        <f ca="1">BDP("04108KW6 Muni","GB_MANAGEMENT_PROCEEDS")</f>
        <v>#NAME?</v>
      </c>
      <c r="M26" t="e">
        <f ca="1">BDP("04108KW6 Muni","GB_REPORTING")</f>
        <v>#NAME?</v>
      </c>
      <c r="N26" t="e">
        <f ca="1">BDP("04108KW6 Muni","GB_ASSURANCE_PROVIDERS")</f>
        <v>#NAME?</v>
      </c>
      <c r="O26" t="e">
        <f ca="1">BDP("04108KW6 Muni","GB_PROJECT_SELECTION_PROCESS")</f>
        <v>#NAME?</v>
      </c>
      <c r="P26" t="e">
        <f ca="1">BDP("04108KW6 Muni","ESG_FRAMEWORK_INDICATOR")</f>
        <v>#NAME?</v>
      </c>
      <c r="Q26" t="e">
        <f ca="1">BDP("04108KW6 Muni","BLOOMBERG_SECTOR_CODE")</f>
        <v>#NAME?</v>
      </c>
      <c r="R26" t="e">
        <f ca="1">BDP("04108KW6 Muni","ISSUER_TYPE")</f>
        <v>#NAME?</v>
      </c>
      <c r="S26" t="e">
        <f ca="1">BDS("04108KW6 Muni","ESG_PROJECT_CATEGORY", "aggregate=y")</f>
        <v>#NAME?</v>
      </c>
      <c r="T26" t="e">
        <f ca="1">BDS("04108KW6 Muni","ESG_PROJECT_SUBCATEGORY", "aggregate=y")</f>
        <v>#NAME?</v>
      </c>
    </row>
    <row r="27" spans="1:20" x14ac:dyDescent="0.25">
      <c r="A27" t="e">
        <f ca="1">BDP("04108KW2 Muni","ID_CUSIP")</f>
        <v>#NAME?</v>
      </c>
      <c r="B27" t="e">
        <f ca="1">BDP("04108KW2 Muni","STATE_CODE")</f>
        <v>#NAME?</v>
      </c>
      <c r="C27" t="s">
        <v>22</v>
      </c>
      <c r="D27" t="e">
        <f ca="1">BDP("04108KW2 Muni","YIELD_ON_ISSUE_DATE")</f>
        <v>#NAME?</v>
      </c>
      <c r="E27">
        <v>3200000</v>
      </c>
      <c r="F27" t="e">
        <f ca="1">BDP("04108KW2 Muni","ISSUE_DT")</f>
        <v>#NAME?</v>
      </c>
      <c r="G27" t="e">
        <f ca="1">BDP("04108KW2 Muni","MATURITY")</f>
        <v>#NAME?</v>
      </c>
      <c r="H27" t="e">
        <f ca="1">BDP("04108KW2 Muni","MUNI_TAX_PROV")</f>
        <v>#NAME?</v>
      </c>
      <c r="I27" t="e">
        <f ca="1">BDP("04108KW2 Muni","FINANCING_TYPE")</f>
        <v>#NAME?</v>
      </c>
      <c r="J27" t="e">
        <f ca="1">BDP("04108KW2 Muni","BICS_LEVEL_2_INDUSTRY_GROUP_NAME")</f>
        <v>#NAME?</v>
      </c>
      <c r="K27" t="e">
        <f ca="1">BDP("04108KW2 Muni","SELF_REPRTD_GREEN_INSTR_INDCTR")</f>
        <v>#NAME?</v>
      </c>
      <c r="L27" t="e">
        <f ca="1">BDP("04108KW2 Muni","GB_MANAGEMENT_PROCEEDS")</f>
        <v>#NAME?</v>
      </c>
      <c r="M27" t="e">
        <f ca="1">BDP("04108KW2 Muni","GB_REPORTING")</f>
        <v>#NAME?</v>
      </c>
      <c r="N27" t="e">
        <f ca="1">BDP("04108KW2 Muni","GB_ASSURANCE_PROVIDERS")</f>
        <v>#NAME?</v>
      </c>
      <c r="O27" t="e">
        <f ca="1">BDP("04108KW2 Muni","GB_PROJECT_SELECTION_PROCESS")</f>
        <v>#NAME?</v>
      </c>
      <c r="P27" t="e">
        <f ca="1">BDP("04108KW2 Muni","ESG_FRAMEWORK_INDICATOR")</f>
        <v>#NAME?</v>
      </c>
      <c r="Q27" t="e">
        <f ca="1">BDP("04108KW2 Muni","BLOOMBERG_SECTOR_CODE")</f>
        <v>#NAME?</v>
      </c>
      <c r="R27" t="e">
        <f ca="1">BDP("04108KW2 Muni","ISSUER_TYPE")</f>
        <v>#NAME?</v>
      </c>
      <c r="S27" t="e">
        <f ca="1">BDS("04108KW2 Muni","ESG_PROJECT_CATEGORY", "aggregate=y")</f>
        <v>#NAME?</v>
      </c>
      <c r="T27" t="e">
        <f ca="1">BDS("04108KW2 Muni","ESG_PROJECT_SUBCATEGORY", "aggregate=y")</f>
        <v>#NAME?</v>
      </c>
    </row>
    <row r="28" spans="1:20" x14ac:dyDescent="0.25">
      <c r="A28" t="e">
        <f ca="1">BDP("083389GX Muni","ID_CUSIP")</f>
        <v>#NAME?</v>
      </c>
      <c r="B28" t="e">
        <f ca="1">BDP("083389GX Muni","STATE_CODE")</f>
        <v>#NAME?</v>
      </c>
      <c r="C28" t="s">
        <v>23</v>
      </c>
      <c r="D28" t="e">
        <f ca="1">BDP("083389GX Muni","YIELD_ON_ISSUE_DATE")</f>
        <v>#NAME?</v>
      </c>
      <c r="E28">
        <v>445000</v>
      </c>
      <c r="F28" t="e">
        <f ca="1">BDP("083389GX Muni","ISSUE_DT")</f>
        <v>#NAME?</v>
      </c>
      <c r="G28" t="e">
        <f ca="1">BDP("083389GX Muni","MATURITY")</f>
        <v>#NAME?</v>
      </c>
      <c r="H28" t="e">
        <f ca="1">BDP("083389GX Muni","MUNI_TAX_PROV")</f>
        <v>#NAME?</v>
      </c>
      <c r="I28" t="e">
        <f ca="1">BDP("083389GX Muni","FINANCING_TYPE")</f>
        <v>#NAME?</v>
      </c>
      <c r="J28" t="e">
        <f ca="1">BDP("083389GX Muni","BICS_LEVEL_2_INDUSTRY_GROUP_NAME")</f>
        <v>#NAME?</v>
      </c>
      <c r="K28" t="e">
        <f ca="1">BDP("083389GX Muni","SELF_REPRTD_GREEN_INSTR_INDCTR")</f>
        <v>#NAME?</v>
      </c>
      <c r="L28" t="e">
        <f ca="1">BDP("083389GX Muni","GB_MANAGEMENT_PROCEEDS")</f>
        <v>#NAME?</v>
      </c>
      <c r="M28" t="e">
        <f ca="1">BDP("083389GX Muni","GB_REPORTING")</f>
        <v>#NAME?</v>
      </c>
      <c r="N28" t="e">
        <f ca="1">BDP("083389GX Muni","GB_ASSURANCE_PROVIDERS")</f>
        <v>#NAME?</v>
      </c>
      <c r="O28" t="e">
        <f ca="1">BDP("083389GX Muni","GB_PROJECT_SELECTION_PROCESS")</f>
        <v>#NAME?</v>
      </c>
      <c r="P28" t="e">
        <f ca="1">BDP("083389GX Muni","ESG_FRAMEWORK_INDICATOR")</f>
        <v>#NAME?</v>
      </c>
      <c r="Q28" t="e">
        <f ca="1">BDP("083389GX Muni","BLOOMBERG_SECTOR_CODE")</f>
        <v>#NAME?</v>
      </c>
      <c r="R28" t="e">
        <f ca="1">BDP("083389GX Muni","ISSUER_TYPE")</f>
        <v>#NAME?</v>
      </c>
      <c r="S28" t="e">
        <f ca="1">BDS("083389GX Muni","ESG_PROJECT_CATEGORY", "aggregate=y")</f>
        <v>#NAME?</v>
      </c>
      <c r="T28" t="e">
        <f ca="1">BDS("083389GX Muni","ESG_PROJECT_SUBCATEGORY", "aggregate=y")</f>
        <v>#NAME?</v>
      </c>
    </row>
    <row r="29" spans="1:20" x14ac:dyDescent="0.25">
      <c r="A29" t="e">
        <f ca="1">BDP("083389HE Muni","ID_CUSIP")</f>
        <v>#NAME?</v>
      </c>
      <c r="B29" t="e">
        <f ca="1">BDP("083389HE Muni","STATE_CODE")</f>
        <v>#NAME?</v>
      </c>
      <c r="C29" t="s">
        <v>23</v>
      </c>
      <c r="D29" t="e">
        <f ca="1">BDP("083389HE Muni","YIELD_ON_ISSUE_DATE")</f>
        <v>#NAME?</v>
      </c>
      <c r="E29">
        <v>605000</v>
      </c>
      <c r="F29" t="e">
        <f ca="1">BDP("083389HE Muni","ISSUE_DT")</f>
        <v>#NAME?</v>
      </c>
      <c r="G29" t="e">
        <f ca="1">BDP("083389HE Muni","MATURITY")</f>
        <v>#NAME?</v>
      </c>
      <c r="H29" t="e">
        <f ca="1">BDP("083389HE Muni","MUNI_TAX_PROV")</f>
        <v>#NAME?</v>
      </c>
      <c r="I29" t="e">
        <f ca="1">BDP("083389HE Muni","FINANCING_TYPE")</f>
        <v>#NAME?</v>
      </c>
      <c r="J29" t="e">
        <f ca="1">BDP("083389HE Muni","BICS_LEVEL_2_INDUSTRY_GROUP_NAME")</f>
        <v>#NAME?</v>
      </c>
      <c r="K29" t="e">
        <f ca="1">BDP("083389HE Muni","SELF_REPRTD_GREEN_INSTR_INDCTR")</f>
        <v>#NAME?</v>
      </c>
      <c r="L29" t="e">
        <f ca="1">BDP("083389HE Muni","GB_MANAGEMENT_PROCEEDS")</f>
        <v>#NAME?</v>
      </c>
      <c r="M29" t="e">
        <f ca="1">BDP("083389HE Muni","GB_REPORTING")</f>
        <v>#NAME?</v>
      </c>
      <c r="N29" t="e">
        <f ca="1">BDP("083389HE Muni","GB_ASSURANCE_PROVIDERS")</f>
        <v>#NAME?</v>
      </c>
      <c r="O29" t="e">
        <f ca="1">BDP("083389HE Muni","GB_PROJECT_SELECTION_PROCESS")</f>
        <v>#NAME?</v>
      </c>
      <c r="P29" t="e">
        <f ca="1">BDP("083389HE Muni","ESG_FRAMEWORK_INDICATOR")</f>
        <v>#NAME?</v>
      </c>
      <c r="Q29" t="e">
        <f ca="1">BDP("083389HE Muni","BLOOMBERG_SECTOR_CODE")</f>
        <v>#NAME?</v>
      </c>
      <c r="R29" t="e">
        <f ca="1">BDP("083389HE Muni","ISSUER_TYPE")</f>
        <v>#NAME?</v>
      </c>
      <c r="S29" t="e">
        <f ca="1">BDS("083389HE Muni","ESG_PROJECT_CATEGORY", "aggregate=y")</f>
        <v>#NAME?</v>
      </c>
      <c r="T29" t="e">
        <f ca="1">BDS("083389HE Muni","ESG_PROJECT_SUBCATEGORY", "aggregate=y")</f>
        <v>#NAME?</v>
      </c>
    </row>
    <row r="30" spans="1:20" x14ac:dyDescent="0.25">
      <c r="A30" t="e">
        <f ca="1">BDP("04108KW7 Muni","ID_CUSIP")</f>
        <v>#NAME?</v>
      </c>
      <c r="B30" t="e">
        <f ca="1">BDP("04108KW7 Muni","STATE_CODE")</f>
        <v>#NAME?</v>
      </c>
      <c r="C30" t="s">
        <v>22</v>
      </c>
      <c r="D30" t="e">
        <f ca="1">BDP("04108KW7 Muni","YIELD_ON_ISSUE_DATE")</f>
        <v>#NAME?</v>
      </c>
      <c r="E30">
        <v>17610000</v>
      </c>
      <c r="F30" t="e">
        <f ca="1">BDP("04108KW7 Muni","ISSUE_DT")</f>
        <v>#NAME?</v>
      </c>
      <c r="G30" t="e">
        <f ca="1">BDP("04108KW7 Muni","MATURITY")</f>
        <v>#NAME?</v>
      </c>
      <c r="H30" t="e">
        <f ca="1">BDP("04108KW7 Muni","MUNI_TAX_PROV")</f>
        <v>#NAME?</v>
      </c>
      <c r="I30" t="e">
        <f ca="1">BDP("04108KW7 Muni","FINANCING_TYPE")</f>
        <v>#NAME?</v>
      </c>
      <c r="J30" t="e">
        <f ca="1">BDP("04108KW7 Muni","BICS_LEVEL_2_INDUSTRY_GROUP_NAME")</f>
        <v>#NAME?</v>
      </c>
      <c r="K30" t="e">
        <f ca="1">BDP("04108KW7 Muni","SELF_REPRTD_GREEN_INSTR_INDCTR")</f>
        <v>#NAME?</v>
      </c>
      <c r="L30" t="e">
        <f ca="1">BDP("04108KW7 Muni","GB_MANAGEMENT_PROCEEDS")</f>
        <v>#NAME?</v>
      </c>
      <c r="M30" t="e">
        <f ca="1">BDP("04108KW7 Muni","GB_REPORTING")</f>
        <v>#NAME?</v>
      </c>
      <c r="N30" t="e">
        <f ca="1">BDP("04108KW7 Muni","GB_ASSURANCE_PROVIDERS")</f>
        <v>#NAME?</v>
      </c>
      <c r="O30" t="e">
        <f ca="1">BDP("04108KW7 Muni","GB_PROJECT_SELECTION_PROCESS")</f>
        <v>#NAME?</v>
      </c>
      <c r="P30" t="e">
        <f ca="1">BDP("04108KW7 Muni","ESG_FRAMEWORK_INDICATOR")</f>
        <v>#NAME?</v>
      </c>
      <c r="Q30" t="e">
        <f ca="1">BDP("04108KW7 Muni","BLOOMBERG_SECTOR_CODE")</f>
        <v>#NAME?</v>
      </c>
      <c r="R30" t="e">
        <f ca="1">BDP("04108KW7 Muni","ISSUER_TYPE")</f>
        <v>#NAME?</v>
      </c>
      <c r="S30" t="e">
        <f ca="1">BDS("04108KW7 Muni","ESG_PROJECT_CATEGORY", "aggregate=y")</f>
        <v>#NAME?</v>
      </c>
      <c r="T30" t="e">
        <f ca="1">BDS("04108KW7 Muni","ESG_PROJECT_SUBCATEGORY", "aggregate=y")</f>
        <v>#NAME?</v>
      </c>
    </row>
    <row r="31" spans="1:20" x14ac:dyDescent="0.25">
      <c r="A31" t="e">
        <f ca="1">BDP("083389HL Muni","ID_CUSIP")</f>
        <v>#NAME?</v>
      </c>
      <c r="B31" t="e">
        <f ca="1">BDP("083389HL Muni","STATE_CODE")</f>
        <v>#NAME?</v>
      </c>
      <c r="C31" t="s">
        <v>23</v>
      </c>
      <c r="D31" t="e">
        <f ca="1">BDP("083389HL Muni","YIELD_ON_ISSUE_DATE")</f>
        <v>#NAME?</v>
      </c>
      <c r="E31">
        <v>4840000</v>
      </c>
      <c r="F31" t="e">
        <f ca="1">BDP("083389HL Muni","ISSUE_DT")</f>
        <v>#NAME?</v>
      </c>
      <c r="G31" t="e">
        <f ca="1">BDP("083389HL Muni","MATURITY")</f>
        <v>#NAME?</v>
      </c>
      <c r="H31" t="e">
        <f ca="1">BDP("083389HL Muni","MUNI_TAX_PROV")</f>
        <v>#NAME?</v>
      </c>
      <c r="I31" t="e">
        <f ca="1">BDP("083389HL Muni","FINANCING_TYPE")</f>
        <v>#NAME?</v>
      </c>
      <c r="J31" t="e">
        <f ca="1">BDP("083389HL Muni","BICS_LEVEL_2_INDUSTRY_GROUP_NAME")</f>
        <v>#NAME?</v>
      </c>
      <c r="K31" t="e">
        <f ca="1">BDP("083389HL Muni","SELF_REPRTD_GREEN_INSTR_INDCTR")</f>
        <v>#NAME?</v>
      </c>
      <c r="L31" t="e">
        <f ca="1">BDP("083389HL Muni","GB_MANAGEMENT_PROCEEDS")</f>
        <v>#NAME?</v>
      </c>
      <c r="M31" t="e">
        <f ca="1">BDP("083389HL Muni","GB_REPORTING")</f>
        <v>#NAME?</v>
      </c>
      <c r="N31" t="e">
        <f ca="1">BDP("083389HL Muni","GB_ASSURANCE_PROVIDERS")</f>
        <v>#NAME?</v>
      </c>
      <c r="O31" t="e">
        <f ca="1">BDP("083389HL Muni","GB_PROJECT_SELECTION_PROCESS")</f>
        <v>#NAME?</v>
      </c>
      <c r="P31" t="e">
        <f ca="1">BDP("083389HL Muni","ESG_FRAMEWORK_INDICATOR")</f>
        <v>#NAME?</v>
      </c>
      <c r="Q31" t="e">
        <f ca="1">BDP("083389HL Muni","BLOOMBERG_SECTOR_CODE")</f>
        <v>#NAME?</v>
      </c>
      <c r="R31" t="e">
        <f ca="1">BDP("083389HL Muni","ISSUER_TYPE")</f>
        <v>#NAME?</v>
      </c>
      <c r="S31" t="e">
        <f ca="1">BDS("083389HL Muni","ESG_PROJECT_CATEGORY", "aggregate=y")</f>
        <v>#NAME?</v>
      </c>
      <c r="T31" t="e">
        <f ca="1">BDS("083389HL Muni","ESG_PROJECT_SUBCATEGORY", "aggregate=y")</f>
        <v>#NAME?</v>
      </c>
    </row>
    <row r="32" spans="1:20" x14ac:dyDescent="0.25">
      <c r="A32" t="e">
        <f ca="1">BDP("237190AF Muni","ID_CUSIP")</f>
        <v>#NAME?</v>
      </c>
      <c r="B32" t="e">
        <f ca="1">BDP("237190AF Muni","STATE_CODE")</f>
        <v>#NAME?</v>
      </c>
      <c r="C32" t="s">
        <v>20</v>
      </c>
      <c r="D32" t="e">
        <f ca="1">BDP("237190AF Muni","YIELD_ON_ISSUE_DATE")</f>
        <v>#NAME?</v>
      </c>
      <c r="E32">
        <v>2695000</v>
      </c>
      <c r="F32" t="e">
        <f ca="1">BDP("237190AF Muni","ISSUE_DT")</f>
        <v>#NAME?</v>
      </c>
      <c r="G32" t="e">
        <f ca="1">BDP("237190AF Muni","MATURITY")</f>
        <v>#NAME?</v>
      </c>
      <c r="H32" t="e">
        <f ca="1">BDP("237190AF Muni","MUNI_TAX_PROV")</f>
        <v>#NAME?</v>
      </c>
      <c r="I32" t="e">
        <f ca="1">BDP("237190AF Muni","FINANCING_TYPE")</f>
        <v>#NAME?</v>
      </c>
      <c r="J32" t="e">
        <f ca="1">BDP("237190AF Muni","BICS_LEVEL_2_INDUSTRY_GROUP_NAME")</f>
        <v>#NAME?</v>
      </c>
      <c r="K32" t="e">
        <f ca="1">BDP("237190AF Muni","SELF_REPRTD_GREEN_INSTR_INDCTR")</f>
        <v>#NAME?</v>
      </c>
      <c r="L32" t="e">
        <f ca="1">BDP("237190AF Muni","GB_MANAGEMENT_PROCEEDS")</f>
        <v>#NAME?</v>
      </c>
      <c r="M32" t="e">
        <f ca="1">BDP("237190AF Muni","GB_REPORTING")</f>
        <v>#NAME?</v>
      </c>
      <c r="N32" t="e">
        <f ca="1">BDP("237190AF Muni","GB_ASSURANCE_PROVIDERS")</f>
        <v>#NAME?</v>
      </c>
      <c r="O32" t="e">
        <f ca="1">BDP("237190AF Muni","GB_PROJECT_SELECTION_PROCESS")</f>
        <v>#NAME?</v>
      </c>
      <c r="P32" t="e">
        <f ca="1">BDP("237190AF Muni","ESG_FRAMEWORK_INDICATOR")</f>
        <v>#NAME?</v>
      </c>
      <c r="Q32" t="e">
        <f ca="1">BDP("237190AF Muni","BLOOMBERG_SECTOR_CODE")</f>
        <v>#NAME?</v>
      </c>
      <c r="R32" t="e">
        <f ca="1">BDP("237190AF Muni","ISSUER_TYPE")</f>
        <v>#NAME?</v>
      </c>
      <c r="S32" t="e">
        <f ca="1">BDS("237190AF Muni","ESG_PROJECT_CATEGORY", "aggregate=y")</f>
        <v>#NAME?</v>
      </c>
      <c r="T32" t="e">
        <f ca="1">BDS("237190AF Muni","ESG_PROJECT_SUBCATEGORY", "aggregate=y")</f>
        <v>#NAME?</v>
      </c>
    </row>
    <row r="33" spans="1:20" x14ac:dyDescent="0.25">
      <c r="A33" t="e">
        <f ca="1">BDP("237190AB Muni","ID_CUSIP")</f>
        <v>#NAME?</v>
      </c>
      <c r="B33" t="e">
        <f ca="1">BDP("237190AB Muni","STATE_CODE")</f>
        <v>#NAME?</v>
      </c>
      <c r="C33" t="s">
        <v>20</v>
      </c>
      <c r="D33" t="e">
        <f ca="1">BDP("237190AB Muni","YIELD_ON_ISSUE_DATE")</f>
        <v>#NAME?</v>
      </c>
      <c r="E33">
        <v>355000</v>
      </c>
      <c r="F33" t="e">
        <f ca="1">BDP("237190AB Muni","ISSUE_DT")</f>
        <v>#NAME?</v>
      </c>
      <c r="G33" t="e">
        <f ca="1">BDP("237190AB Muni","MATURITY")</f>
        <v>#NAME?</v>
      </c>
      <c r="H33" t="e">
        <f ca="1">BDP("237190AB Muni","MUNI_TAX_PROV")</f>
        <v>#NAME?</v>
      </c>
      <c r="I33" t="e">
        <f ca="1">BDP("237190AB Muni","FINANCING_TYPE")</f>
        <v>#NAME?</v>
      </c>
      <c r="J33" t="e">
        <f ca="1">BDP("237190AB Muni","BICS_LEVEL_2_INDUSTRY_GROUP_NAME")</f>
        <v>#NAME?</v>
      </c>
      <c r="K33" t="e">
        <f ca="1">BDP("237190AB Muni","SELF_REPRTD_GREEN_INSTR_INDCTR")</f>
        <v>#NAME?</v>
      </c>
      <c r="L33" t="e">
        <f ca="1">BDP("237190AB Muni","GB_MANAGEMENT_PROCEEDS")</f>
        <v>#NAME?</v>
      </c>
      <c r="M33" t="e">
        <f ca="1">BDP("237190AB Muni","GB_REPORTING")</f>
        <v>#NAME?</v>
      </c>
      <c r="N33" t="e">
        <f ca="1">BDP("237190AB Muni","GB_ASSURANCE_PROVIDERS")</f>
        <v>#NAME?</v>
      </c>
      <c r="O33" t="e">
        <f ca="1">BDP("237190AB Muni","GB_PROJECT_SELECTION_PROCESS")</f>
        <v>#NAME?</v>
      </c>
      <c r="P33" t="e">
        <f ca="1">BDP("237190AB Muni","ESG_FRAMEWORK_INDICATOR")</f>
        <v>#NAME?</v>
      </c>
      <c r="Q33" t="e">
        <f ca="1">BDP("237190AB Muni","BLOOMBERG_SECTOR_CODE")</f>
        <v>#NAME?</v>
      </c>
      <c r="R33" t="e">
        <f ca="1">BDP("237190AB Muni","ISSUER_TYPE")</f>
        <v>#NAME?</v>
      </c>
      <c r="S33" t="e">
        <f ca="1">BDS("237190AB Muni","ESG_PROJECT_CATEGORY", "aggregate=y")</f>
        <v>#NAME?</v>
      </c>
      <c r="T33" t="e">
        <f ca="1">BDS("237190AB Muni","ESG_PROJECT_SUBCATEGORY", "aggregate=y")</f>
        <v>#NAME?</v>
      </c>
    </row>
    <row r="34" spans="1:20" x14ac:dyDescent="0.25">
      <c r="A34" t="e">
        <f ca="1">BDP("083389HH Muni","ID_CUSIP")</f>
        <v>#NAME?</v>
      </c>
      <c r="B34" t="e">
        <f ca="1">BDP("083389HH Muni","STATE_CODE")</f>
        <v>#NAME?</v>
      </c>
      <c r="C34" t="s">
        <v>23</v>
      </c>
      <c r="D34" t="e">
        <f ca="1">BDP("083389HH Muni","YIELD_ON_ISSUE_DATE")</f>
        <v>#NAME?</v>
      </c>
      <c r="E34">
        <v>680000</v>
      </c>
      <c r="F34" t="e">
        <f ca="1">BDP("083389HH Muni","ISSUE_DT")</f>
        <v>#NAME?</v>
      </c>
      <c r="G34" t="e">
        <f ca="1">BDP("083389HH Muni","MATURITY")</f>
        <v>#NAME?</v>
      </c>
      <c r="H34" t="e">
        <f ca="1">BDP("083389HH Muni","MUNI_TAX_PROV")</f>
        <v>#NAME?</v>
      </c>
      <c r="I34" t="e">
        <f ca="1">BDP("083389HH Muni","FINANCING_TYPE")</f>
        <v>#NAME?</v>
      </c>
      <c r="J34" t="e">
        <f ca="1">BDP("083389HH Muni","BICS_LEVEL_2_INDUSTRY_GROUP_NAME")</f>
        <v>#NAME?</v>
      </c>
      <c r="K34" t="e">
        <f ca="1">BDP("083389HH Muni","SELF_REPRTD_GREEN_INSTR_INDCTR")</f>
        <v>#NAME?</v>
      </c>
      <c r="L34" t="e">
        <f ca="1">BDP("083389HH Muni","GB_MANAGEMENT_PROCEEDS")</f>
        <v>#NAME?</v>
      </c>
      <c r="M34" t="e">
        <f ca="1">BDP("083389HH Muni","GB_REPORTING")</f>
        <v>#NAME?</v>
      </c>
      <c r="N34" t="e">
        <f ca="1">BDP("083389HH Muni","GB_ASSURANCE_PROVIDERS")</f>
        <v>#NAME?</v>
      </c>
      <c r="O34" t="e">
        <f ca="1">BDP("083389HH Muni","GB_PROJECT_SELECTION_PROCESS")</f>
        <v>#NAME?</v>
      </c>
      <c r="P34" t="e">
        <f ca="1">BDP("083389HH Muni","ESG_FRAMEWORK_INDICATOR")</f>
        <v>#NAME?</v>
      </c>
      <c r="Q34" t="e">
        <f ca="1">BDP("083389HH Muni","BLOOMBERG_SECTOR_CODE")</f>
        <v>#NAME?</v>
      </c>
      <c r="R34" t="e">
        <f ca="1">BDP("083389HH Muni","ISSUER_TYPE")</f>
        <v>#NAME?</v>
      </c>
      <c r="S34" t="e">
        <f ca="1">BDS("083389HH Muni","ESG_PROJECT_CATEGORY", "aggregate=y")</f>
        <v>#NAME?</v>
      </c>
      <c r="T34" t="e">
        <f ca="1">BDS("083389HH Muni","ESG_PROJECT_SUBCATEGORY", "aggregate=y")</f>
        <v>#NAME?</v>
      </c>
    </row>
    <row r="35" spans="1:20" x14ac:dyDescent="0.25">
      <c r="A35" t="e">
        <f ca="1">BDP("441178DS Muni","ID_CUSIP")</f>
        <v>#NAME?</v>
      </c>
      <c r="B35" t="e">
        <f ca="1">BDP("441178DS Muni","STATE_CODE")</f>
        <v>#NAME?</v>
      </c>
      <c r="C35" t="s">
        <v>21</v>
      </c>
      <c r="D35" t="e">
        <f ca="1">BDP("441178DS Muni","YIELD_ON_ISSUE_DATE")</f>
        <v>#NAME?</v>
      </c>
      <c r="E35">
        <v>5605000</v>
      </c>
      <c r="F35" t="e">
        <f ca="1">BDP("441178DS Muni","ISSUE_DT")</f>
        <v>#NAME?</v>
      </c>
      <c r="G35" t="e">
        <f ca="1">BDP("441178DS Muni","MATURITY")</f>
        <v>#NAME?</v>
      </c>
      <c r="H35" t="e">
        <f ca="1">BDP("441178DS Muni","MUNI_TAX_PROV")</f>
        <v>#NAME?</v>
      </c>
      <c r="I35" t="e">
        <f ca="1">BDP("441178DS Muni","FINANCING_TYPE")</f>
        <v>#NAME?</v>
      </c>
      <c r="J35" t="e">
        <f ca="1">BDP("441178DS Muni","BICS_LEVEL_2_INDUSTRY_GROUP_NAME")</f>
        <v>#NAME?</v>
      </c>
      <c r="K35" t="e">
        <f ca="1">BDP("441178DS Muni","SELF_REPRTD_GREEN_INSTR_INDCTR")</f>
        <v>#NAME?</v>
      </c>
      <c r="L35" t="e">
        <f ca="1">BDP("441178DS Muni","GB_MANAGEMENT_PROCEEDS")</f>
        <v>#NAME?</v>
      </c>
      <c r="M35" t="e">
        <f ca="1">BDP("441178DS Muni","GB_REPORTING")</f>
        <v>#NAME?</v>
      </c>
      <c r="N35" t="e">
        <f ca="1">BDP("441178DS Muni","GB_ASSURANCE_PROVIDERS")</f>
        <v>#NAME?</v>
      </c>
      <c r="O35" t="e">
        <f ca="1">BDP("441178DS Muni","GB_PROJECT_SELECTION_PROCESS")</f>
        <v>#NAME?</v>
      </c>
      <c r="P35" t="e">
        <f ca="1">BDP("441178DS Muni","ESG_FRAMEWORK_INDICATOR")</f>
        <v>#NAME?</v>
      </c>
      <c r="Q35" t="e">
        <f ca="1">BDP("441178DS Muni","BLOOMBERG_SECTOR_CODE")</f>
        <v>#NAME?</v>
      </c>
      <c r="R35" t="e">
        <f ca="1">BDP("441178DS Muni","ISSUER_TYPE")</f>
        <v>#NAME?</v>
      </c>
      <c r="S35" t="e">
        <f ca="1">BDS("441178DS Muni","ESG_PROJECT_CATEGORY", "aggregate=y")</f>
        <v>#NAME?</v>
      </c>
      <c r="T35" t="e">
        <f ca="1">BDS("441178DS Muni","ESG_PROJECT_SUBCATEGORY", "aggregate=y")</f>
        <v>#NAME?</v>
      </c>
    </row>
    <row r="36" spans="1:20" x14ac:dyDescent="0.25">
      <c r="A36" t="e">
        <f ca="1">BDP("441178DV Muni","ID_CUSIP")</f>
        <v>#NAME?</v>
      </c>
      <c r="B36" t="e">
        <f ca="1">BDP("441178DV Muni","STATE_CODE")</f>
        <v>#NAME?</v>
      </c>
      <c r="C36" t="s">
        <v>21</v>
      </c>
      <c r="D36" t="e">
        <f ca="1">BDP("441178DV Muni","YIELD_ON_ISSUE_DATE")</f>
        <v>#NAME?</v>
      </c>
      <c r="E36">
        <v>8500000</v>
      </c>
      <c r="F36" t="e">
        <f ca="1">BDP("441178DV Muni","ISSUE_DT")</f>
        <v>#NAME?</v>
      </c>
      <c r="G36" t="e">
        <f ca="1">BDP("441178DV Muni","MATURITY")</f>
        <v>#NAME?</v>
      </c>
      <c r="H36" t="e">
        <f ca="1">BDP("441178DV Muni","MUNI_TAX_PROV")</f>
        <v>#NAME?</v>
      </c>
      <c r="I36" t="e">
        <f ca="1">BDP("441178DV Muni","FINANCING_TYPE")</f>
        <v>#NAME?</v>
      </c>
      <c r="J36" t="e">
        <f ca="1">BDP("441178DV Muni","BICS_LEVEL_2_INDUSTRY_GROUP_NAME")</f>
        <v>#NAME?</v>
      </c>
      <c r="K36" t="e">
        <f ca="1">BDP("441178DV Muni","SELF_REPRTD_GREEN_INSTR_INDCTR")</f>
        <v>#NAME?</v>
      </c>
      <c r="L36" t="e">
        <f ca="1">BDP("441178DV Muni","GB_MANAGEMENT_PROCEEDS")</f>
        <v>#NAME?</v>
      </c>
      <c r="M36" t="e">
        <f ca="1">BDP("441178DV Muni","GB_REPORTING")</f>
        <v>#NAME?</v>
      </c>
      <c r="N36" t="e">
        <f ca="1">BDP("441178DV Muni","GB_ASSURANCE_PROVIDERS")</f>
        <v>#NAME?</v>
      </c>
      <c r="O36" t="e">
        <f ca="1">BDP("441178DV Muni","GB_PROJECT_SELECTION_PROCESS")</f>
        <v>#NAME?</v>
      </c>
      <c r="P36" t="e">
        <f ca="1">BDP("441178DV Muni","ESG_FRAMEWORK_INDICATOR")</f>
        <v>#NAME?</v>
      </c>
      <c r="Q36" t="e">
        <f ca="1">BDP("441178DV Muni","BLOOMBERG_SECTOR_CODE")</f>
        <v>#NAME?</v>
      </c>
      <c r="R36" t="e">
        <f ca="1">BDP("441178DV Muni","ISSUER_TYPE")</f>
        <v>#NAME?</v>
      </c>
      <c r="S36" t="e">
        <f ca="1">BDS("441178DV Muni","ESG_PROJECT_CATEGORY", "aggregate=y")</f>
        <v>#NAME?</v>
      </c>
      <c r="T36" t="e">
        <f ca="1">BDS("441178DV Muni","ESG_PROJECT_SUBCATEGORY", "aggregate=y")</f>
        <v>#NAME?</v>
      </c>
    </row>
    <row r="37" spans="1:20" x14ac:dyDescent="0.25">
      <c r="A37" t="e">
        <f ca="1">BDP("083389GV Muni","ID_CUSIP")</f>
        <v>#NAME?</v>
      </c>
      <c r="B37" t="e">
        <f ca="1">BDP("083389GV Muni","STATE_CODE")</f>
        <v>#NAME?</v>
      </c>
      <c r="C37" t="s">
        <v>23</v>
      </c>
      <c r="D37" t="e">
        <f ca="1">BDP("083389GV Muni","YIELD_ON_ISSUE_DATE")</f>
        <v>#NAME?</v>
      </c>
      <c r="E37">
        <v>405000</v>
      </c>
      <c r="F37" t="e">
        <f ca="1">BDP("083389GV Muni","ISSUE_DT")</f>
        <v>#NAME?</v>
      </c>
      <c r="G37" t="e">
        <f ca="1">BDP("083389GV Muni","MATURITY")</f>
        <v>#NAME?</v>
      </c>
      <c r="H37" t="e">
        <f ca="1">BDP("083389GV Muni","MUNI_TAX_PROV")</f>
        <v>#NAME?</v>
      </c>
      <c r="I37" t="e">
        <f ca="1">BDP("083389GV Muni","FINANCING_TYPE")</f>
        <v>#NAME?</v>
      </c>
      <c r="J37" t="e">
        <f ca="1">BDP("083389GV Muni","BICS_LEVEL_2_INDUSTRY_GROUP_NAME")</f>
        <v>#NAME?</v>
      </c>
      <c r="K37" t="e">
        <f ca="1">BDP("083389GV Muni","SELF_REPRTD_GREEN_INSTR_INDCTR")</f>
        <v>#NAME?</v>
      </c>
      <c r="L37" t="e">
        <f ca="1">BDP("083389GV Muni","GB_MANAGEMENT_PROCEEDS")</f>
        <v>#NAME?</v>
      </c>
      <c r="M37" t="e">
        <f ca="1">BDP("083389GV Muni","GB_REPORTING")</f>
        <v>#NAME?</v>
      </c>
      <c r="N37" t="e">
        <f ca="1">BDP("083389GV Muni","GB_ASSURANCE_PROVIDERS")</f>
        <v>#NAME?</v>
      </c>
      <c r="O37" t="e">
        <f ca="1">BDP("083389GV Muni","GB_PROJECT_SELECTION_PROCESS")</f>
        <v>#NAME?</v>
      </c>
      <c r="P37" t="e">
        <f ca="1">BDP("083389GV Muni","ESG_FRAMEWORK_INDICATOR")</f>
        <v>#NAME?</v>
      </c>
      <c r="Q37" t="e">
        <f ca="1">BDP("083389GV Muni","BLOOMBERG_SECTOR_CODE")</f>
        <v>#NAME?</v>
      </c>
      <c r="R37" t="e">
        <f ca="1">BDP("083389GV Muni","ISSUER_TYPE")</f>
        <v>#NAME?</v>
      </c>
      <c r="S37" t="e">
        <f ca="1">BDS("083389GV Muni","ESG_PROJECT_CATEGORY", "aggregate=y")</f>
        <v>#NAME?</v>
      </c>
      <c r="T37" t="e">
        <f ca="1">BDS("083389GV Muni","ESG_PROJECT_SUBCATEGORY", "aggregate=y")</f>
        <v>#NAME?</v>
      </c>
    </row>
    <row r="38" spans="1:20" x14ac:dyDescent="0.25">
      <c r="A38" t="e">
        <f ca="1">BDP("083389HJ Muni","ID_CUSIP")</f>
        <v>#NAME?</v>
      </c>
      <c r="B38" t="e">
        <f ca="1">BDP("083389HJ Muni","STATE_CODE")</f>
        <v>#NAME?</v>
      </c>
      <c r="C38" t="s">
        <v>23</v>
      </c>
      <c r="D38" t="e">
        <f ca="1">BDP("083389HJ Muni","YIELD_ON_ISSUE_DATE")</f>
        <v>#NAME?</v>
      </c>
      <c r="E38">
        <v>1445000</v>
      </c>
      <c r="F38" t="e">
        <f ca="1">BDP("083389HJ Muni","ISSUE_DT")</f>
        <v>#NAME?</v>
      </c>
      <c r="G38" t="e">
        <f ca="1">BDP("083389HJ Muni","MATURITY")</f>
        <v>#NAME?</v>
      </c>
      <c r="H38" t="e">
        <f ca="1">BDP("083389HJ Muni","MUNI_TAX_PROV")</f>
        <v>#NAME?</v>
      </c>
      <c r="I38" t="e">
        <f ca="1">BDP("083389HJ Muni","FINANCING_TYPE")</f>
        <v>#NAME?</v>
      </c>
      <c r="J38" t="e">
        <f ca="1">BDP("083389HJ Muni","BICS_LEVEL_2_INDUSTRY_GROUP_NAME")</f>
        <v>#NAME?</v>
      </c>
      <c r="K38" t="e">
        <f ca="1">BDP("083389HJ Muni","SELF_REPRTD_GREEN_INSTR_INDCTR")</f>
        <v>#NAME?</v>
      </c>
      <c r="L38" t="e">
        <f ca="1">BDP("083389HJ Muni","GB_MANAGEMENT_PROCEEDS")</f>
        <v>#NAME?</v>
      </c>
      <c r="M38" t="e">
        <f ca="1">BDP("083389HJ Muni","GB_REPORTING")</f>
        <v>#NAME?</v>
      </c>
      <c r="N38" t="e">
        <f ca="1">BDP("083389HJ Muni","GB_ASSURANCE_PROVIDERS")</f>
        <v>#NAME?</v>
      </c>
      <c r="O38" t="e">
        <f ca="1">BDP("083389HJ Muni","GB_PROJECT_SELECTION_PROCESS")</f>
        <v>#NAME?</v>
      </c>
      <c r="P38" t="e">
        <f ca="1">BDP("083389HJ Muni","ESG_FRAMEWORK_INDICATOR")</f>
        <v>#NAME?</v>
      </c>
      <c r="Q38" t="e">
        <f ca="1">BDP("083389HJ Muni","BLOOMBERG_SECTOR_CODE")</f>
        <v>#NAME?</v>
      </c>
      <c r="R38" t="e">
        <f ca="1">BDP("083389HJ Muni","ISSUER_TYPE")</f>
        <v>#NAME?</v>
      </c>
      <c r="S38" t="e">
        <f ca="1">BDS("083389HJ Muni","ESG_PROJECT_CATEGORY", "aggregate=y")</f>
        <v>#NAME?</v>
      </c>
      <c r="T38" t="e">
        <f ca="1">BDS("083389HJ Muni","ESG_PROJECT_SUBCATEGORY", "aggregate=y")</f>
        <v>#NAME?</v>
      </c>
    </row>
    <row r="39" spans="1:20" x14ac:dyDescent="0.25">
      <c r="A39" t="e">
        <f ca="1">BDP("083389GT Muni","ID_CUSIP")</f>
        <v>#NAME?</v>
      </c>
      <c r="B39" t="e">
        <f ca="1">BDP("083389GT Muni","STATE_CODE")</f>
        <v>#NAME?</v>
      </c>
      <c r="C39" t="s">
        <v>23</v>
      </c>
      <c r="D39" t="e">
        <f ca="1">BDP("083389GT Muni","YIELD_ON_ISSUE_DATE")</f>
        <v>#NAME?</v>
      </c>
      <c r="E39">
        <v>365000</v>
      </c>
      <c r="F39" t="e">
        <f ca="1">BDP("083389GT Muni","ISSUE_DT")</f>
        <v>#NAME?</v>
      </c>
      <c r="G39" t="e">
        <f ca="1">BDP("083389GT Muni","MATURITY")</f>
        <v>#NAME?</v>
      </c>
      <c r="H39" t="e">
        <f ca="1">BDP("083389GT Muni","MUNI_TAX_PROV")</f>
        <v>#NAME?</v>
      </c>
      <c r="I39" t="e">
        <f ca="1">BDP("083389GT Muni","FINANCING_TYPE")</f>
        <v>#NAME?</v>
      </c>
      <c r="J39" t="e">
        <f ca="1">BDP("083389GT Muni","BICS_LEVEL_2_INDUSTRY_GROUP_NAME")</f>
        <v>#NAME?</v>
      </c>
      <c r="K39" t="e">
        <f ca="1">BDP("083389GT Muni","SELF_REPRTD_GREEN_INSTR_INDCTR")</f>
        <v>#NAME?</v>
      </c>
      <c r="L39" t="e">
        <f ca="1">BDP("083389GT Muni","GB_MANAGEMENT_PROCEEDS")</f>
        <v>#NAME?</v>
      </c>
      <c r="M39" t="e">
        <f ca="1">BDP("083389GT Muni","GB_REPORTING")</f>
        <v>#NAME?</v>
      </c>
      <c r="N39" t="e">
        <f ca="1">BDP("083389GT Muni","GB_ASSURANCE_PROVIDERS")</f>
        <v>#NAME?</v>
      </c>
      <c r="O39" t="e">
        <f ca="1">BDP("083389GT Muni","GB_PROJECT_SELECTION_PROCESS")</f>
        <v>#NAME?</v>
      </c>
      <c r="P39" t="e">
        <f ca="1">BDP("083389GT Muni","ESG_FRAMEWORK_INDICATOR")</f>
        <v>#NAME?</v>
      </c>
      <c r="Q39" t="e">
        <f ca="1">BDP("083389GT Muni","BLOOMBERG_SECTOR_CODE")</f>
        <v>#NAME?</v>
      </c>
      <c r="R39" t="e">
        <f ca="1">BDP("083389GT Muni","ISSUER_TYPE")</f>
        <v>#NAME?</v>
      </c>
      <c r="S39" t="e">
        <f ca="1">BDS("083389GT Muni","ESG_PROJECT_CATEGORY", "aggregate=y")</f>
        <v>#NAME?</v>
      </c>
      <c r="T39" t="e">
        <f ca="1">BDS("083389GT Muni","ESG_PROJECT_SUBCATEGORY", "aggregate=y")</f>
        <v>#NAME?</v>
      </c>
    </row>
    <row r="40" spans="1:20" x14ac:dyDescent="0.25">
      <c r="A40" t="e">
        <f ca="1">BDP("083389GY Muni","ID_CUSIP")</f>
        <v>#NAME?</v>
      </c>
      <c r="B40" t="e">
        <f ca="1">BDP("083389GY Muni","STATE_CODE")</f>
        <v>#NAME?</v>
      </c>
      <c r="C40" t="s">
        <v>23</v>
      </c>
      <c r="D40" t="e">
        <f ca="1">BDP("083389GY Muni","YIELD_ON_ISSUE_DATE")</f>
        <v>#NAME?</v>
      </c>
      <c r="E40">
        <v>470000</v>
      </c>
      <c r="F40" t="e">
        <f ca="1">BDP("083389GY Muni","ISSUE_DT")</f>
        <v>#NAME?</v>
      </c>
      <c r="G40" t="e">
        <f ca="1">BDP("083389GY Muni","MATURITY")</f>
        <v>#NAME?</v>
      </c>
      <c r="H40" t="e">
        <f ca="1">BDP("083389GY Muni","MUNI_TAX_PROV")</f>
        <v>#NAME?</v>
      </c>
      <c r="I40" t="e">
        <f ca="1">BDP("083389GY Muni","FINANCING_TYPE")</f>
        <v>#NAME?</v>
      </c>
      <c r="J40" t="e">
        <f ca="1">BDP("083389GY Muni","BICS_LEVEL_2_INDUSTRY_GROUP_NAME")</f>
        <v>#NAME?</v>
      </c>
      <c r="K40" t="e">
        <f ca="1">BDP("083389GY Muni","SELF_REPRTD_GREEN_INSTR_INDCTR")</f>
        <v>#NAME?</v>
      </c>
      <c r="L40" t="e">
        <f ca="1">BDP("083389GY Muni","GB_MANAGEMENT_PROCEEDS")</f>
        <v>#NAME?</v>
      </c>
      <c r="M40" t="e">
        <f ca="1">BDP("083389GY Muni","GB_REPORTING")</f>
        <v>#NAME?</v>
      </c>
      <c r="N40" t="e">
        <f ca="1">BDP("083389GY Muni","GB_ASSURANCE_PROVIDERS")</f>
        <v>#NAME?</v>
      </c>
      <c r="O40" t="e">
        <f ca="1">BDP("083389GY Muni","GB_PROJECT_SELECTION_PROCESS")</f>
        <v>#NAME?</v>
      </c>
      <c r="P40" t="e">
        <f ca="1">BDP("083389GY Muni","ESG_FRAMEWORK_INDICATOR")</f>
        <v>#NAME?</v>
      </c>
      <c r="Q40" t="e">
        <f ca="1">BDP("083389GY Muni","BLOOMBERG_SECTOR_CODE")</f>
        <v>#NAME?</v>
      </c>
      <c r="R40" t="e">
        <f ca="1">BDP("083389GY Muni","ISSUER_TYPE")</f>
        <v>#NAME?</v>
      </c>
      <c r="S40" t="e">
        <f ca="1">BDS("083389GY Muni","ESG_PROJECT_CATEGORY", "aggregate=y")</f>
        <v>#NAME?</v>
      </c>
      <c r="T40" t="e">
        <f ca="1">BDS("083389GY Muni","ESG_PROJECT_SUBCATEGORY", "aggregate=y")</f>
        <v>#NAME?</v>
      </c>
    </row>
    <row r="41" spans="1:20" x14ac:dyDescent="0.25">
      <c r="A41" t="e">
        <f ca="1">BDP("083389GZ Muni","ID_CUSIP")</f>
        <v>#NAME?</v>
      </c>
      <c r="B41" t="e">
        <f ca="1">BDP("083389GZ Muni","STATE_CODE")</f>
        <v>#NAME?</v>
      </c>
      <c r="C41" t="s">
        <v>23</v>
      </c>
      <c r="D41" t="e">
        <f ca="1">BDP("083389GZ Muni","YIELD_ON_ISSUE_DATE")</f>
        <v>#NAME?</v>
      </c>
      <c r="E41">
        <v>490000</v>
      </c>
      <c r="F41" t="e">
        <f ca="1">BDP("083389GZ Muni","ISSUE_DT")</f>
        <v>#NAME?</v>
      </c>
      <c r="G41" t="e">
        <f ca="1">BDP("083389GZ Muni","MATURITY")</f>
        <v>#NAME?</v>
      </c>
      <c r="H41" t="e">
        <f ca="1">BDP("083389GZ Muni","MUNI_TAX_PROV")</f>
        <v>#NAME?</v>
      </c>
      <c r="I41" t="e">
        <f ca="1">BDP("083389GZ Muni","FINANCING_TYPE")</f>
        <v>#NAME?</v>
      </c>
      <c r="J41" t="e">
        <f ca="1">BDP("083389GZ Muni","BICS_LEVEL_2_INDUSTRY_GROUP_NAME")</f>
        <v>#NAME?</v>
      </c>
      <c r="K41" t="e">
        <f ca="1">BDP("083389GZ Muni","SELF_REPRTD_GREEN_INSTR_INDCTR")</f>
        <v>#NAME?</v>
      </c>
      <c r="L41" t="e">
        <f ca="1">BDP("083389GZ Muni","GB_MANAGEMENT_PROCEEDS")</f>
        <v>#NAME?</v>
      </c>
      <c r="M41" t="e">
        <f ca="1">BDP("083389GZ Muni","GB_REPORTING")</f>
        <v>#NAME?</v>
      </c>
      <c r="N41" t="e">
        <f ca="1">BDP("083389GZ Muni","GB_ASSURANCE_PROVIDERS")</f>
        <v>#NAME?</v>
      </c>
      <c r="O41" t="e">
        <f ca="1">BDP("083389GZ Muni","GB_PROJECT_SELECTION_PROCESS")</f>
        <v>#NAME?</v>
      </c>
      <c r="P41" t="e">
        <f ca="1">BDP("083389GZ Muni","ESG_FRAMEWORK_INDICATOR")</f>
        <v>#NAME?</v>
      </c>
      <c r="Q41" t="e">
        <f ca="1">BDP("083389GZ Muni","BLOOMBERG_SECTOR_CODE")</f>
        <v>#NAME?</v>
      </c>
      <c r="R41" t="e">
        <f ca="1">BDP("083389GZ Muni","ISSUER_TYPE")</f>
        <v>#NAME?</v>
      </c>
      <c r="S41" t="e">
        <f ca="1">BDS("083389GZ Muni","ESG_PROJECT_CATEGORY", "aggregate=y")</f>
        <v>#NAME?</v>
      </c>
      <c r="T41" t="e">
        <f ca="1">BDS("083389GZ Muni","ESG_PROJECT_SUBCATEGORY", "aggregate=y")</f>
        <v>#NAME?</v>
      </c>
    </row>
    <row r="42" spans="1:20" x14ac:dyDescent="0.25">
      <c r="A42" t="e">
        <f ca="1">BDP("441178DH Muni","ID_CUSIP")</f>
        <v>#NAME?</v>
      </c>
      <c r="B42" t="e">
        <f ca="1">BDP("441178DH Muni","STATE_CODE")</f>
        <v>#NAME?</v>
      </c>
      <c r="C42" t="s">
        <v>21</v>
      </c>
      <c r="D42" t="e">
        <f ca="1">BDP("441178DH Muni","YIELD_ON_ISSUE_DATE")</f>
        <v>#NAME?</v>
      </c>
      <c r="E42">
        <v>1205000</v>
      </c>
      <c r="F42" t="e">
        <f ca="1">BDP("441178DH Muni","ISSUE_DT")</f>
        <v>#NAME?</v>
      </c>
      <c r="G42" t="e">
        <f ca="1">BDP("441178DH Muni","MATURITY")</f>
        <v>#NAME?</v>
      </c>
      <c r="H42" t="e">
        <f ca="1">BDP("441178DH Muni","MUNI_TAX_PROV")</f>
        <v>#NAME?</v>
      </c>
      <c r="I42" t="e">
        <f ca="1">BDP("441178DH Muni","FINANCING_TYPE")</f>
        <v>#NAME?</v>
      </c>
      <c r="J42" t="e">
        <f ca="1">BDP("441178DH Muni","BICS_LEVEL_2_INDUSTRY_GROUP_NAME")</f>
        <v>#NAME?</v>
      </c>
      <c r="K42" t="e">
        <f ca="1">BDP("441178DH Muni","SELF_REPRTD_GREEN_INSTR_INDCTR")</f>
        <v>#NAME?</v>
      </c>
      <c r="L42" t="e">
        <f ca="1">BDP("441178DH Muni","GB_MANAGEMENT_PROCEEDS")</f>
        <v>#NAME?</v>
      </c>
      <c r="M42" t="e">
        <f ca="1">BDP("441178DH Muni","GB_REPORTING")</f>
        <v>#NAME?</v>
      </c>
      <c r="N42" t="e">
        <f ca="1">BDP("441178DH Muni","GB_ASSURANCE_PROVIDERS")</f>
        <v>#NAME?</v>
      </c>
      <c r="O42" t="e">
        <f ca="1">BDP("441178DH Muni","GB_PROJECT_SELECTION_PROCESS")</f>
        <v>#NAME?</v>
      </c>
      <c r="P42" t="e">
        <f ca="1">BDP("441178DH Muni","ESG_FRAMEWORK_INDICATOR")</f>
        <v>#NAME?</v>
      </c>
      <c r="Q42" t="e">
        <f ca="1">BDP("441178DH Muni","BLOOMBERG_SECTOR_CODE")</f>
        <v>#NAME?</v>
      </c>
      <c r="R42" t="e">
        <f ca="1">BDP("441178DH Muni","ISSUER_TYPE")</f>
        <v>#NAME?</v>
      </c>
      <c r="S42" t="e">
        <f ca="1">BDS("441178DH Muni","ESG_PROJECT_CATEGORY", "aggregate=y")</f>
        <v>#NAME?</v>
      </c>
      <c r="T42" t="e">
        <f ca="1">BDS("441178DH Muni","ESG_PROJECT_SUBCATEGORY", "aggregate=y")</f>
        <v>#NAME?</v>
      </c>
    </row>
    <row r="43" spans="1:20" x14ac:dyDescent="0.25">
      <c r="A43" t="e">
        <f ca="1">BDP("441178DN Muni","ID_CUSIP")</f>
        <v>#NAME?</v>
      </c>
      <c r="B43" t="e">
        <f ca="1">BDP("441178DN Muni","STATE_CODE")</f>
        <v>#NAME?</v>
      </c>
      <c r="C43" t="s">
        <v>21</v>
      </c>
      <c r="D43" t="e">
        <f ca="1">BDP("441178DN Muni","YIELD_ON_ISSUE_DATE")</f>
        <v>#NAME?</v>
      </c>
      <c r="E43">
        <v>1540000</v>
      </c>
      <c r="F43" t="e">
        <f ca="1">BDP("441178DN Muni","ISSUE_DT")</f>
        <v>#NAME?</v>
      </c>
      <c r="G43" t="e">
        <f ca="1">BDP("441178DN Muni","MATURITY")</f>
        <v>#NAME?</v>
      </c>
      <c r="H43" t="e">
        <f ca="1">BDP("441178DN Muni","MUNI_TAX_PROV")</f>
        <v>#NAME?</v>
      </c>
      <c r="I43" t="e">
        <f ca="1">BDP("441178DN Muni","FINANCING_TYPE")</f>
        <v>#NAME?</v>
      </c>
      <c r="J43" t="e">
        <f ca="1">BDP("441178DN Muni","BICS_LEVEL_2_INDUSTRY_GROUP_NAME")</f>
        <v>#NAME?</v>
      </c>
      <c r="K43" t="e">
        <f ca="1">BDP("441178DN Muni","SELF_REPRTD_GREEN_INSTR_INDCTR")</f>
        <v>#NAME?</v>
      </c>
      <c r="L43" t="e">
        <f ca="1">BDP("441178DN Muni","GB_MANAGEMENT_PROCEEDS")</f>
        <v>#NAME?</v>
      </c>
      <c r="M43" t="e">
        <f ca="1">BDP("441178DN Muni","GB_REPORTING")</f>
        <v>#NAME?</v>
      </c>
      <c r="N43" t="e">
        <f ca="1">BDP("441178DN Muni","GB_ASSURANCE_PROVIDERS")</f>
        <v>#NAME?</v>
      </c>
      <c r="O43" t="e">
        <f ca="1">BDP("441178DN Muni","GB_PROJECT_SELECTION_PROCESS")</f>
        <v>#NAME?</v>
      </c>
      <c r="P43" t="e">
        <f ca="1">BDP("441178DN Muni","ESG_FRAMEWORK_INDICATOR")</f>
        <v>#NAME?</v>
      </c>
      <c r="Q43" t="e">
        <f ca="1">BDP("441178DN Muni","BLOOMBERG_SECTOR_CODE")</f>
        <v>#NAME?</v>
      </c>
      <c r="R43" t="e">
        <f ca="1">BDP("441178DN Muni","ISSUER_TYPE")</f>
        <v>#NAME?</v>
      </c>
      <c r="S43" t="e">
        <f ca="1">BDS("441178DN Muni","ESG_PROJECT_CATEGORY", "aggregate=y")</f>
        <v>#NAME?</v>
      </c>
      <c r="T43" t="e">
        <f ca="1">BDS("441178DN Muni","ESG_PROJECT_SUBCATEGORY", "aggregate=y")</f>
        <v>#NAME?</v>
      </c>
    </row>
    <row r="44" spans="1:20" x14ac:dyDescent="0.25">
      <c r="A44" t="e">
        <f ca="1">BDP("441178DP Muni","ID_CUSIP")</f>
        <v>#NAME?</v>
      </c>
      <c r="B44" t="e">
        <f ca="1">BDP("441178DP Muni","STATE_CODE")</f>
        <v>#NAME?</v>
      </c>
      <c r="C44" t="s">
        <v>21</v>
      </c>
      <c r="D44" t="e">
        <f ca="1">BDP("441178DP Muni","YIELD_ON_ISSUE_DATE")</f>
        <v>#NAME?</v>
      </c>
      <c r="E44">
        <v>5140000</v>
      </c>
      <c r="F44" t="e">
        <f ca="1">BDP("441178DP Muni","ISSUE_DT")</f>
        <v>#NAME?</v>
      </c>
      <c r="G44" t="e">
        <f ca="1">BDP("441178DP Muni","MATURITY")</f>
        <v>#NAME?</v>
      </c>
      <c r="H44" t="e">
        <f ca="1">BDP("441178DP Muni","MUNI_TAX_PROV")</f>
        <v>#NAME?</v>
      </c>
      <c r="I44" t="e">
        <f ca="1">BDP("441178DP Muni","FINANCING_TYPE")</f>
        <v>#NAME?</v>
      </c>
      <c r="J44" t="e">
        <f ca="1">BDP("441178DP Muni","BICS_LEVEL_2_INDUSTRY_GROUP_NAME")</f>
        <v>#NAME?</v>
      </c>
      <c r="K44" t="e">
        <f ca="1">BDP("441178DP Muni","SELF_REPRTD_GREEN_INSTR_INDCTR")</f>
        <v>#NAME?</v>
      </c>
      <c r="L44" t="e">
        <f ca="1">BDP("441178DP Muni","GB_MANAGEMENT_PROCEEDS")</f>
        <v>#NAME?</v>
      </c>
      <c r="M44" t="e">
        <f ca="1">BDP("441178DP Muni","GB_REPORTING")</f>
        <v>#NAME?</v>
      </c>
      <c r="N44" t="e">
        <f ca="1">BDP("441178DP Muni","GB_ASSURANCE_PROVIDERS")</f>
        <v>#NAME?</v>
      </c>
      <c r="O44" t="e">
        <f ca="1">BDP("441178DP Muni","GB_PROJECT_SELECTION_PROCESS")</f>
        <v>#NAME?</v>
      </c>
      <c r="P44" t="e">
        <f ca="1">BDP("441178DP Muni","ESG_FRAMEWORK_INDICATOR")</f>
        <v>#NAME?</v>
      </c>
      <c r="Q44" t="e">
        <f ca="1">BDP("441178DP Muni","BLOOMBERG_SECTOR_CODE")</f>
        <v>#NAME?</v>
      </c>
      <c r="R44" t="e">
        <f ca="1">BDP("441178DP Muni","ISSUER_TYPE")</f>
        <v>#NAME?</v>
      </c>
      <c r="S44" t="e">
        <f ca="1">BDS("441178DP Muni","ESG_PROJECT_CATEGORY", "aggregate=y")</f>
        <v>#NAME?</v>
      </c>
      <c r="T44" t="e">
        <f ca="1">BDS("441178DP Muni","ESG_PROJECT_SUBCATEGORY", "aggregate=y")</f>
        <v>#NAME?</v>
      </c>
    </row>
    <row r="45" spans="1:20" x14ac:dyDescent="0.25">
      <c r="A45" t="e">
        <f ca="1">BDP("04108KU3 Muni","ID_CUSIP")</f>
        <v>#NAME?</v>
      </c>
      <c r="B45" t="e">
        <f ca="1">BDP("04108KU3 Muni","STATE_CODE")</f>
        <v>#NAME?</v>
      </c>
      <c r="C45" t="s">
        <v>22</v>
      </c>
      <c r="D45" t="e">
        <f ca="1">BDP("04108KU3 Muni","YIELD_ON_ISSUE_DATE")</f>
        <v>#NAME?</v>
      </c>
      <c r="E45">
        <v>1540000</v>
      </c>
      <c r="F45" t="e">
        <f ca="1">BDP("04108KU3 Muni","ISSUE_DT")</f>
        <v>#NAME?</v>
      </c>
      <c r="G45" t="e">
        <f ca="1">BDP("04108KU3 Muni","MATURITY")</f>
        <v>#NAME?</v>
      </c>
      <c r="H45" t="e">
        <f ca="1">BDP("04108KU3 Muni","MUNI_TAX_PROV")</f>
        <v>#NAME?</v>
      </c>
      <c r="I45" t="e">
        <f ca="1">BDP("04108KU3 Muni","FINANCING_TYPE")</f>
        <v>#NAME?</v>
      </c>
      <c r="J45" t="e">
        <f ca="1">BDP("04108KU3 Muni","BICS_LEVEL_2_INDUSTRY_GROUP_NAME")</f>
        <v>#NAME?</v>
      </c>
      <c r="K45" t="e">
        <f ca="1">BDP("04108KU3 Muni","SELF_REPRTD_GREEN_INSTR_INDCTR")</f>
        <v>#NAME?</v>
      </c>
      <c r="L45" t="e">
        <f ca="1">BDP("04108KU3 Muni","GB_MANAGEMENT_PROCEEDS")</f>
        <v>#NAME?</v>
      </c>
      <c r="M45" t="e">
        <f ca="1">BDP("04108KU3 Muni","GB_REPORTING")</f>
        <v>#NAME?</v>
      </c>
      <c r="N45" t="e">
        <f ca="1">BDP("04108KU3 Muni","GB_ASSURANCE_PROVIDERS")</f>
        <v>#NAME?</v>
      </c>
      <c r="O45" t="e">
        <f ca="1">BDP("04108KU3 Muni","GB_PROJECT_SELECTION_PROCESS")</f>
        <v>#NAME?</v>
      </c>
      <c r="P45" t="e">
        <f ca="1">BDP("04108KU3 Muni","ESG_FRAMEWORK_INDICATOR")</f>
        <v>#NAME?</v>
      </c>
      <c r="Q45" t="e">
        <f ca="1">BDP("04108KU3 Muni","BLOOMBERG_SECTOR_CODE")</f>
        <v>#NAME?</v>
      </c>
      <c r="R45" t="e">
        <f ca="1">BDP("04108KU3 Muni","ISSUER_TYPE")</f>
        <v>#NAME?</v>
      </c>
      <c r="S45" t="e">
        <f ca="1">BDS("04108KU3 Muni","ESG_PROJECT_CATEGORY", "aggregate=y")</f>
        <v>#NAME?</v>
      </c>
      <c r="T45" t="e">
        <f ca="1">BDS("04108KU3 Muni","ESG_PROJECT_SUBCATEGORY", "aggregate=y")</f>
        <v>#NAME?</v>
      </c>
    </row>
    <row r="46" spans="1:20" x14ac:dyDescent="0.25">
      <c r="A46" t="e">
        <f ca="1">BDP("04108KU4 Muni","ID_CUSIP")</f>
        <v>#NAME?</v>
      </c>
      <c r="B46" t="e">
        <f ca="1">BDP("04108KU4 Muni","STATE_CODE")</f>
        <v>#NAME?</v>
      </c>
      <c r="C46" t="s">
        <v>22</v>
      </c>
      <c r="D46" t="e">
        <f ca="1">BDP("04108KU4 Muni","YIELD_ON_ISSUE_DATE")</f>
        <v>#NAME?</v>
      </c>
      <c r="E46">
        <v>1620000</v>
      </c>
      <c r="F46" t="e">
        <f ca="1">BDP("04108KU4 Muni","ISSUE_DT")</f>
        <v>#NAME?</v>
      </c>
      <c r="G46" t="e">
        <f ca="1">BDP("04108KU4 Muni","MATURITY")</f>
        <v>#NAME?</v>
      </c>
      <c r="H46" t="e">
        <f ca="1">BDP("04108KU4 Muni","MUNI_TAX_PROV")</f>
        <v>#NAME?</v>
      </c>
      <c r="I46" t="e">
        <f ca="1">BDP("04108KU4 Muni","FINANCING_TYPE")</f>
        <v>#NAME?</v>
      </c>
      <c r="J46" t="e">
        <f ca="1">BDP("04108KU4 Muni","BICS_LEVEL_2_INDUSTRY_GROUP_NAME")</f>
        <v>#NAME?</v>
      </c>
      <c r="K46" t="e">
        <f ca="1">BDP("04108KU4 Muni","SELF_REPRTD_GREEN_INSTR_INDCTR")</f>
        <v>#NAME?</v>
      </c>
      <c r="L46" t="e">
        <f ca="1">BDP("04108KU4 Muni","GB_MANAGEMENT_PROCEEDS")</f>
        <v>#NAME?</v>
      </c>
      <c r="M46" t="e">
        <f ca="1">BDP("04108KU4 Muni","GB_REPORTING")</f>
        <v>#NAME?</v>
      </c>
      <c r="N46" t="e">
        <f ca="1">BDP("04108KU4 Muni","GB_ASSURANCE_PROVIDERS")</f>
        <v>#NAME?</v>
      </c>
      <c r="O46" t="e">
        <f ca="1">BDP("04108KU4 Muni","GB_PROJECT_SELECTION_PROCESS")</f>
        <v>#NAME?</v>
      </c>
      <c r="P46" t="e">
        <f ca="1">BDP("04108KU4 Muni","ESG_FRAMEWORK_INDICATOR")</f>
        <v>#NAME?</v>
      </c>
      <c r="Q46" t="e">
        <f ca="1">BDP("04108KU4 Muni","BLOOMBERG_SECTOR_CODE")</f>
        <v>#NAME?</v>
      </c>
      <c r="R46" t="e">
        <f ca="1">BDP("04108KU4 Muni","ISSUER_TYPE")</f>
        <v>#NAME?</v>
      </c>
      <c r="S46" t="e">
        <f ca="1">BDS("04108KU4 Muni","ESG_PROJECT_CATEGORY", "aggregate=y")</f>
        <v>#NAME?</v>
      </c>
      <c r="T46" t="e">
        <f ca="1">BDS("04108KU4 Muni","ESG_PROJECT_SUBCATEGORY", "aggregate=y")</f>
        <v>#NAME?</v>
      </c>
    </row>
    <row r="47" spans="1:20" x14ac:dyDescent="0.25">
      <c r="A47" t="e">
        <f ca="1">BDP("04108KU5 Muni","ID_CUSIP")</f>
        <v>#NAME?</v>
      </c>
      <c r="B47" t="e">
        <f ca="1">BDP("04108KU5 Muni","STATE_CODE")</f>
        <v>#NAME?</v>
      </c>
      <c r="C47" t="s">
        <v>22</v>
      </c>
      <c r="D47" t="e">
        <f ca="1">BDP("04108KU5 Muni","YIELD_ON_ISSUE_DATE")</f>
        <v>#NAME?</v>
      </c>
      <c r="E47">
        <v>1700000</v>
      </c>
      <c r="F47" t="e">
        <f ca="1">BDP("04108KU5 Muni","ISSUE_DT")</f>
        <v>#NAME?</v>
      </c>
      <c r="G47" t="e">
        <f ca="1">BDP("04108KU5 Muni","MATURITY")</f>
        <v>#NAME?</v>
      </c>
      <c r="H47" t="e">
        <f ca="1">BDP("04108KU5 Muni","MUNI_TAX_PROV")</f>
        <v>#NAME?</v>
      </c>
      <c r="I47" t="e">
        <f ca="1">BDP("04108KU5 Muni","FINANCING_TYPE")</f>
        <v>#NAME?</v>
      </c>
      <c r="J47" t="e">
        <f ca="1">BDP("04108KU5 Muni","BICS_LEVEL_2_INDUSTRY_GROUP_NAME")</f>
        <v>#NAME?</v>
      </c>
      <c r="K47" t="e">
        <f ca="1">BDP("04108KU5 Muni","SELF_REPRTD_GREEN_INSTR_INDCTR")</f>
        <v>#NAME?</v>
      </c>
      <c r="L47" t="e">
        <f ca="1">BDP("04108KU5 Muni","GB_MANAGEMENT_PROCEEDS")</f>
        <v>#NAME?</v>
      </c>
      <c r="M47" t="e">
        <f ca="1">BDP("04108KU5 Muni","GB_REPORTING")</f>
        <v>#NAME?</v>
      </c>
      <c r="N47" t="e">
        <f ca="1">BDP("04108KU5 Muni","GB_ASSURANCE_PROVIDERS")</f>
        <v>#NAME?</v>
      </c>
      <c r="O47" t="e">
        <f ca="1">BDP("04108KU5 Muni","GB_PROJECT_SELECTION_PROCESS")</f>
        <v>#NAME?</v>
      </c>
      <c r="P47" t="e">
        <f ca="1">BDP("04108KU5 Muni","ESG_FRAMEWORK_INDICATOR")</f>
        <v>#NAME?</v>
      </c>
      <c r="Q47" t="e">
        <f ca="1">BDP("04108KU5 Muni","BLOOMBERG_SECTOR_CODE")</f>
        <v>#NAME?</v>
      </c>
      <c r="R47" t="e">
        <f ca="1">BDP("04108KU5 Muni","ISSUER_TYPE")</f>
        <v>#NAME?</v>
      </c>
      <c r="S47" t="e">
        <f ca="1">BDS("04108KU5 Muni","ESG_PROJECT_CATEGORY", "aggregate=y")</f>
        <v>#NAME?</v>
      </c>
      <c r="T47" t="e">
        <f ca="1">BDS("04108KU5 Muni","ESG_PROJECT_SUBCATEGORY", "aggregate=y")</f>
        <v>#NAME?</v>
      </c>
    </row>
    <row r="48" spans="1:20" x14ac:dyDescent="0.25">
      <c r="A48" t="e">
        <f ca="1">BDP("04108KU6 Muni","ID_CUSIP")</f>
        <v>#NAME?</v>
      </c>
      <c r="B48" t="e">
        <f ca="1">BDP("04108KU6 Muni","STATE_CODE")</f>
        <v>#NAME?</v>
      </c>
      <c r="C48" t="s">
        <v>22</v>
      </c>
      <c r="D48" t="e">
        <f ca="1">BDP("04108KU6 Muni","YIELD_ON_ISSUE_DATE")</f>
        <v>#NAME?</v>
      </c>
      <c r="E48">
        <v>1785000</v>
      </c>
      <c r="F48" t="e">
        <f ca="1">BDP("04108KU6 Muni","ISSUE_DT")</f>
        <v>#NAME?</v>
      </c>
      <c r="G48" t="e">
        <f ca="1">BDP("04108KU6 Muni","MATURITY")</f>
        <v>#NAME?</v>
      </c>
      <c r="H48" t="e">
        <f ca="1">BDP("04108KU6 Muni","MUNI_TAX_PROV")</f>
        <v>#NAME?</v>
      </c>
      <c r="I48" t="e">
        <f ca="1">BDP("04108KU6 Muni","FINANCING_TYPE")</f>
        <v>#NAME?</v>
      </c>
      <c r="J48" t="e">
        <f ca="1">BDP("04108KU6 Muni","BICS_LEVEL_2_INDUSTRY_GROUP_NAME")</f>
        <v>#NAME?</v>
      </c>
      <c r="K48" t="e">
        <f ca="1">BDP("04108KU6 Muni","SELF_REPRTD_GREEN_INSTR_INDCTR")</f>
        <v>#NAME?</v>
      </c>
      <c r="L48" t="e">
        <f ca="1">BDP("04108KU6 Muni","GB_MANAGEMENT_PROCEEDS")</f>
        <v>#NAME?</v>
      </c>
      <c r="M48" t="e">
        <f ca="1">BDP("04108KU6 Muni","GB_REPORTING")</f>
        <v>#NAME?</v>
      </c>
      <c r="N48" t="e">
        <f ca="1">BDP("04108KU6 Muni","GB_ASSURANCE_PROVIDERS")</f>
        <v>#NAME?</v>
      </c>
      <c r="O48" t="e">
        <f ca="1">BDP("04108KU6 Muni","GB_PROJECT_SELECTION_PROCESS")</f>
        <v>#NAME?</v>
      </c>
      <c r="P48" t="e">
        <f ca="1">BDP("04108KU6 Muni","ESG_FRAMEWORK_INDICATOR")</f>
        <v>#NAME?</v>
      </c>
      <c r="Q48" t="e">
        <f ca="1">BDP("04108KU6 Muni","BLOOMBERG_SECTOR_CODE")</f>
        <v>#NAME?</v>
      </c>
      <c r="R48" t="e">
        <f ca="1">BDP("04108KU6 Muni","ISSUER_TYPE")</f>
        <v>#NAME?</v>
      </c>
      <c r="S48" t="e">
        <f ca="1">BDS("04108KU6 Muni","ESG_PROJECT_CATEGORY", "aggregate=y")</f>
        <v>#NAME?</v>
      </c>
      <c r="T48" t="e">
        <f ca="1">BDS("04108KU6 Muni","ESG_PROJECT_SUBCATEGORY", "aggregate=y")</f>
        <v>#NAME?</v>
      </c>
    </row>
    <row r="49" spans="1:20" x14ac:dyDescent="0.25">
      <c r="A49" t="e">
        <f ca="1">BDP("04108KU7 Muni","ID_CUSIP")</f>
        <v>#NAME?</v>
      </c>
      <c r="B49" t="e">
        <f ca="1">BDP("04108KU7 Muni","STATE_CODE")</f>
        <v>#NAME?</v>
      </c>
      <c r="C49" t="s">
        <v>22</v>
      </c>
      <c r="D49" t="e">
        <f ca="1">BDP("04108KU7 Muni","YIELD_ON_ISSUE_DATE")</f>
        <v>#NAME?</v>
      </c>
      <c r="E49">
        <v>1870000</v>
      </c>
      <c r="F49" t="e">
        <f ca="1">BDP("04108KU7 Muni","ISSUE_DT")</f>
        <v>#NAME?</v>
      </c>
      <c r="G49" t="e">
        <f ca="1">BDP("04108KU7 Muni","MATURITY")</f>
        <v>#NAME?</v>
      </c>
      <c r="H49" t="e">
        <f ca="1">BDP("04108KU7 Muni","MUNI_TAX_PROV")</f>
        <v>#NAME?</v>
      </c>
      <c r="I49" t="e">
        <f ca="1">BDP("04108KU7 Muni","FINANCING_TYPE")</f>
        <v>#NAME?</v>
      </c>
      <c r="J49" t="e">
        <f ca="1">BDP("04108KU7 Muni","BICS_LEVEL_2_INDUSTRY_GROUP_NAME")</f>
        <v>#NAME?</v>
      </c>
      <c r="K49" t="e">
        <f ca="1">BDP("04108KU7 Muni","SELF_REPRTD_GREEN_INSTR_INDCTR")</f>
        <v>#NAME?</v>
      </c>
      <c r="L49" t="e">
        <f ca="1">BDP("04108KU7 Muni","GB_MANAGEMENT_PROCEEDS")</f>
        <v>#NAME?</v>
      </c>
      <c r="M49" t="e">
        <f ca="1">BDP("04108KU7 Muni","GB_REPORTING")</f>
        <v>#NAME?</v>
      </c>
      <c r="N49" t="e">
        <f ca="1">BDP("04108KU7 Muni","GB_ASSURANCE_PROVIDERS")</f>
        <v>#NAME?</v>
      </c>
      <c r="O49" t="e">
        <f ca="1">BDP("04108KU7 Muni","GB_PROJECT_SELECTION_PROCESS")</f>
        <v>#NAME?</v>
      </c>
      <c r="P49" t="e">
        <f ca="1">BDP("04108KU7 Muni","ESG_FRAMEWORK_INDICATOR")</f>
        <v>#NAME?</v>
      </c>
      <c r="Q49" t="e">
        <f ca="1">BDP("04108KU7 Muni","BLOOMBERG_SECTOR_CODE")</f>
        <v>#NAME?</v>
      </c>
      <c r="R49" t="e">
        <f ca="1">BDP("04108KU7 Muni","ISSUER_TYPE")</f>
        <v>#NAME?</v>
      </c>
      <c r="S49" t="e">
        <f ca="1">BDS("04108KU7 Muni","ESG_PROJECT_CATEGORY", "aggregate=y")</f>
        <v>#NAME?</v>
      </c>
      <c r="T49" t="e">
        <f ca="1">BDS("04108KU7 Muni","ESG_PROJECT_SUBCATEGORY", "aggregate=y")</f>
        <v>#NAME?</v>
      </c>
    </row>
    <row r="50" spans="1:20" x14ac:dyDescent="0.25">
      <c r="A50" t="e">
        <f ca="1">BDP("04108KU8 Muni","ID_CUSIP")</f>
        <v>#NAME?</v>
      </c>
      <c r="B50" t="e">
        <f ca="1">BDP("04108KU8 Muni","STATE_CODE")</f>
        <v>#NAME?</v>
      </c>
      <c r="C50" t="s">
        <v>22</v>
      </c>
      <c r="D50" t="e">
        <f ca="1">BDP("04108KU8 Muni","YIELD_ON_ISSUE_DATE")</f>
        <v>#NAME?</v>
      </c>
      <c r="E50">
        <v>1965000</v>
      </c>
      <c r="F50" t="e">
        <f ca="1">BDP("04108KU8 Muni","ISSUE_DT")</f>
        <v>#NAME?</v>
      </c>
      <c r="G50" t="e">
        <f ca="1">BDP("04108KU8 Muni","MATURITY")</f>
        <v>#NAME?</v>
      </c>
      <c r="H50" t="e">
        <f ca="1">BDP("04108KU8 Muni","MUNI_TAX_PROV")</f>
        <v>#NAME?</v>
      </c>
      <c r="I50" t="e">
        <f ca="1">BDP("04108KU8 Muni","FINANCING_TYPE")</f>
        <v>#NAME?</v>
      </c>
      <c r="J50" t="e">
        <f ca="1">BDP("04108KU8 Muni","BICS_LEVEL_2_INDUSTRY_GROUP_NAME")</f>
        <v>#NAME?</v>
      </c>
      <c r="K50" t="e">
        <f ca="1">BDP("04108KU8 Muni","SELF_REPRTD_GREEN_INSTR_INDCTR")</f>
        <v>#NAME?</v>
      </c>
      <c r="L50" t="e">
        <f ca="1">BDP("04108KU8 Muni","GB_MANAGEMENT_PROCEEDS")</f>
        <v>#NAME?</v>
      </c>
      <c r="M50" t="e">
        <f ca="1">BDP("04108KU8 Muni","GB_REPORTING")</f>
        <v>#NAME?</v>
      </c>
      <c r="N50" t="e">
        <f ca="1">BDP("04108KU8 Muni","GB_ASSURANCE_PROVIDERS")</f>
        <v>#NAME?</v>
      </c>
      <c r="O50" t="e">
        <f ca="1">BDP("04108KU8 Muni","GB_PROJECT_SELECTION_PROCESS")</f>
        <v>#NAME?</v>
      </c>
      <c r="P50" t="e">
        <f ca="1">BDP("04108KU8 Muni","ESG_FRAMEWORK_INDICATOR")</f>
        <v>#NAME?</v>
      </c>
      <c r="Q50" t="e">
        <f ca="1">BDP("04108KU8 Muni","BLOOMBERG_SECTOR_CODE")</f>
        <v>#NAME?</v>
      </c>
      <c r="R50" t="e">
        <f ca="1">BDP("04108KU8 Muni","ISSUER_TYPE")</f>
        <v>#NAME?</v>
      </c>
      <c r="S50" t="e">
        <f ca="1">BDS("04108KU8 Muni","ESG_PROJECT_CATEGORY", "aggregate=y")</f>
        <v>#NAME?</v>
      </c>
      <c r="T50" t="e">
        <f ca="1">BDS("04108KU8 Muni","ESG_PROJECT_SUBCATEGORY", "aggregate=y")</f>
        <v>#NAME?</v>
      </c>
    </row>
    <row r="51" spans="1:20" x14ac:dyDescent="0.25">
      <c r="A51" t="e">
        <f ca="1">BDP("04108KV2 Muni","ID_CUSIP")</f>
        <v>#NAME?</v>
      </c>
      <c r="B51" t="e">
        <f ca="1">BDP("04108KV2 Muni","STATE_CODE")</f>
        <v>#NAME?</v>
      </c>
      <c r="C51" t="s">
        <v>22</v>
      </c>
      <c r="D51" t="e">
        <f ca="1">BDP("04108KV2 Muni","YIELD_ON_ISSUE_DATE")</f>
        <v>#NAME?</v>
      </c>
      <c r="E51">
        <v>2165000</v>
      </c>
      <c r="F51" t="e">
        <f ca="1">BDP("04108KV2 Muni","ISSUE_DT")</f>
        <v>#NAME?</v>
      </c>
      <c r="G51" t="e">
        <f ca="1">BDP("04108KV2 Muni","MATURITY")</f>
        <v>#NAME?</v>
      </c>
      <c r="H51" t="e">
        <f ca="1">BDP("04108KV2 Muni","MUNI_TAX_PROV")</f>
        <v>#NAME?</v>
      </c>
      <c r="I51" t="e">
        <f ca="1">BDP("04108KV2 Muni","FINANCING_TYPE")</f>
        <v>#NAME?</v>
      </c>
      <c r="J51" t="e">
        <f ca="1">BDP("04108KV2 Muni","BICS_LEVEL_2_INDUSTRY_GROUP_NAME")</f>
        <v>#NAME?</v>
      </c>
      <c r="K51" t="e">
        <f ca="1">BDP("04108KV2 Muni","SELF_REPRTD_GREEN_INSTR_INDCTR")</f>
        <v>#NAME?</v>
      </c>
      <c r="L51" t="e">
        <f ca="1">BDP("04108KV2 Muni","GB_MANAGEMENT_PROCEEDS")</f>
        <v>#NAME?</v>
      </c>
      <c r="M51" t="e">
        <f ca="1">BDP("04108KV2 Muni","GB_REPORTING")</f>
        <v>#NAME?</v>
      </c>
      <c r="N51" t="e">
        <f ca="1">BDP("04108KV2 Muni","GB_ASSURANCE_PROVIDERS")</f>
        <v>#NAME?</v>
      </c>
      <c r="O51" t="e">
        <f ca="1">BDP("04108KV2 Muni","GB_PROJECT_SELECTION_PROCESS")</f>
        <v>#NAME?</v>
      </c>
      <c r="P51" t="e">
        <f ca="1">BDP("04108KV2 Muni","ESG_FRAMEWORK_INDICATOR")</f>
        <v>#NAME?</v>
      </c>
      <c r="Q51" t="e">
        <f ca="1">BDP("04108KV2 Muni","BLOOMBERG_SECTOR_CODE")</f>
        <v>#NAME?</v>
      </c>
      <c r="R51" t="e">
        <f ca="1">BDP("04108KV2 Muni","ISSUER_TYPE")</f>
        <v>#NAME?</v>
      </c>
      <c r="S51" t="e">
        <f ca="1">BDS("04108KV2 Muni","ESG_PROJECT_CATEGORY", "aggregate=y")</f>
        <v>#NAME?</v>
      </c>
      <c r="T51" t="e">
        <f ca="1">BDS("04108KV2 Muni","ESG_PROJECT_SUBCATEGORY", "aggregate=y")</f>
        <v>#NAME?</v>
      </c>
    </row>
    <row r="52" spans="1:20" x14ac:dyDescent="0.25">
      <c r="A52" t="e">
        <f ca="1">BDP("04108KV3 Muni","ID_CUSIP")</f>
        <v>#NAME?</v>
      </c>
      <c r="B52" t="e">
        <f ca="1">BDP("04108KV3 Muni","STATE_CODE")</f>
        <v>#NAME?</v>
      </c>
      <c r="C52" t="s">
        <v>22</v>
      </c>
      <c r="D52" t="e">
        <f ca="1">BDP("04108KV3 Muni","YIELD_ON_ISSUE_DATE")</f>
        <v>#NAME?</v>
      </c>
      <c r="E52">
        <v>2275000</v>
      </c>
      <c r="F52" t="e">
        <f ca="1">BDP("04108KV3 Muni","ISSUE_DT")</f>
        <v>#NAME?</v>
      </c>
      <c r="G52" t="e">
        <f ca="1">BDP("04108KV3 Muni","MATURITY")</f>
        <v>#NAME?</v>
      </c>
      <c r="H52" t="e">
        <f ca="1">BDP("04108KV3 Muni","MUNI_TAX_PROV")</f>
        <v>#NAME?</v>
      </c>
      <c r="I52" t="e">
        <f ca="1">BDP("04108KV3 Muni","FINANCING_TYPE")</f>
        <v>#NAME?</v>
      </c>
      <c r="J52" t="e">
        <f ca="1">BDP("04108KV3 Muni","BICS_LEVEL_2_INDUSTRY_GROUP_NAME")</f>
        <v>#NAME?</v>
      </c>
      <c r="K52" t="e">
        <f ca="1">BDP("04108KV3 Muni","SELF_REPRTD_GREEN_INSTR_INDCTR")</f>
        <v>#NAME?</v>
      </c>
      <c r="L52" t="e">
        <f ca="1">BDP("04108KV3 Muni","GB_MANAGEMENT_PROCEEDS")</f>
        <v>#NAME?</v>
      </c>
      <c r="M52" t="e">
        <f ca="1">BDP("04108KV3 Muni","GB_REPORTING")</f>
        <v>#NAME?</v>
      </c>
      <c r="N52" t="e">
        <f ca="1">BDP("04108KV3 Muni","GB_ASSURANCE_PROVIDERS")</f>
        <v>#NAME?</v>
      </c>
      <c r="O52" t="e">
        <f ca="1">BDP("04108KV3 Muni","GB_PROJECT_SELECTION_PROCESS")</f>
        <v>#NAME?</v>
      </c>
      <c r="P52" t="e">
        <f ca="1">BDP("04108KV3 Muni","ESG_FRAMEWORK_INDICATOR")</f>
        <v>#NAME?</v>
      </c>
      <c r="Q52" t="e">
        <f ca="1">BDP("04108KV3 Muni","BLOOMBERG_SECTOR_CODE")</f>
        <v>#NAME?</v>
      </c>
      <c r="R52" t="e">
        <f ca="1">BDP("04108KV3 Muni","ISSUER_TYPE")</f>
        <v>#NAME?</v>
      </c>
      <c r="S52" t="e">
        <f ca="1">BDS("04108KV3 Muni","ESG_PROJECT_CATEGORY", "aggregate=y")</f>
        <v>#NAME?</v>
      </c>
      <c r="T52" t="e">
        <f ca="1">BDS("04108KV3 Muni","ESG_PROJECT_SUBCATEGORY", "aggregate=y")</f>
        <v>#NAME?</v>
      </c>
    </row>
    <row r="53" spans="1:20" x14ac:dyDescent="0.25">
      <c r="A53" t="e">
        <f ca="1">BDP("04108KV4 Muni","ID_CUSIP")</f>
        <v>#NAME?</v>
      </c>
      <c r="B53" t="e">
        <f ca="1">BDP("04108KV4 Muni","STATE_CODE")</f>
        <v>#NAME?</v>
      </c>
      <c r="C53" t="s">
        <v>22</v>
      </c>
      <c r="D53" t="e">
        <f ca="1">BDP("04108KV4 Muni","YIELD_ON_ISSUE_DATE")</f>
        <v>#NAME?</v>
      </c>
      <c r="E53">
        <v>2390000</v>
      </c>
      <c r="F53" t="e">
        <f ca="1">BDP("04108KV4 Muni","ISSUE_DT")</f>
        <v>#NAME?</v>
      </c>
      <c r="G53" t="e">
        <f ca="1">BDP("04108KV4 Muni","MATURITY")</f>
        <v>#NAME?</v>
      </c>
      <c r="H53" t="e">
        <f ca="1">BDP("04108KV4 Muni","MUNI_TAX_PROV")</f>
        <v>#NAME?</v>
      </c>
      <c r="I53" t="e">
        <f ca="1">BDP("04108KV4 Muni","FINANCING_TYPE")</f>
        <v>#NAME?</v>
      </c>
      <c r="J53" t="e">
        <f ca="1">BDP("04108KV4 Muni","BICS_LEVEL_2_INDUSTRY_GROUP_NAME")</f>
        <v>#NAME?</v>
      </c>
      <c r="K53" t="e">
        <f ca="1">BDP("04108KV4 Muni","SELF_REPRTD_GREEN_INSTR_INDCTR")</f>
        <v>#NAME?</v>
      </c>
      <c r="L53" t="e">
        <f ca="1">BDP("04108KV4 Muni","GB_MANAGEMENT_PROCEEDS")</f>
        <v>#NAME?</v>
      </c>
      <c r="M53" t="e">
        <f ca="1">BDP("04108KV4 Muni","GB_REPORTING")</f>
        <v>#NAME?</v>
      </c>
      <c r="N53" t="e">
        <f ca="1">BDP("04108KV4 Muni","GB_ASSURANCE_PROVIDERS")</f>
        <v>#NAME?</v>
      </c>
      <c r="O53" t="e">
        <f ca="1">BDP("04108KV4 Muni","GB_PROJECT_SELECTION_PROCESS")</f>
        <v>#NAME?</v>
      </c>
      <c r="P53" t="e">
        <f ca="1">BDP("04108KV4 Muni","ESG_FRAMEWORK_INDICATOR")</f>
        <v>#NAME?</v>
      </c>
      <c r="Q53" t="e">
        <f ca="1">BDP("04108KV4 Muni","BLOOMBERG_SECTOR_CODE")</f>
        <v>#NAME?</v>
      </c>
      <c r="R53" t="e">
        <f ca="1">BDP("04108KV4 Muni","ISSUER_TYPE")</f>
        <v>#NAME?</v>
      </c>
      <c r="S53" t="e">
        <f ca="1">BDS("04108KV4 Muni","ESG_PROJECT_CATEGORY", "aggregate=y")</f>
        <v>#NAME?</v>
      </c>
      <c r="T53" t="e">
        <f ca="1">BDS("04108KV4 Muni","ESG_PROJECT_SUBCATEGORY", "aggregate=y")</f>
        <v>#NAME?</v>
      </c>
    </row>
    <row r="54" spans="1:20" x14ac:dyDescent="0.25">
      <c r="A54" t="e">
        <f ca="1">BDP("04108KV5 Muni","ID_CUSIP")</f>
        <v>#NAME?</v>
      </c>
      <c r="B54" t="e">
        <f ca="1">BDP("04108KV5 Muni","STATE_CODE")</f>
        <v>#NAME?</v>
      </c>
      <c r="C54" t="s">
        <v>22</v>
      </c>
      <c r="D54" t="e">
        <f ca="1">BDP("04108KV5 Muni","YIELD_ON_ISSUE_DATE")</f>
        <v>#NAME?</v>
      </c>
      <c r="E54">
        <v>2505000</v>
      </c>
      <c r="F54" t="e">
        <f ca="1">BDP("04108KV5 Muni","ISSUE_DT")</f>
        <v>#NAME?</v>
      </c>
      <c r="G54" t="e">
        <f ca="1">BDP("04108KV5 Muni","MATURITY")</f>
        <v>#NAME?</v>
      </c>
      <c r="H54" t="e">
        <f ca="1">BDP("04108KV5 Muni","MUNI_TAX_PROV")</f>
        <v>#NAME?</v>
      </c>
      <c r="I54" t="e">
        <f ca="1">BDP("04108KV5 Muni","FINANCING_TYPE")</f>
        <v>#NAME?</v>
      </c>
      <c r="J54" t="e">
        <f ca="1">BDP("04108KV5 Muni","BICS_LEVEL_2_INDUSTRY_GROUP_NAME")</f>
        <v>#NAME?</v>
      </c>
      <c r="K54" t="e">
        <f ca="1">BDP("04108KV5 Muni","SELF_REPRTD_GREEN_INSTR_INDCTR")</f>
        <v>#NAME?</v>
      </c>
      <c r="L54" t="e">
        <f ca="1">BDP("04108KV5 Muni","GB_MANAGEMENT_PROCEEDS")</f>
        <v>#NAME?</v>
      </c>
      <c r="M54" t="e">
        <f ca="1">BDP("04108KV5 Muni","GB_REPORTING")</f>
        <v>#NAME?</v>
      </c>
      <c r="N54" t="e">
        <f ca="1">BDP("04108KV5 Muni","GB_ASSURANCE_PROVIDERS")</f>
        <v>#NAME?</v>
      </c>
      <c r="O54" t="e">
        <f ca="1">BDP("04108KV5 Muni","GB_PROJECT_SELECTION_PROCESS")</f>
        <v>#NAME?</v>
      </c>
      <c r="P54" t="e">
        <f ca="1">BDP("04108KV5 Muni","ESG_FRAMEWORK_INDICATOR")</f>
        <v>#NAME?</v>
      </c>
      <c r="Q54" t="e">
        <f ca="1">BDP("04108KV5 Muni","BLOOMBERG_SECTOR_CODE")</f>
        <v>#NAME?</v>
      </c>
      <c r="R54" t="e">
        <f ca="1">BDP("04108KV5 Muni","ISSUER_TYPE")</f>
        <v>#NAME?</v>
      </c>
      <c r="S54" t="e">
        <f ca="1">BDS("04108KV5 Muni","ESG_PROJECT_CATEGORY", "aggregate=y")</f>
        <v>#NAME?</v>
      </c>
      <c r="T54" t="e">
        <f ca="1">BDS("04108KV5 Muni","ESG_PROJECT_SUBCATEGORY", "aggregate=y")</f>
        <v>#NAME?</v>
      </c>
    </row>
    <row r="55" spans="1:20" x14ac:dyDescent="0.25">
      <c r="A55" t="e">
        <f ca="1">BDP("04108KV7 Muni","ID_CUSIP")</f>
        <v>#NAME?</v>
      </c>
      <c r="B55" t="e">
        <f ca="1">BDP("04108KV7 Muni","STATE_CODE")</f>
        <v>#NAME?</v>
      </c>
      <c r="C55" t="s">
        <v>22</v>
      </c>
      <c r="D55" t="e">
        <f ca="1">BDP("04108KV7 Muni","YIELD_ON_ISSUE_DATE")</f>
        <v>#NAME?</v>
      </c>
      <c r="E55">
        <v>2765000</v>
      </c>
      <c r="F55" t="e">
        <f ca="1">BDP("04108KV7 Muni","ISSUE_DT")</f>
        <v>#NAME?</v>
      </c>
      <c r="G55" t="e">
        <f ca="1">BDP("04108KV7 Muni","MATURITY")</f>
        <v>#NAME?</v>
      </c>
      <c r="H55" t="e">
        <f ca="1">BDP("04108KV7 Muni","MUNI_TAX_PROV")</f>
        <v>#NAME?</v>
      </c>
      <c r="I55" t="e">
        <f ca="1">BDP("04108KV7 Muni","FINANCING_TYPE")</f>
        <v>#NAME?</v>
      </c>
      <c r="J55" t="e">
        <f ca="1">BDP("04108KV7 Muni","BICS_LEVEL_2_INDUSTRY_GROUP_NAME")</f>
        <v>#NAME?</v>
      </c>
      <c r="K55" t="e">
        <f ca="1">BDP("04108KV7 Muni","SELF_REPRTD_GREEN_INSTR_INDCTR")</f>
        <v>#NAME?</v>
      </c>
      <c r="L55" t="e">
        <f ca="1">BDP("04108KV7 Muni","GB_MANAGEMENT_PROCEEDS")</f>
        <v>#NAME?</v>
      </c>
      <c r="M55" t="e">
        <f ca="1">BDP("04108KV7 Muni","GB_REPORTING")</f>
        <v>#NAME?</v>
      </c>
      <c r="N55" t="e">
        <f ca="1">BDP("04108KV7 Muni","GB_ASSURANCE_PROVIDERS")</f>
        <v>#NAME?</v>
      </c>
      <c r="O55" t="e">
        <f ca="1">BDP("04108KV7 Muni","GB_PROJECT_SELECTION_PROCESS")</f>
        <v>#NAME?</v>
      </c>
      <c r="P55" t="e">
        <f ca="1">BDP("04108KV7 Muni","ESG_FRAMEWORK_INDICATOR")</f>
        <v>#NAME?</v>
      </c>
      <c r="Q55" t="e">
        <f ca="1">BDP("04108KV7 Muni","BLOOMBERG_SECTOR_CODE")</f>
        <v>#NAME?</v>
      </c>
      <c r="R55" t="e">
        <f ca="1">BDP("04108KV7 Muni","ISSUER_TYPE")</f>
        <v>#NAME?</v>
      </c>
      <c r="S55" t="e">
        <f ca="1">BDS("04108KV7 Muni","ESG_PROJECT_CATEGORY", "aggregate=y")</f>
        <v>#NAME?</v>
      </c>
      <c r="T55" t="e">
        <f ca="1">BDS("04108KV7 Muni","ESG_PROJECT_SUBCATEGORY", "aggregate=y")</f>
        <v>#NAME?</v>
      </c>
    </row>
    <row r="56" spans="1:20" x14ac:dyDescent="0.25">
      <c r="A56" t="e">
        <f ca="1">BDP("04108KV9 Muni","ID_CUSIP")</f>
        <v>#NAME?</v>
      </c>
      <c r="B56" t="e">
        <f ca="1">BDP("04108KV9 Muni","STATE_CODE")</f>
        <v>#NAME?</v>
      </c>
      <c r="C56" t="s">
        <v>22</v>
      </c>
      <c r="D56" t="e">
        <f ca="1">BDP("04108KV9 Muni","YIELD_ON_ISSUE_DATE")</f>
        <v>#NAME?</v>
      </c>
      <c r="E56">
        <v>3050000</v>
      </c>
      <c r="F56" t="e">
        <f ca="1">BDP("04108KV9 Muni","ISSUE_DT")</f>
        <v>#NAME?</v>
      </c>
      <c r="G56" t="e">
        <f ca="1">BDP("04108KV9 Muni","MATURITY")</f>
        <v>#NAME?</v>
      </c>
      <c r="H56" t="e">
        <f ca="1">BDP("04108KV9 Muni","MUNI_TAX_PROV")</f>
        <v>#NAME?</v>
      </c>
      <c r="I56" t="e">
        <f ca="1">BDP("04108KV9 Muni","FINANCING_TYPE")</f>
        <v>#NAME?</v>
      </c>
      <c r="J56" t="e">
        <f ca="1">BDP("04108KV9 Muni","BICS_LEVEL_2_INDUSTRY_GROUP_NAME")</f>
        <v>#NAME?</v>
      </c>
      <c r="K56" t="e">
        <f ca="1">BDP("04108KV9 Muni","SELF_REPRTD_GREEN_INSTR_INDCTR")</f>
        <v>#NAME?</v>
      </c>
      <c r="L56" t="e">
        <f ca="1">BDP("04108KV9 Muni","GB_MANAGEMENT_PROCEEDS")</f>
        <v>#NAME?</v>
      </c>
      <c r="M56" t="e">
        <f ca="1">BDP("04108KV9 Muni","GB_REPORTING")</f>
        <v>#NAME?</v>
      </c>
      <c r="N56" t="e">
        <f ca="1">BDP("04108KV9 Muni","GB_ASSURANCE_PROVIDERS")</f>
        <v>#NAME?</v>
      </c>
      <c r="O56" t="e">
        <f ca="1">BDP("04108KV9 Muni","GB_PROJECT_SELECTION_PROCESS")</f>
        <v>#NAME?</v>
      </c>
      <c r="P56" t="e">
        <f ca="1">BDP("04108KV9 Muni","ESG_FRAMEWORK_INDICATOR")</f>
        <v>#NAME?</v>
      </c>
      <c r="Q56" t="e">
        <f ca="1">BDP("04108KV9 Muni","BLOOMBERG_SECTOR_CODE")</f>
        <v>#NAME?</v>
      </c>
      <c r="R56" t="e">
        <f ca="1">BDP("04108KV9 Muni","ISSUER_TYPE")</f>
        <v>#NAME?</v>
      </c>
      <c r="S56" t="e">
        <f ca="1">BDS("04108KV9 Muni","ESG_PROJECT_CATEGORY", "aggregate=y")</f>
        <v>#NAME?</v>
      </c>
      <c r="T56" t="e">
        <f ca="1">BDS("04108KV9 Muni","ESG_PROJECT_SUBCATEGORY", "aggregate=y")</f>
        <v>#NAME?</v>
      </c>
    </row>
    <row r="57" spans="1:20" x14ac:dyDescent="0.25">
      <c r="A57" t="e">
        <f ca="1">BDP("083389GU Muni","ID_CUSIP")</f>
        <v>#NAME?</v>
      </c>
      <c r="B57" t="e">
        <f ca="1">BDP("083389GU Muni","STATE_CODE")</f>
        <v>#NAME?</v>
      </c>
      <c r="C57" t="s">
        <v>23</v>
      </c>
      <c r="D57" t="e">
        <f ca="1">BDP("083389GU Muni","YIELD_ON_ISSUE_DATE")</f>
        <v>#NAME?</v>
      </c>
      <c r="E57">
        <v>385000</v>
      </c>
      <c r="F57" t="e">
        <f ca="1">BDP("083389GU Muni","ISSUE_DT")</f>
        <v>#NAME?</v>
      </c>
      <c r="G57" t="e">
        <f ca="1">BDP("083389GU Muni","MATURITY")</f>
        <v>#NAME?</v>
      </c>
      <c r="H57" t="e">
        <f ca="1">BDP("083389GU Muni","MUNI_TAX_PROV")</f>
        <v>#NAME?</v>
      </c>
      <c r="I57" t="e">
        <f ca="1">BDP("083389GU Muni","FINANCING_TYPE")</f>
        <v>#NAME?</v>
      </c>
      <c r="J57" t="e">
        <f ca="1">BDP("083389GU Muni","BICS_LEVEL_2_INDUSTRY_GROUP_NAME")</f>
        <v>#NAME?</v>
      </c>
      <c r="K57" t="e">
        <f ca="1">BDP("083389GU Muni","SELF_REPRTD_GREEN_INSTR_INDCTR")</f>
        <v>#NAME?</v>
      </c>
      <c r="L57" t="e">
        <f ca="1">BDP("083389GU Muni","GB_MANAGEMENT_PROCEEDS")</f>
        <v>#NAME?</v>
      </c>
      <c r="M57" t="e">
        <f ca="1">BDP("083389GU Muni","GB_REPORTING")</f>
        <v>#NAME?</v>
      </c>
      <c r="N57" t="e">
        <f ca="1">BDP("083389GU Muni","GB_ASSURANCE_PROVIDERS")</f>
        <v>#NAME?</v>
      </c>
      <c r="O57" t="e">
        <f ca="1">BDP("083389GU Muni","GB_PROJECT_SELECTION_PROCESS")</f>
        <v>#NAME?</v>
      </c>
      <c r="P57" t="e">
        <f ca="1">BDP("083389GU Muni","ESG_FRAMEWORK_INDICATOR")</f>
        <v>#NAME?</v>
      </c>
      <c r="Q57" t="e">
        <f ca="1">BDP("083389GU Muni","BLOOMBERG_SECTOR_CODE")</f>
        <v>#NAME?</v>
      </c>
      <c r="R57" t="e">
        <f ca="1">BDP("083389GU Muni","ISSUER_TYPE")</f>
        <v>#NAME?</v>
      </c>
      <c r="S57" t="e">
        <f ca="1">BDS("083389GU Muni","ESG_PROJECT_CATEGORY", "aggregate=y")</f>
        <v>#NAME?</v>
      </c>
      <c r="T57" t="e">
        <f ca="1">BDS("083389GU Muni","ESG_PROJECT_SUBCATEGORY", "aggregate=y")</f>
        <v>#NAME?</v>
      </c>
    </row>
    <row r="58" spans="1:20" x14ac:dyDescent="0.25">
      <c r="A58" t="e">
        <f ca="1">BDP("083389GW Muni","ID_CUSIP")</f>
        <v>#NAME?</v>
      </c>
      <c r="B58" t="e">
        <f ca="1">BDP("083389GW Muni","STATE_CODE")</f>
        <v>#NAME?</v>
      </c>
      <c r="C58" t="s">
        <v>23</v>
      </c>
      <c r="D58" t="e">
        <f ca="1">BDP("083389GW Muni","YIELD_ON_ISSUE_DATE")</f>
        <v>#NAME?</v>
      </c>
      <c r="E58">
        <v>425000</v>
      </c>
      <c r="F58" t="e">
        <f ca="1">BDP("083389GW Muni","ISSUE_DT")</f>
        <v>#NAME?</v>
      </c>
      <c r="G58" t="e">
        <f ca="1">BDP("083389GW Muni","MATURITY")</f>
        <v>#NAME?</v>
      </c>
      <c r="H58" t="e">
        <f ca="1">BDP("083389GW Muni","MUNI_TAX_PROV")</f>
        <v>#NAME?</v>
      </c>
      <c r="I58" t="e">
        <f ca="1">BDP("083389GW Muni","FINANCING_TYPE")</f>
        <v>#NAME?</v>
      </c>
      <c r="J58" t="e">
        <f ca="1">BDP("083389GW Muni","BICS_LEVEL_2_INDUSTRY_GROUP_NAME")</f>
        <v>#NAME?</v>
      </c>
      <c r="K58" t="e">
        <f ca="1">BDP("083389GW Muni","SELF_REPRTD_GREEN_INSTR_INDCTR")</f>
        <v>#NAME?</v>
      </c>
      <c r="L58" t="e">
        <f ca="1">BDP("083389GW Muni","GB_MANAGEMENT_PROCEEDS")</f>
        <v>#NAME?</v>
      </c>
      <c r="M58" t="e">
        <f ca="1">BDP("083389GW Muni","GB_REPORTING")</f>
        <v>#NAME?</v>
      </c>
      <c r="N58" t="e">
        <f ca="1">BDP("083389GW Muni","GB_ASSURANCE_PROVIDERS")</f>
        <v>#NAME?</v>
      </c>
      <c r="O58" t="e">
        <f ca="1">BDP("083389GW Muni","GB_PROJECT_SELECTION_PROCESS")</f>
        <v>#NAME?</v>
      </c>
      <c r="P58" t="e">
        <f ca="1">BDP("083389GW Muni","ESG_FRAMEWORK_INDICATOR")</f>
        <v>#NAME?</v>
      </c>
      <c r="Q58" t="e">
        <f ca="1">BDP("083389GW Muni","BLOOMBERG_SECTOR_CODE")</f>
        <v>#NAME?</v>
      </c>
      <c r="R58" t="e">
        <f ca="1">BDP("083389GW Muni","ISSUER_TYPE")</f>
        <v>#NAME?</v>
      </c>
      <c r="S58" t="e">
        <f ca="1">BDS("083389GW Muni","ESG_PROJECT_CATEGORY", "aggregate=y")</f>
        <v>#NAME?</v>
      </c>
      <c r="T58" t="e">
        <f ca="1">BDS("083389GW Muni","ESG_PROJECT_SUBCATEGORY", "aggregate=y")</f>
        <v>#NAME?</v>
      </c>
    </row>
    <row r="59" spans="1:20" x14ac:dyDescent="0.25">
      <c r="A59" t="e">
        <f ca="1">BDP("083389HA Muni","ID_CUSIP")</f>
        <v>#NAME?</v>
      </c>
      <c r="B59" t="e">
        <f ca="1">BDP("083389HA Muni","STATE_CODE")</f>
        <v>#NAME?</v>
      </c>
      <c r="C59" t="s">
        <v>23</v>
      </c>
      <c r="D59" t="e">
        <f ca="1">BDP("083389HA Muni","YIELD_ON_ISSUE_DATE")</f>
        <v>#NAME?</v>
      </c>
      <c r="E59">
        <v>515000</v>
      </c>
      <c r="F59" t="e">
        <f ca="1">BDP("083389HA Muni","ISSUE_DT")</f>
        <v>#NAME?</v>
      </c>
      <c r="G59" t="e">
        <f ca="1">BDP("083389HA Muni","MATURITY")</f>
        <v>#NAME?</v>
      </c>
      <c r="H59" t="e">
        <f ca="1">BDP("083389HA Muni","MUNI_TAX_PROV")</f>
        <v>#NAME?</v>
      </c>
      <c r="I59" t="e">
        <f ca="1">BDP("083389HA Muni","FINANCING_TYPE")</f>
        <v>#NAME?</v>
      </c>
      <c r="J59" t="e">
        <f ca="1">BDP("083389HA Muni","BICS_LEVEL_2_INDUSTRY_GROUP_NAME")</f>
        <v>#NAME?</v>
      </c>
      <c r="K59" t="e">
        <f ca="1">BDP("083389HA Muni","SELF_REPRTD_GREEN_INSTR_INDCTR")</f>
        <v>#NAME?</v>
      </c>
      <c r="L59" t="e">
        <f ca="1">BDP("083389HA Muni","GB_MANAGEMENT_PROCEEDS")</f>
        <v>#NAME?</v>
      </c>
      <c r="M59" t="e">
        <f ca="1">BDP("083389HA Muni","GB_REPORTING")</f>
        <v>#NAME?</v>
      </c>
      <c r="N59" t="e">
        <f ca="1">BDP("083389HA Muni","GB_ASSURANCE_PROVIDERS")</f>
        <v>#NAME?</v>
      </c>
      <c r="O59" t="e">
        <f ca="1">BDP("083389HA Muni","GB_PROJECT_SELECTION_PROCESS")</f>
        <v>#NAME?</v>
      </c>
      <c r="P59" t="e">
        <f ca="1">BDP("083389HA Muni","ESG_FRAMEWORK_INDICATOR")</f>
        <v>#NAME?</v>
      </c>
      <c r="Q59" t="e">
        <f ca="1">BDP("083389HA Muni","BLOOMBERG_SECTOR_CODE")</f>
        <v>#NAME?</v>
      </c>
      <c r="R59" t="e">
        <f ca="1">BDP("083389HA Muni","ISSUER_TYPE")</f>
        <v>#NAME?</v>
      </c>
      <c r="S59" t="e">
        <f ca="1">BDS("083389HA Muni","ESG_PROJECT_CATEGORY", "aggregate=y")</f>
        <v>#NAME?</v>
      </c>
      <c r="T59" t="e">
        <f ca="1">BDS("083389HA Muni","ESG_PROJECT_SUBCATEGORY", "aggregate=y")</f>
        <v>#NAME?</v>
      </c>
    </row>
    <row r="60" spans="1:20" x14ac:dyDescent="0.25">
      <c r="A60" t="e">
        <f ca="1">BDP("083389HB Muni","ID_CUSIP")</f>
        <v>#NAME?</v>
      </c>
      <c r="B60" t="e">
        <f ca="1">BDP("083389HB Muni","STATE_CODE")</f>
        <v>#NAME?</v>
      </c>
      <c r="C60" t="s">
        <v>23</v>
      </c>
      <c r="D60" t="e">
        <f ca="1">BDP("083389HB Muni","YIELD_ON_ISSUE_DATE")</f>
        <v>#NAME?</v>
      </c>
      <c r="E60">
        <v>535000</v>
      </c>
      <c r="F60" t="e">
        <f ca="1">BDP("083389HB Muni","ISSUE_DT")</f>
        <v>#NAME?</v>
      </c>
      <c r="G60" t="e">
        <f ca="1">BDP("083389HB Muni","MATURITY")</f>
        <v>#NAME?</v>
      </c>
      <c r="H60" t="e">
        <f ca="1">BDP("083389HB Muni","MUNI_TAX_PROV")</f>
        <v>#NAME?</v>
      </c>
      <c r="I60" t="e">
        <f ca="1">BDP("083389HB Muni","FINANCING_TYPE")</f>
        <v>#NAME?</v>
      </c>
      <c r="J60" t="e">
        <f ca="1">BDP("083389HB Muni","BICS_LEVEL_2_INDUSTRY_GROUP_NAME")</f>
        <v>#NAME?</v>
      </c>
      <c r="K60" t="e">
        <f ca="1">BDP("083389HB Muni","SELF_REPRTD_GREEN_INSTR_INDCTR")</f>
        <v>#NAME?</v>
      </c>
      <c r="L60" t="e">
        <f ca="1">BDP("083389HB Muni","GB_MANAGEMENT_PROCEEDS")</f>
        <v>#NAME?</v>
      </c>
      <c r="M60" t="e">
        <f ca="1">BDP("083389HB Muni","GB_REPORTING")</f>
        <v>#NAME?</v>
      </c>
      <c r="N60" t="e">
        <f ca="1">BDP("083389HB Muni","GB_ASSURANCE_PROVIDERS")</f>
        <v>#NAME?</v>
      </c>
      <c r="O60" t="e">
        <f ca="1">BDP("083389HB Muni","GB_PROJECT_SELECTION_PROCESS")</f>
        <v>#NAME?</v>
      </c>
      <c r="P60" t="e">
        <f ca="1">BDP("083389HB Muni","ESG_FRAMEWORK_INDICATOR")</f>
        <v>#NAME?</v>
      </c>
      <c r="Q60" t="e">
        <f ca="1">BDP("083389HB Muni","BLOOMBERG_SECTOR_CODE")</f>
        <v>#NAME?</v>
      </c>
      <c r="R60" t="e">
        <f ca="1">BDP("083389HB Muni","ISSUER_TYPE")</f>
        <v>#NAME?</v>
      </c>
      <c r="S60" t="e">
        <f ca="1">BDS("083389HB Muni","ESG_PROJECT_CATEGORY", "aggregate=y")</f>
        <v>#NAME?</v>
      </c>
      <c r="T60" t="e">
        <f ca="1">BDS("083389HB Muni","ESG_PROJECT_SUBCATEGORY", "aggregate=y")</f>
        <v>#NAME?</v>
      </c>
    </row>
    <row r="61" spans="1:20" x14ac:dyDescent="0.25">
      <c r="A61" t="e">
        <f ca="1">BDP("083389HC Muni","ID_CUSIP")</f>
        <v>#NAME?</v>
      </c>
      <c r="B61" t="e">
        <f ca="1">BDP("083389HC Muni","STATE_CODE")</f>
        <v>#NAME?</v>
      </c>
      <c r="C61" t="s">
        <v>23</v>
      </c>
      <c r="D61" t="e">
        <f ca="1">BDP("083389HC Muni","YIELD_ON_ISSUE_DATE")</f>
        <v>#NAME?</v>
      </c>
      <c r="E61">
        <v>560000</v>
      </c>
      <c r="F61" t="e">
        <f ca="1">BDP("083389HC Muni","ISSUE_DT")</f>
        <v>#NAME?</v>
      </c>
      <c r="G61" t="e">
        <f ca="1">BDP("083389HC Muni","MATURITY")</f>
        <v>#NAME?</v>
      </c>
      <c r="H61" t="e">
        <f ca="1">BDP("083389HC Muni","MUNI_TAX_PROV")</f>
        <v>#NAME?</v>
      </c>
      <c r="I61" t="e">
        <f ca="1">BDP("083389HC Muni","FINANCING_TYPE")</f>
        <v>#NAME?</v>
      </c>
      <c r="J61" t="e">
        <f ca="1">BDP("083389HC Muni","BICS_LEVEL_2_INDUSTRY_GROUP_NAME")</f>
        <v>#NAME?</v>
      </c>
      <c r="K61" t="e">
        <f ca="1">BDP("083389HC Muni","SELF_REPRTD_GREEN_INSTR_INDCTR")</f>
        <v>#NAME?</v>
      </c>
      <c r="L61" t="e">
        <f ca="1">BDP("083389HC Muni","GB_MANAGEMENT_PROCEEDS")</f>
        <v>#NAME?</v>
      </c>
      <c r="M61" t="e">
        <f ca="1">BDP("083389HC Muni","GB_REPORTING")</f>
        <v>#NAME?</v>
      </c>
      <c r="N61" t="e">
        <f ca="1">BDP("083389HC Muni","GB_ASSURANCE_PROVIDERS")</f>
        <v>#NAME?</v>
      </c>
      <c r="O61" t="e">
        <f ca="1">BDP("083389HC Muni","GB_PROJECT_SELECTION_PROCESS")</f>
        <v>#NAME?</v>
      </c>
      <c r="P61" t="e">
        <f ca="1">BDP("083389HC Muni","ESG_FRAMEWORK_INDICATOR")</f>
        <v>#NAME?</v>
      </c>
      <c r="Q61" t="e">
        <f ca="1">BDP("083389HC Muni","BLOOMBERG_SECTOR_CODE")</f>
        <v>#NAME?</v>
      </c>
      <c r="R61" t="e">
        <f ca="1">BDP("083389HC Muni","ISSUER_TYPE")</f>
        <v>#NAME?</v>
      </c>
      <c r="S61" t="e">
        <f ca="1">BDS("083389HC Muni","ESG_PROJECT_CATEGORY", "aggregate=y")</f>
        <v>#NAME?</v>
      </c>
      <c r="T61" t="e">
        <f ca="1">BDS("083389HC Muni","ESG_PROJECT_SUBCATEGORY", "aggregate=y")</f>
        <v>#NAME?</v>
      </c>
    </row>
    <row r="62" spans="1:20" x14ac:dyDescent="0.25">
      <c r="A62" t="e">
        <f ca="1">BDP("083389HF Muni","ID_CUSIP")</f>
        <v>#NAME?</v>
      </c>
      <c r="B62" t="e">
        <f ca="1">BDP("083389HF Muni","STATE_CODE")</f>
        <v>#NAME?</v>
      </c>
      <c r="C62" t="s">
        <v>23</v>
      </c>
      <c r="D62" t="e">
        <f ca="1">BDP("083389HF Muni","YIELD_ON_ISSUE_DATE")</f>
        <v>#NAME?</v>
      </c>
      <c r="E62">
        <v>630000</v>
      </c>
      <c r="F62" t="e">
        <f ca="1">BDP("083389HF Muni","ISSUE_DT")</f>
        <v>#NAME?</v>
      </c>
      <c r="G62" t="e">
        <f ca="1">BDP("083389HF Muni","MATURITY")</f>
        <v>#NAME?</v>
      </c>
      <c r="H62" t="e">
        <f ca="1">BDP("083389HF Muni","MUNI_TAX_PROV")</f>
        <v>#NAME?</v>
      </c>
      <c r="I62" t="e">
        <f ca="1">BDP("083389HF Muni","FINANCING_TYPE")</f>
        <v>#NAME?</v>
      </c>
      <c r="J62" t="e">
        <f ca="1">BDP("083389HF Muni","BICS_LEVEL_2_INDUSTRY_GROUP_NAME")</f>
        <v>#NAME?</v>
      </c>
      <c r="K62" t="e">
        <f ca="1">BDP("083389HF Muni","SELF_REPRTD_GREEN_INSTR_INDCTR")</f>
        <v>#NAME?</v>
      </c>
      <c r="L62" t="e">
        <f ca="1">BDP("083389HF Muni","GB_MANAGEMENT_PROCEEDS")</f>
        <v>#NAME?</v>
      </c>
      <c r="M62" t="e">
        <f ca="1">BDP("083389HF Muni","GB_REPORTING")</f>
        <v>#NAME?</v>
      </c>
      <c r="N62" t="e">
        <f ca="1">BDP("083389HF Muni","GB_ASSURANCE_PROVIDERS")</f>
        <v>#NAME?</v>
      </c>
      <c r="O62" t="e">
        <f ca="1">BDP("083389HF Muni","GB_PROJECT_SELECTION_PROCESS")</f>
        <v>#NAME?</v>
      </c>
      <c r="P62" t="e">
        <f ca="1">BDP("083389HF Muni","ESG_FRAMEWORK_INDICATOR")</f>
        <v>#NAME?</v>
      </c>
      <c r="Q62" t="e">
        <f ca="1">BDP("083389HF Muni","BLOOMBERG_SECTOR_CODE")</f>
        <v>#NAME?</v>
      </c>
      <c r="R62" t="e">
        <f ca="1">BDP("083389HF Muni","ISSUER_TYPE")</f>
        <v>#NAME?</v>
      </c>
      <c r="S62" t="e">
        <f ca="1">BDS("083389HF Muni","ESG_PROJECT_CATEGORY", "aggregate=y")</f>
        <v>#NAME?</v>
      </c>
      <c r="T62" t="e">
        <f ca="1">BDS("083389HF Muni","ESG_PROJECT_SUBCATEGORY", "aggregate=y")</f>
        <v>#NAME?</v>
      </c>
    </row>
    <row r="63" spans="1:20" x14ac:dyDescent="0.25">
      <c r="A63" t="e">
        <f ca="1">BDP("083389HG Muni","ID_CUSIP")</f>
        <v>#NAME?</v>
      </c>
      <c r="B63" t="e">
        <f ca="1">BDP("083389HG Muni","STATE_CODE")</f>
        <v>#NAME?</v>
      </c>
      <c r="C63" t="s">
        <v>23</v>
      </c>
      <c r="D63" t="e">
        <f ca="1">BDP("083389HG Muni","YIELD_ON_ISSUE_DATE")</f>
        <v>#NAME?</v>
      </c>
      <c r="E63">
        <v>655000</v>
      </c>
      <c r="F63" t="e">
        <f ca="1">BDP("083389HG Muni","ISSUE_DT")</f>
        <v>#NAME?</v>
      </c>
      <c r="G63" t="e">
        <f ca="1">BDP("083389HG Muni","MATURITY")</f>
        <v>#NAME?</v>
      </c>
      <c r="H63" t="e">
        <f ca="1">BDP("083389HG Muni","MUNI_TAX_PROV")</f>
        <v>#NAME?</v>
      </c>
      <c r="I63" t="e">
        <f ca="1">BDP("083389HG Muni","FINANCING_TYPE")</f>
        <v>#NAME?</v>
      </c>
      <c r="J63" t="e">
        <f ca="1">BDP("083389HG Muni","BICS_LEVEL_2_INDUSTRY_GROUP_NAME")</f>
        <v>#NAME?</v>
      </c>
      <c r="K63" t="e">
        <f ca="1">BDP("083389HG Muni","SELF_REPRTD_GREEN_INSTR_INDCTR")</f>
        <v>#NAME?</v>
      </c>
      <c r="L63" t="e">
        <f ca="1">BDP("083389HG Muni","GB_MANAGEMENT_PROCEEDS")</f>
        <v>#NAME?</v>
      </c>
      <c r="M63" t="e">
        <f ca="1">BDP("083389HG Muni","GB_REPORTING")</f>
        <v>#NAME?</v>
      </c>
      <c r="N63" t="e">
        <f ca="1">BDP("083389HG Muni","GB_ASSURANCE_PROVIDERS")</f>
        <v>#NAME?</v>
      </c>
      <c r="O63" t="e">
        <f ca="1">BDP("083389HG Muni","GB_PROJECT_SELECTION_PROCESS")</f>
        <v>#NAME?</v>
      </c>
      <c r="P63" t="e">
        <f ca="1">BDP("083389HG Muni","ESG_FRAMEWORK_INDICATOR")</f>
        <v>#NAME?</v>
      </c>
      <c r="Q63" t="e">
        <f ca="1">BDP("083389HG Muni","BLOOMBERG_SECTOR_CODE")</f>
        <v>#NAME?</v>
      </c>
      <c r="R63" t="e">
        <f ca="1">BDP("083389HG Muni","ISSUER_TYPE")</f>
        <v>#NAME?</v>
      </c>
      <c r="S63" t="e">
        <f ca="1">BDS("083389HG Muni","ESG_PROJECT_CATEGORY", "aggregate=y")</f>
        <v>#NAME?</v>
      </c>
      <c r="T63" t="e">
        <f ca="1">BDS("083389HG Muni","ESG_PROJECT_SUBCATEGORY", "aggregate=y")</f>
        <v>#NAME?</v>
      </c>
    </row>
    <row r="64" spans="1:20" x14ac:dyDescent="0.25">
      <c r="A64" t="e">
        <f ca="1">BDP("083389HK Muni","ID_CUSIP")</f>
        <v>#NAME?</v>
      </c>
      <c r="B64" t="e">
        <f ca="1">BDP("083389HK Muni","STATE_CODE")</f>
        <v>#NAME?</v>
      </c>
      <c r="C64" t="s">
        <v>23</v>
      </c>
      <c r="D64" t="e">
        <f ca="1">BDP("083389HK Muni","YIELD_ON_ISSUE_DATE")</f>
        <v>#NAME?</v>
      </c>
      <c r="E64">
        <v>2420000</v>
      </c>
      <c r="F64" t="e">
        <f ca="1">BDP("083389HK Muni","ISSUE_DT")</f>
        <v>#NAME?</v>
      </c>
      <c r="G64" t="e">
        <f ca="1">BDP("083389HK Muni","MATURITY")</f>
        <v>#NAME?</v>
      </c>
      <c r="H64" t="e">
        <f ca="1">BDP("083389HK Muni","MUNI_TAX_PROV")</f>
        <v>#NAME?</v>
      </c>
      <c r="I64" t="e">
        <f ca="1">BDP("083389HK Muni","FINANCING_TYPE")</f>
        <v>#NAME?</v>
      </c>
      <c r="J64" t="e">
        <f ca="1">BDP("083389HK Muni","BICS_LEVEL_2_INDUSTRY_GROUP_NAME")</f>
        <v>#NAME?</v>
      </c>
      <c r="K64" t="e">
        <f ca="1">BDP("083389HK Muni","SELF_REPRTD_GREEN_INSTR_INDCTR")</f>
        <v>#NAME?</v>
      </c>
      <c r="L64" t="e">
        <f ca="1">BDP("083389HK Muni","GB_MANAGEMENT_PROCEEDS")</f>
        <v>#NAME?</v>
      </c>
      <c r="M64" t="e">
        <f ca="1">BDP("083389HK Muni","GB_REPORTING")</f>
        <v>#NAME?</v>
      </c>
      <c r="N64" t="e">
        <f ca="1">BDP("083389HK Muni","GB_ASSURANCE_PROVIDERS")</f>
        <v>#NAME?</v>
      </c>
      <c r="O64" t="e">
        <f ca="1">BDP("083389HK Muni","GB_PROJECT_SELECTION_PROCESS")</f>
        <v>#NAME?</v>
      </c>
      <c r="P64" t="e">
        <f ca="1">BDP("083389HK Muni","ESG_FRAMEWORK_INDICATOR")</f>
        <v>#NAME?</v>
      </c>
      <c r="Q64" t="e">
        <f ca="1">BDP("083389HK Muni","BLOOMBERG_SECTOR_CODE")</f>
        <v>#NAME?</v>
      </c>
      <c r="R64" t="e">
        <f ca="1">BDP("083389HK Muni","ISSUER_TYPE")</f>
        <v>#NAME?</v>
      </c>
      <c r="S64" t="e">
        <f ca="1">BDS("083389HK Muni","ESG_PROJECT_CATEGORY", "aggregate=y")</f>
        <v>#NAME?</v>
      </c>
      <c r="T64" t="e">
        <f ca="1">BDS("083389HK Muni","ESG_PROJECT_SUBCATEGORY", "aggregate=y")</f>
        <v>#NAME?</v>
      </c>
    </row>
    <row r="65" spans="1:20" x14ac:dyDescent="0.25">
      <c r="A65" t="e">
        <f ca="1">BDP("861431DK Muni","ID_CUSIP")</f>
        <v>#NAME?</v>
      </c>
      <c r="B65" t="e">
        <f ca="1">BDP("861431DK Muni","STATE_CODE")</f>
        <v>#NAME?</v>
      </c>
      <c r="C65" t="s">
        <v>24</v>
      </c>
      <c r="D65" t="e">
        <f ca="1">BDP("861431DK Muni","YIELD_ON_ISSUE_DATE")</f>
        <v>#NAME?</v>
      </c>
      <c r="E65">
        <v>165000</v>
      </c>
      <c r="F65" t="e">
        <f ca="1">BDP("861431DK Muni","ISSUE_DT")</f>
        <v>#NAME?</v>
      </c>
      <c r="G65" t="e">
        <f ca="1">BDP("861431DK Muni","MATURITY")</f>
        <v>#NAME?</v>
      </c>
      <c r="H65" t="e">
        <f ca="1">BDP("861431DK Muni","MUNI_TAX_PROV")</f>
        <v>#NAME?</v>
      </c>
      <c r="I65" t="e">
        <f ca="1">BDP("861431DK Muni","FINANCING_TYPE")</f>
        <v>#NAME?</v>
      </c>
      <c r="J65" t="e">
        <f ca="1">BDP("861431DK Muni","BICS_LEVEL_2_INDUSTRY_GROUP_NAME")</f>
        <v>#NAME?</v>
      </c>
      <c r="K65" t="e">
        <f ca="1">BDP("861431DK Muni","SELF_REPRTD_GREEN_INSTR_INDCTR")</f>
        <v>#NAME?</v>
      </c>
      <c r="L65" t="e">
        <f ca="1">BDP("861431DK Muni","GB_MANAGEMENT_PROCEEDS")</f>
        <v>#NAME?</v>
      </c>
      <c r="M65" t="e">
        <f ca="1">BDP("861431DK Muni","GB_REPORTING")</f>
        <v>#NAME?</v>
      </c>
      <c r="N65" t="e">
        <f ca="1">BDP("861431DK Muni","GB_ASSURANCE_PROVIDERS")</f>
        <v>#NAME?</v>
      </c>
      <c r="O65" t="e">
        <f ca="1">BDP("861431DK Muni","GB_PROJECT_SELECTION_PROCESS")</f>
        <v>#NAME?</v>
      </c>
      <c r="P65" t="e">
        <f ca="1">BDP("861431DK Muni","ESG_FRAMEWORK_INDICATOR")</f>
        <v>#NAME?</v>
      </c>
      <c r="Q65" t="e">
        <f ca="1">BDP("861431DK Muni","BLOOMBERG_SECTOR_CODE")</f>
        <v>#NAME?</v>
      </c>
      <c r="R65" t="e">
        <f ca="1">BDP("861431DK Muni","ISSUER_TYPE")</f>
        <v>#NAME?</v>
      </c>
      <c r="S65" t="e">
        <f ca="1">BDS("861431DK Muni","ESG_PROJECT_CATEGORY", "aggregate=y")</f>
        <v>#NAME?</v>
      </c>
      <c r="T65" t="e">
        <f ca="1">BDS("861431DK Muni","ESG_PROJECT_SUBCATEGORY", "aggregate=y")</f>
        <v>#NAME?</v>
      </c>
    </row>
    <row r="66" spans="1:20" x14ac:dyDescent="0.25">
      <c r="A66" t="e">
        <f ca="1">BDP("861431DP Muni","ID_CUSIP")</f>
        <v>#NAME?</v>
      </c>
      <c r="B66" t="e">
        <f ca="1">BDP("861431DP Muni","STATE_CODE")</f>
        <v>#NAME?</v>
      </c>
      <c r="C66" t="s">
        <v>24</v>
      </c>
      <c r="D66" t="e">
        <f ca="1">BDP("861431DP Muni","YIELD_ON_ISSUE_DATE")</f>
        <v>#NAME?</v>
      </c>
      <c r="E66">
        <v>200000</v>
      </c>
      <c r="F66" t="e">
        <f ca="1">BDP("861431DP Muni","ISSUE_DT")</f>
        <v>#NAME?</v>
      </c>
      <c r="G66" t="e">
        <f ca="1">BDP("861431DP Muni","MATURITY")</f>
        <v>#NAME?</v>
      </c>
      <c r="H66" t="e">
        <f ca="1">BDP("861431DP Muni","MUNI_TAX_PROV")</f>
        <v>#NAME?</v>
      </c>
      <c r="I66" t="e">
        <f ca="1">BDP("861431DP Muni","FINANCING_TYPE")</f>
        <v>#NAME?</v>
      </c>
      <c r="J66" t="e">
        <f ca="1">BDP("861431DP Muni","BICS_LEVEL_2_INDUSTRY_GROUP_NAME")</f>
        <v>#NAME?</v>
      </c>
      <c r="K66" t="e">
        <f ca="1">BDP("861431DP Muni","SELF_REPRTD_GREEN_INSTR_INDCTR")</f>
        <v>#NAME?</v>
      </c>
      <c r="L66" t="e">
        <f ca="1">BDP("861431DP Muni","GB_MANAGEMENT_PROCEEDS")</f>
        <v>#NAME?</v>
      </c>
      <c r="M66" t="e">
        <f ca="1">BDP("861431DP Muni","GB_REPORTING")</f>
        <v>#NAME?</v>
      </c>
      <c r="N66" t="e">
        <f ca="1">BDP("861431DP Muni","GB_ASSURANCE_PROVIDERS")</f>
        <v>#NAME?</v>
      </c>
      <c r="O66" t="e">
        <f ca="1">BDP("861431DP Muni","GB_PROJECT_SELECTION_PROCESS")</f>
        <v>#NAME?</v>
      </c>
      <c r="P66" t="e">
        <f ca="1">BDP("861431DP Muni","ESG_FRAMEWORK_INDICATOR")</f>
        <v>#NAME?</v>
      </c>
      <c r="Q66" t="e">
        <f ca="1">BDP("861431DP Muni","BLOOMBERG_SECTOR_CODE")</f>
        <v>#NAME?</v>
      </c>
      <c r="R66" t="e">
        <f ca="1">BDP("861431DP Muni","ISSUER_TYPE")</f>
        <v>#NAME?</v>
      </c>
      <c r="S66" t="e">
        <f ca="1">BDS("861431DP Muni","ESG_PROJECT_CATEGORY", "aggregate=y")</f>
        <v>#NAME?</v>
      </c>
      <c r="T66" t="e">
        <f ca="1">BDS("861431DP Muni","ESG_PROJECT_SUBCATEGORY", "aggregate=y")</f>
        <v>#NAME?</v>
      </c>
    </row>
    <row r="67" spans="1:20" x14ac:dyDescent="0.25">
      <c r="A67" t="e">
        <f ca="1">BDP("861431DQ Muni","ID_CUSIP")</f>
        <v>#NAME?</v>
      </c>
      <c r="B67" t="e">
        <f ca="1">BDP("861431DQ Muni","STATE_CODE")</f>
        <v>#NAME?</v>
      </c>
      <c r="C67" t="s">
        <v>24</v>
      </c>
      <c r="D67" t="e">
        <f ca="1">BDP("861431DQ Muni","YIELD_ON_ISSUE_DATE")</f>
        <v>#NAME?</v>
      </c>
      <c r="E67">
        <v>210000</v>
      </c>
      <c r="F67" t="e">
        <f ca="1">BDP("861431DQ Muni","ISSUE_DT")</f>
        <v>#NAME?</v>
      </c>
      <c r="G67" t="e">
        <f ca="1">BDP("861431DQ Muni","MATURITY")</f>
        <v>#NAME?</v>
      </c>
      <c r="H67" t="e">
        <f ca="1">BDP("861431DQ Muni","MUNI_TAX_PROV")</f>
        <v>#NAME?</v>
      </c>
      <c r="I67" t="e">
        <f ca="1">BDP("861431DQ Muni","FINANCING_TYPE")</f>
        <v>#NAME?</v>
      </c>
      <c r="J67" t="e">
        <f ca="1">BDP("861431DQ Muni","BICS_LEVEL_2_INDUSTRY_GROUP_NAME")</f>
        <v>#NAME?</v>
      </c>
      <c r="K67" t="e">
        <f ca="1">BDP("861431DQ Muni","SELF_REPRTD_GREEN_INSTR_INDCTR")</f>
        <v>#NAME?</v>
      </c>
      <c r="L67" t="e">
        <f ca="1">BDP("861431DQ Muni","GB_MANAGEMENT_PROCEEDS")</f>
        <v>#NAME?</v>
      </c>
      <c r="M67" t="e">
        <f ca="1">BDP("861431DQ Muni","GB_REPORTING")</f>
        <v>#NAME?</v>
      </c>
      <c r="N67" t="e">
        <f ca="1">BDP("861431DQ Muni","GB_ASSURANCE_PROVIDERS")</f>
        <v>#NAME?</v>
      </c>
      <c r="O67" t="e">
        <f ca="1">BDP("861431DQ Muni","GB_PROJECT_SELECTION_PROCESS")</f>
        <v>#NAME?</v>
      </c>
      <c r="P67" t="e">
        <f ca="1">BDP("861431DQ Muni","ESG_FRAMEWORK_INDICATOR")</f>
        <v>#NAME?</v>
      </c>
      <c r="Q67" t="e">
        <f ca="1">BDP("861431DQ Muni","BLOOMBERG_SECTOR_CODE")</f>
        <v>#NAME?</v>
      </c>
      <c r="R67" t="e">
        <f ca="1">BDP("861431DQ Muni","ISSUER_TYPE")</f>
        <v>#NAME?</v>
      </c>
      <c r="S67" t="e">
        <f ca="1">BDS("861431DQ Muni","ESG_PROJECT_CATEGORY", "aggregate=y")</f>
        <v>#NAME?</v>
      </c>
      <c r="T67" t="e">
        <f ca="1">BDS("861431DQ Muni","ESG_PROJECT_SUBCATEGORY", "aggregate=y")</f>
        <v>#NAME?</v>
      </c>
    </row>
    <row r="68" spans="1:20" x14ac:dyDescent="0.25">
      <c r="A68" t="e">
        <f ca="1">BDP("861431DR Muni","ID_CUSIP")</f>
        <v>#NAME?</v>
      </c>
      <c r="B68" t="e">
        <f ca="1">BDP("861431DR Muni","STATE_CODE")</f>
        <v>#NAME?</v>
      </c>
      <c r="C68" t="s">
        <v>24</v>
      </c>
      <c r="D68" t="e">
        <f ca="1">BDP("861431DR Muni","YIELD_ON_ISSUE_DATE")</f>
        <v>#NAME?</v>
      </c>
      <c r="E68">
        <v>505000</v>
      </c>
      <c r="F68" t="e">
        <f ca="1">BDP("861431DR Muni","ISSUE_DT")</f>
        <v>#NAME?</v>
      </c>
      <c r="G68" t="e">
        <f ca="1">BDP("861431DR Muni","MATURITY")</f>
        <v>#NAME?</v>
      </c>
      <c r="H68" t="e">
        <f ca="1">BDP("861431DR Muni","MUNI_TAX_PROV")</f>
        <v>#NAME?</v>
      </c>
      <c r="I68" t="e">
        <f ca="1">BDP("861431DR Muni","FINANCING_TYPE")</f>
        <v>#NAME?</v>
      </c>
      <c r="J68" t="e">
        <f ca="1">BDP("861431DR Muni","BICS_LEVEL_2_INDUSTRY_GROUP_NAME")</f>
        <v>#NAME?</v>
      </c>
      <c r="K68" t="e">
        <f ca="1">BDP("861431DR Muni","SELF_REPRTD_GREEN_INSTR_INDCTR")</f>
        <v>#NAME?</v>
      </c>
      <c r="L68" t="e">
        <f ca="1">BDP("861431DR Muni","GB_MANAGEMENT_PROCEEDS")</f>
        <v>#NAME?</v>
      </c>
      <c r="M68" t="e">
        <f ca="1">BDP("861431DR Muni","GB_REPORTING")</f>
        <v>#NAME?</v>
      </c>
      <c r="N68" t="e">
        <f ca="1">BDP("861431DR Muni","GB_ASSURANCE_PROVIDERS")</f>
        <v>#NAME?</v>
      </c>
      <c r="O68" t="e">
        <f ca="1">BDP("861431DR Muni","GB_PROJECT_SELECTION_PROCESS")</f>
        <v>#NAME?</v>
      </c>
      <c r="P68" t="e">
        <f ca="1">BDP("861431DR Muni","ESG_FRAMEWORK_INDICATOR")</f>
        <v>#NAME?</v>
      </c>
      <c r="Q68" t="e">
        <f ca="1">BDP("861431DR Muni","BLOOMBERG_SECTOR_CODE")</f>
        <v>#NAME?</v>
      </c>
      <c r="R68" t="e">
        <f ca="1">BDP("861431DR Muni","ISSUER_TYPE")</f>
        <v>#NAME?</v>
      </c>
      <c r="S68" t="e">
        <f ca="1">BDS("861431DR Muni","ESG_PROJECT_CATEGORY", "aggregate=y")</f>
        <v>#NAME?</v>
      </c>
      <c r="T68" t="e">
        <f ca="1">BDS("861431DR Muni","ESG_PROJECT_SUBCATEGORY", "aggregate=y")</f>
        <v>#NAME?</v>
      </c>
    </row>
    <row r="69" spans="1:20" x14ac:dyDescent="0.25">
      <c r="A69" t="e">
        <f ca="1">BDP("861431DS Muni","ID_CUSIP")</f>
        <v>#NAME?</v>
      </c>
      <c r="B69" t="e">
        <f ca="1">BDP("861431DS Muni","STATE_CODE")</f>
        <v>#NAME?</v>
      </c>
      <c r="C69" t="s">
        <v>24</v>
      </c>
      <c r="D69" t="e">
        <f ca="1">BDP("861431DS Muni","YIELD_ON_ISSUE_DATE")</f>
        <v>#NAME?</v>
      </c>
      <c r="E69">
        <v>815000</v>
      </c>
      <c r="F69" t="e">
        <f ca="1">BDP("861431DS Muni","ISSUE_DT")</f>
        <v>#NAME?</v>
      </c>
      <c r="G69" t="e">
        <f ca="1">BDP("861431DS Muni","MATURITY")</f>
        <v>#NAME?</v>
      </c>
      <c r="H69" t="e">
        <f ca="1">BDP("861431DS Muni","MUNI_TAX_PROV")</f>
        <v>#NAME?</v>
      </c>
      <c r="I69" t="e">
        <f ca="1">BDP("861431DS Muni","FINANCING_TYPE")</f>
        <v>#NAME?</v>
      </c>
      <c r="J69" t="e">
        <f ca="1">BDP("861431DS Muni","BICS_LEVEL_2_INDUSTRY_GROUP_NAME")</f>
        <v>#NAME?</v>
      </c>
      <c r="K69" t="e">
        <f ca="1">BDP("861431DS Muni","SELF_REPRTD_GREEN_INSTR_INDCTR")</f>
        <v>#NAME?</v>
      </c>
      <c r="L69" t="e">
        <f ca="1">BDP("861431DS Muni","GB_MANAGEMENT_PROCEEDS")</f>
        <v>#NAME?</v>
      </c>
      <c r="M69" t="e">
        <f ca="1">BDP("861431DS Muni","GB_REPORTING")</f>
        <v>#NAME?</v>
      </c>
      <c r="N69" t="e">
        <f ca="1">BDP("861431DS Muni","GB_ASSURANCE_PROVIDERS")</f>
        <v>#NAME?</v>
      </c>
      <c r="O69" t="e">
        <f ca="1">BDP("861431DS Muni","GB_PROJECT_SELECTION_PROCESS")</f>
        <v>#NAME?</v>
      </c>
      <c r="P69" t="e">
        <f ca="1">BDP("861431DS Muni","ESG_FRAMEWORK_INDICATOR")</f>
        <v>#NAME?</v>
      </c>
      <c r="Q69" t="e">
        <f ca="1">BDP("861431DS Muni","BLOOMBERG_SECTOR_CODE")</f>
        <v>#NAME?</v>
      </c>
      <c r="R69" t="e">
        <f ca="1">BDP("861431DS Muni","ISSUER_TYPE")</f>
        <v>#NAME?</v>
      </c>
      <c r="S69" t="e">
        <f ca="1">BDS("861431DS Muni","ESG_PROJECT_CATEGORY", "aggregate=y")</f>
        <v>#NAME?</v>
      </c>
      <c r="T69" t="e">
        <f ca="1">BDS("861431DS Muni","ESG_PROJECT_SUBCATEGORY", "aggregate=y")</f>
        <v>#NAME?</v>
      </c>
    </row>
    <row r="70" spans="1:20" x14ac:dyDescent="0.25">
      <c r="A70" t="e">
        <f ca="1">BDP("861431DU Muni","ID_CUSIP")</f>
        <v>#NAME?</v>
      </c>
      <c r="B70" t="e">
        <f ca="1">BDP("861431DU Muni","STATE_CODE")</f>
        <v>#NAME?</v>
      </c>
      <c r="C70" t="s">
        <v>24</v>
      </c>
      <c r="D70" t="e">
        <f ca="1">BDP("861431DU Muni","YIELD_ON_ISSUE_DATE")</f>
        <v>#NAME?</v>
      </c>
      <c r="E70">
        <v>900000</v>
      </c>
      <c r="F70" t="e">
        <f ca="1">BDP("861431DU Muni","ISSUE_DT")</f>
        <v>#NAME?</v>
      </c>
      <c r="G70" t="e">
        <f ca="1">BDP("861431DU Muni","MATURITY")</f>
        <v>#NAME?</v>
      </c>
      <c r="H70" t="e">
        <f ca="1">BDP("861431DU Muni","MUNI_TAX_PROV")</f>
        <v>#NAME?</v>
      </c>
      <c r="I70" t="e">
        <f ca="1">BDP("861431DU Muni","FINANCING_TYPE")</f>
        <v>#NAME?</v>
      </c>
      <c r="J70" t="e">
        <f ca="1">BDP("861431DU Muni","BICS_LEVEL_2_INDUSTRY_GROUP_NAME")</f>
        <v>#NAME?</v>
      </c>
      <c r="K70" t="e">
        <f ca="1">BDP("861431DU Muni","SELF_REPRTD_GREEN_INSTR_INDCTR")</f>
        <v>#NAME?</v>
      </c>
      <c r="L70" t="e">
        <f ca="1">BDP("861431DU Muni","GB_MANAGEMENT_PROCEEDS")</f>
        <v>#NAME?</v>
      </c>
      <c r="M70" t="e">
        <f ca="1">BDP("861431DU Muni","GB_REPORTING")</f>
        <v>#NAME?</v>
      </c>
      <c r="N70" t="e">
        <f ca="1">BDP("861431DU Muni","GB_ASSURANCE_PROVIDERS")</f>
        <v>#NAME?</v>
      </c>
      <c r="O70" t="e">
        <f ca="1">BDP("861431DU Muni","GB_PROJECT_SELECTION_PROCESS")</f>
        <v>#NAME?</v>
      </c>
      <c r="P70" t="e">
        <f ca="1">BDP("861431DU Muni","ESG_FRAMEWORK_INDICATOR")</f>
        <v>#NAME?</v>
      </c>
      <c r="Q70" t="e">
        <f ca="1">BDP("861431DU Muni","BLOOMBERG_SECTOR_CODE")</f>
        <v>#NAME?</v>
      </c>
      <c r="R70" t="e">
        <f ca="1">BDP("861431DU Muni","ISSUER_TYPE")</f>
        <v>#NAME?</v>
      </c>
      <c r="S70" t="e">
        <f ca="1">BDS("861431DU Muni","ESG_PROJECT_CATEGORY", "aggregate=y")</f>
        <v>#NAME?</v>
      </c>
      <c r="T70" t="e">
        <f ca="1">BDS("861431DU Muni","ESG_PROJECT_SUBCATEGORY", "aggregate=y")</f>
        <v>#NAME?</v>
      </c>
    </row>
    <row r="71" spans="1:20" x14ac:dyDescent="0.25">
      <c r="A71" t="e">
        <f ca="1">BDP("861431DV Muni","ID_CUSIP")</f>
        <v>#NAME?</v>
      </c>
      <c r="B71" t="e">
        <f ca="1">BDP("861431DV Muni","STATE_CODE")</f>
        <v>#NAME?</v>
      </c>
      <c r="C71" t="s">
        <v>24</v>
      </c>
      <c r="D71" t="e">
        <f ca="1">BDP("861431DV Muni","YIELD_ON_ISSUE_DATE")</f>
        <v>#NAME?</v>
      </c>
      <c r="E71">
        <v>945000</v>
      </c>
      <c r="F71" t="e">
        <f ca="1">BDP("861431DV Muni","ISSUE_DT")</f>
        <v>#NAME?</v>
      </c>
      <c r="G71" t="e">
        <f ca="1">BDP("861431DV Muni","MATURITY")</f>
        <v>#NAME?</v>
      </c>
      <c r="H71" t="e">
        <f ca="1">BDP("861431DV Muni","MUNI_TAX_PROV")</f>
        <v>#NAME?</v>
      </c>
      <c r="I71" t="e">
        <f ca="1">BDP("861431DV Muni","FINANCING_TYPE")</f>
        <v>#NAME?</v>
      </c>
      <c r="J71" t="e">
        <f ca="1">BDP("861431DV Muni","BICS_LEVEL_2_INDUSTRY_GROUP_NAME")</f>
        <v>#NAME?</v>
      </c>
      <c r="K71" t="e">
        <f ca="1">BDP("861431DV Muni","SELF_REPRTD_GREEN_INSTR_INDCTR")</f>
        <v>#NAME?</v>
      </c>
      <c r="L71" t="e">
        <f ca="1">BDP("861431DV Muni","GB_MANAGEMENT_PROCEEDS")</f>
        <v>#NAME?</v>
      </c>
      <c r="M71" t="e">
        <f ca="1">BDP("861431DV Muni","GB_REPORTING")</f>
        <v>#NAME?</v>
      </c>
      <c r="N71" t="e">
        <f ca="1">BDP("861431DV Muni","GB_ASSURANCE_PROVIDERS")</f>
        <v>#NAME?</v>
      </c>
      <c r="O71" t="e">
        <f ca="1">BDP("861431DV Muni","GB_PROJECT_SELECTION_PROCESS")</f>
        <v>#NAME?</v>
      </c>
      <c r="P71" t="e">
        <f ca="1">BDP("861431DV Muni","ESG_FRAMEWORK_INDICATOR")</f>
        <v>#NAME?</v>
      </c>
      <c r="Q71" t="e">
        <f ca="1">BDP("861431DV Muni","BLOOMBERG_SECTOR_CODE")</f>
        <v>#NAME?</v>
      </c>
      <c r="R71" t="e">
        <f ca="1">BDP("861431DV Muni","ISSUER_TYPE")</f>
        <v>#NAME?</v>
      </c>
      <c r="S71" t="e">
        <f ca="1">BDS("861431DV Muni","ESG_PROJECT_CATEGORY", "aggregate=y")</f>
        <v>#NAME?</v>
      </c>
      <c r="T71" t="e">
        <f ca="1">BDS("861431DV Muni","ESG_PROJECT_SUBCATEGORY", "aggregate=y")</f>
        <v>#NAME?</v>
      </c>
    </row>
    <row r="72" spans="1:20" x14ac:dyDescent="0.25">
      <c r="A72" t="e">
        <f ca="1">BDP("861431DW Muni","ID_CUSIP")</f>
        <v>#NAME?</v>
      </c>
      <c r="B72" t="e">
        <f ca="1">BDP("861431DW Muni","STATE_CODE")</f>
        <v>#NAME?</v>
      </c>
      <c r="C72" t="s">
        <v>24</v>
      </c>
      <c r="D72" t="e">
        <f ca="1">BDP("861431DW Muni","YIELD_ON_ISSUE_DATE")</f>
        <v>#NAME?</v>
      </c>
      <c r="E72">
        <v>1000000</v>
      </c>
      <c r="F72" t="e">
        <f ca="1">BDP("861431DW Muni","ISSUE_DT")</f>
        <v>#NAME?</v>
      </c>
      <c r="G72" t="e">
        <f ca="1">BDP("861431DW Muni","MATURITY")</f>
        <v>#NAME?</v>
      </c>
      <c r="H72" t="e">
        <f ca="1">BDP("861431DW Muni","MUNI_TAX_PROV")</f>
        <v>#NAME?</v>
      </c>
      <c r="I72" t="e">
        <f ca="1">BDP("861431DW Muni","FINANCING_TYPE")</f>
        <v>#NAME?</v>
      </c>
      <c r="J72" t="e">
        <f ca="1">BDP("861431DW Muni","BICS_LEVEL_2_INDUSTRY_GROUP_NAME")</f>
        <v>#NAME?</v>
      </c>
      <c r="K72" t="e">
        <f ca="1">BDP("861431DW Muni","SELF_REPRTD_GREEN_INSTR_INDCTR")</f>
        <v>#NAME?</v>
      </c>
      <c r="L72" t="e">
        <f ca="1">BDP("861431DW Muni","GB_MANAGEMENT_PROCEEDS")</f>
        <v>#NAME?</v>
      </c>
      <c r="M72" t="e">
        <f ca="1">BDP("861431DW Muni","GB_REPORTING")</f>
        <v>#NAME?</v>
      </c>
      <c r="N72" t="e">
        <f ca="1">BDP("861431DW Muni","GB_ASSURANCE_PROVIDERS")</f>
        <v>#NAME?</v>
      </c>
      <c r="O72" t="e">
        <f ca="1">BDP("861431DW Muni","GB_PROJECT_SELECTION_PROCESS")</f>
        <v>#NAME?</v>
      </c>
      <c r="P72" t="e">
        <f ca="1">BDP("861431DW Muni","ESG_FRAMEWORK_INDICATOR")</f>
        <v>#NAME?</v>
      </c>
      <c r="Q72" t="e">
        <f ca="1">BDP("861431DW Muni","BLOOMBERG_SECTOR_CODE")</f>
        <v>#NAME?</v>
      </c>
      <c r="R72" t="e">
        <f ca="1">BDP("861431DW Muni","ISSUER_TYPE")</f>
        <v>#NAME?</v>
      </c>
      <c r="S72" t="e">
        <f ca="1">BDS("861431DW Muni","ESG_PROJECT_CATEGORY", "aggregate=y")</f>
        <v>#NAME?</v>
      </c>
      <c r="T72" t="e">
        <f ca="1">BDS("861431DW Muni","ESG_PROJECT_SUBCATEGORY", "aggregate=y")</f>
        <v>#NAME?</v>
      </c>
    </row>
    <row r="73" spans="1:20" x14ac:dyDescent="0.25">
      <c r="A73" t="e">
        <f ca="1">BDP("861431DX Muni","ID_CUSIP")</f>
        <v>#NAME?</v>
      </c>
      <c r="B73" t="e">
        <f ca="1">BDP("861431DX Muni","STATE_CODE")</f>
        <v>#NAME?</v>
      </c>
      <c r="C73" t="s">
        <v>24</v>
      </c>
      <c r="D73" t="e">
        <f ca="1">BDP("861431DX Muni","YIELD_ON_ISSUE_DATE")</f>
        <v>#NAME?</v>
      </c>
      <c r="E73">
        <v>1045000</v>
      </c>
      <c r="F73" t="e">
        <f ca="1">BDP("861431DX Muni","ISSUE_DT")</f>
        <v>#NAME?</v>
      </c>
      <c r="G73" t="e">
        <f ca="1">BDP("861431DX Muni","MATURITY")</f>
        <v>#NAME?</v>
      </c>
      <c r="H73" t="e">
        <f ca="1">BDP("861431DX Muni","MUNI_TAX_PROV")</f>
        <v>#NAME?</v>
      </c>
      <c r="I73" t="e">
        <f ca="1">BDP("861431DX Muni","FINANCING_TYPE")</f>
        <v>#NAME?</v>
      </c>
      <c r="J73" t="e">
        <f ca="1">BDP("861431DX Muni","BICS_LEVEL_2_INDUSTRY_GROUP_NAME")</f>
        <v>#NAME?</v>
      </c>
      <c r="K73" t="e">
        <f ca="1">BDP("861431DX Muni","SELF_REPRTD_GREEN_INSTR_INDCTR")</f>
        <v>#NAME?</v>
      </c>
      <c r="L73" t="e">
        <f ca="1">BDP("861431DX Muni","GB_MANAGEMENT_PROCEEDS")</f>
        <v>#NAME?</v>
      </c>
      <c r="M73" t="e">
        <f ca="1">BDP("861431DX Muni","GB_REPORTING")</f>
        <v>#NAME?</v>
      </c>
      <c r="N73" t="e">
        <f ca="1">BDP("861431DX Muni","GB_ASSURANCE_PROVIDERS")</f>
        <v>#NAME?</v>
      </c>
      <c r="O73" t="e">
        <f ca="1">BDP("861431DX Muni","GB_PROJECT_SELECTION_PROCESS")</f>
        <v>#NAME?</v>
      </c>
      <c r="P73" t="e">
        <f ca="1">BDP("861431DX Muni","ESG_FRAMEWORK_INDICATOR")</f>
        <v>#NAME?</v>
      </c>
      <c r="Q73" t="e">
        <f ca="1">BDP("861431DX Muni","BLOOMBERG_SECTOR_CODE")</f>
        <v>#NAME?</v>
      </c>
      <c r="R73" t="e">
        <f ca="1">BDP("861431DX Muni","ISSUER_TYPE")</f>
        <v>#NAME?</v>
      </c>
      <c r="S73" t="e">
        <f ca="1">BDS("861431DX Muni","ESG_PROJECT_CATEGORY", "aggregate=y")</f>
        <v>#NAME?</v>
      </c>
      <c r="T73" t="e">
        <f ca="1">BDS("861431DX Muni","ESG_PROJECT_SUBCATEGORY", "aggregate=y")</f>
        <v>#NAME?</v>
      </c>
    </row>
    <row r="74" spans="1:20" x14ac:dyDescent="0.25">
      <c r="A74" t="e">
        <f ca="1">BDP("861431DY Muni","ID_CUSIP")</f>
        <v>#NAME?</v>
      </c>
      <c r="B74" t="e">
        <f ca="1">BDP("861431DY Muni","STATE_CODE")</f>
        <v>#NAME?</v>
      </c>
      <c r="C74" t="s">
        <v>24</v>
      </c>
      <c r="D74" t="e">
        <f ca="1">BDP("861431DY Muni","YIELD_ON_ISSUE_DATE")</f>
        <v>#NAME?</v>
      </c>
      <c r="E74">
        <v>1095000</v>
      </c>
      <c r="F74" t="e">
        <f ca="1">BDP("861431DY Muni","ISSUE_DT")</f>
        <v>#NAME?</v>
      </c>
      <c r="G74" t="e">
        <f ca="1">BDP("861431DY Muni","MATURITY")</f>
        <v>#NAME?</v>
      </c>
      <c r="H74" t="e">
        <f ca="1">BDP("861431DY Muni","MUNI_TAX_PROV")</f>
        <v>#NAME?</v>
      </c>
      <c r="I74" t="e">
        <f ca="1">BDP("861431DY Muni","FINANCING_TYPE")</f>
        <v>#NAME?</v>
      </c>
      <c r="J74" t="e">
        <f ca="1">BDP("861431DY Muni","BICS_LEVEL_2_INDUSTRY_GROUP_NAME")</f>
        <v>#NAME?</v>
      </c>
      <c r="K74" t="e">
        <f ca="1">BDP("861431DY Muni","SELF_REPRTD_GREEN_INSTR_INDCTR")</f>
        <v>#NAME?</v>
      </c>
      <c r="L74" t="e">
        <f ca="1">BDP("861431DY Muni","GB_MANAGEMENT_PROCEEDS")</f>
        <v>#NAME?</v>
      </c>
      <c r="M74" t="e">
        <f ca="1">BDP("861431DY Muni","GB_REPORTING")</f>
        <v>#NAME?</v>
      </c>
      <c r="N74" t="e">
        <f ca="1">BDP("861431DY Muni","GB_ASSURANCE_PROVIDERS")</f>
        <v>#NAME?</v>
      </c>
      <c r="O74" t="e">
        <f ca="1">BDP("861431DY Muni","GB_PROJECT_SELECTION_PROCESS")</f>
        <v>#NAME?</v>
      </c>
      <c r="P74" t="e">
        <f ca="1">BDP("861431DY Muni","ESG_FRAMEWORK_INDICATOR")</f>
        <v>#NAME?</v>
      </c>
      <c r="Q74" t="e">
        <f ca="1">BDP("861431DY Muni","BLOOMBERG_SECTOR_CODE")</f>
        <v>#NAME?</v>
      </c>
      <c r="R74" t="e">
        <f ca="1">BDP("861431DY Muni","ISSUER_TYPE")</f>
        <v>#NAME?</v>
      </c>
      <c r="S74" t="e">
        <f ca="1">BDS("861431DY Muni","ESG_PROJECT_CATEGORY", "aggregate=y")</f>
        <v>#NAME?</v>
      </c>
      <c r="T74" t="e">
        <f ca="1">BDS("861431DY Muni","ESG_PROJECT_SUBCATEGORY", "aggregate=y")</f>
        <v>#NAME?</v>
      </c>
    </row>
    <row r="75" spans="1:20" x14ac:dyDescent="0.25">
      <c r="A75" t="e">
        <f ca="1">BDP("861431EA Muni","ID_CUSIP")</f>
        <v>#NAME?</v>
      </c>
      <c r="B75" t="e">
        <f ca="1">BDP("861431EA Muni","STATE_CODE")</f>
        <v>#NAME?</v>
      </c>
      <c r="C75" t="s">
        <v>24</v>
      </c>
      <c r="D75" t="e">
        <f ca="1">BDP("861431EA Muni","YIELD_ON_ISSUE_DATE")</f>
        <v>#NAME?</v>
      </c>
      <c r="E75">
        <v>1210000</v>
      </c>
      <c r="F75" t="e">
        <f ca="1">BDP("861431EA Muni","ISSUE_DT")</f>
        <v>#NAME?</v>
      </c>
      <c r="G75" t="e">
        <f ca="1">BDP("861431EA Muni","MATURITY")</f>
        <v>#NAME?</v>
      </c>
      <c r="H75" t="e">
        <f ca="1">BDP("861431EA Muni","MUNI_TAX_PROV")</f>
        <v>#NAME?</v>
      </c>
      <c r="I75" t="e">
        <f ca="1">BDP("861431EA Muni","FINANCING_TYPE")</f>
        <v>#NAME?</v>
      </c>
      <c r="J75" t="e">
        <f ca="1">BDP("861431EA Muni","BICS_LEVEL_2_INDUSTRY_GROUP_NAME")</f>
        <v>#NAME?</v>
      </c>
      <c r="K75" t="e">
        <f ca="1">BDP("861431EA Muni","SELF_REPRTD_GREEN_INSTR_INDCTR")</f>
        <v>#NAME?</v>
      </c>
      <c r="L75" t="e">
        <f ca="1">BDP("861431EA Muni","GB_MANAGEMENT_PROCEEDS")</f>
        <v>#NAME?</v>
      </c>
      <c r="M75" t="e">
        <f ca="1">BDP("861431EA Muni","GB_REPORTING")</f>
        <v>#NAME?</v>
      </c>
      <c r="N75" t="e">
        <f ca="1">BDP("861431EA Muni","GB_ASSURANCE_PROVIDERS")</f>
        <v>#NAME?</v>
      </c>
      <c r="O75" t="e">
        <f ca="1">BDP("861431EA Muni","GB_PROJECT_SELECTION_PROCESS")</f>
        <v>#NAME?</v>
      </c>
      <c r="P75" t="e">
        <f ca="1">BDP("861431EA Muni","ESG_FRAMEWORK_INDICATOR")</f>
        <v>#NAME?</v>
      </c>
      <c r="Q75" t="e">
        <f ca="1">BDP("861431EA Muni","BLOOMBERG_SECTOR_CODE")</f>
        <v>#NAME?</v>
      </c>
      <c r="R75" t="e">
        <f ca="1">BDP("861431EA Muni","ISSUER_TYPE")</f>
        <v>#NAME?</v>
      </c>
      <c r="S75" t="e">
        <f ca="1">BDS("861431EA Muni","ESG_PROJECT_CATEGORY", "aggregate=y")</f>
        <v>#NAME?</v>
      </c>
      <c r="T75" t="e">
        <f ca="1">BDS("861431EA Muni","ESG_PROJECT_SUBCATEGORY", "aggregate=y")</f>
        <v>#NAME?</v>
      </c>
    </row>
    <row r="76" spans="1:20" x14ac:dyDescent="0.25">
      <c r="A76" t="e">
        <f ca="1">BDP("88035J7B Muni","ID_CUSIP")</f>
        <v>#NAME?</v>
      </c>
      <c r="B76" t="e">
        <f ca="1">BDP("88035J7B Muni","STATE_CODE")</f>
        <v>#NAME?</v>
      </c>
      <c r="C76" t="s">
        <v>25</v>
      </c>
      <c r="D76" t="e">
        <f ca="1">BDP("88035J7B Muni","YIELD_ON_ISSUE_DATE")</f>
        <v>#NAME?</v>
      </c>
      <c r="E76">
        <v>8000000</v>
      </c>
      <c r="F76" t="e">
        <f ca="1">BDP("88035J7B Muni","ISSUE_DT")</f>
        <v>#NAME?</v>
      </c>
      <c r="G76" t="e">
        <f ca="1">BDP("88035J7B Muni","MATURITY")</f>
        <v>#NAME?</v>
      </c>
      <c r="H76" t="e">
        <f ca="1">BDP("88035J7B Muni","MUNI_TAX_PROV")</f>
        <v>#NAME?</v>
      </c>
      <c r="I76" t="e">
        <f ca="1">BDP("88035J7B Muni","FINANCING_TYPE")</f>
        <v>#NAME?</v>
      </c>
      <c r="J76" t="e">
        <f ca="1">BDP("88035J7B Muni","BICS_LEVEL_2_INDUSTRY_GROUP_NAME")</f>
        <v>#NAME?</v>
      </c>
      <c r="K76" t="e">
        <f ca="1">BDP("88035J7B Muni","SELF_REPRTD_GREEN_INSTR_INDCTR")</f>
        <v>#NAME?</v>
      </c>
      <c r="L76" t="e">
        <f ca="1">BDP("88035J7B Muni","GB_MANAGEMENT_PROCEEDS")</f>
        <v>#NAME?</v>
      </c>
      <c r="M76" t="e">
        <f ca="1">BDP("88035J7B Muni","GB_REPORTING")</f>
        <v>#NAME?</v>
      </c>
      <c r="N76" t="e">
        <f ca="1">BDP("88035J7B Muni","GB_ASSURANCE_PROVIDERS")</f>
        <v>#NAME?</v>
      </c>
      <c r="O76" t="e">
        <f ca="1">BDP("88035J7B Muni","GB_PROJECT_SELECTION_PROCESS")</f>
        <v>#NAME?</v>
      </c>
      <c r="P76" t="e">
        <f ca="1">BDP("88035J7B Muni","ESG_FRAMEWORK_INDICATOR")</f>
        <v>#NAME?</v>
      </c>
      <c r="Q76" t="e">
        <f ca="1">BDP("88035J7B Muni","BLOOMBERG_SECTOR_CODE")</f>
        <v>#NAME?</v>
      </c>
      <c r="R76" t="e">
        <f ca="1">BDP("88035J7B Muni","ISSUER_TYPE")</f>
        <v>#NAME?</v>
      </c>
      <c r="S76" t="e">
        <f ca="1">BDS("88035J7B Muni","ESG_PROJECT_CATEGORY", "aggregate=y")</f>
        <v>#NAME?</v>
      </c>
      <c r="T76" t="e">
        <f ca="1">BDS("88035J7B Muni","ESG_PROJECT_SUBCATEGORY", "aggregate=y")</f>
        <v>#NAME?</v>
      </c>
    </row>
    <row r="77" spans="1:20" x14ac:dyDescent="0.25">
      <c r="A77" t="e">
        <f ca="1">BDP("88035M6F Muni","ID_CUSIP")</f>
        <v>#NAME?</v>
      </c>
      <c r="B77" t="e">
        <f ca="1">BDP("88035M6F Muni","STATE_CODE")</f>
        <v>#NAME?</v>
      </c>
      <c r="C77" t="s">
        <v>25</v>
      </c>
      <c r="D77" t="e">
        <f ca="1">BDP("88035M6F Muni","YIELD_ON_ISSUE_DATE")</f>
        <v>#NAME?</v>
      </c>
      <c r="E77">
        <v>16000000</v>
      </c>
      <c r="F77" t="e">
        <f ca="1">BDP("88035M6F Muni","ISSUE_DT")</f>
        <v>#NAME?</v>
      </c>
      <c r="G77" t="e">
        <f ca="1">BDP("88035M6F Muni","MATURITY")</f>
        <v>#NAME?</v>
      </c>
      <c r="H77" t="e">
        <f ca="1">BDP("88035M6F Muni","MUNI_TAX_PROV")</f>
        <v>#NAME?</v>
      </c>
      <c r="I77" t="e">
        <f ca="1">BDP("88035M6F Muni","FINANCING_TYPE")</f>
        <v>#NAME?</v>
      </c>
      <c r="J77" t="e">
        <f ca="1">BDP("88035M6F Muni","BICS_LEVEL_2_INDUSTRY_GROUP_NAME")</f>
        <v>#NAME?</v>
      </c>
      <c r="K77" t="e">
        <f ca="1">BDP("88035M6F Muni","SELF_REPRTD_GREEN_INSTR_INDCTR")</f>
        <v>#NAME?</v>
      </c>
      <c r="L77" t="e">
        <f ca="1">BDP("88035M6F Muni","GB_MANAGEMENT_PROCEEDS")</f>
        <v>#NAME?</v>
      </c>
      <c r="M77" t="e">
        <f ca="1">BDP("88035M6F Muni","GB_REPORTING")</f>
        <v>#NAME?</v>
      </c>
      <c r="N77" t="e">
        <f ca="1">BDP("88035M6F Muni","GB_ASSURANCE_PROVIDERS")</f>
        <v>#NAME?</v>
      </c>
      <c r="O77" t="e">
        <f ca="1">BDP("88035M6F Muni","GB_PROJECT_SELECTION_PROCESS")</f>
        <v>#NAME?</v>
      </c>
      <c r="P77" t="e">
        <f ca="1">BDP("88035M6F Muni","ESG_FRAMEWORK_INDICATOR")</f>
        <v>#NAME?</v>
      </c>
      <c r="Q77" t="e">
        <f ca="1">BDP("88035M6F Muni","BLOOMBERG_SECTOR_CODE")</f>
        <v>#NAME?</v>
      </c>
      <c r="R77" t="e">
        <f ca="1">BDP("88035M6F Muni","ISSUER_TYPE")</f>
        <v>#NAME?</v>
      </c>
      <c r="S77" t="e">
        <f ca="1">BDS("88035M6F Muni","ESG_PROJECT_CATEGORY", "aggregate=y")</f>
        <v>#NAME?</v>
      </c>
      <c r="T77" t="e">
        <f ca="1">BDS("88035M6F Muni","ESG_PROJECT_SUBCATEGORY", "aggregate=y")</f>
        <v>#NAME?</v>
      </c>
    </row>
    <row r="78" spans="1:20" x14ac:dyDescent="0.25">
      <c r="A78" t="e">
        <f ca="1">BDP("88035M6G Muni","ID_CUSIP")</f>
        <v>#NAME?</v>
      </c>
      <c r="B78" t="e">
        <f ca="1">BDP("88035M6G Muni","STATE_CODE")</f>
        <v>#NAME?</v>
      </c>
      <c r="C78" t="s">
        <v>25</v>
      </c>
      <c r="D78" t="e">
        <f ca="1">BDP("88035M6G Muni","YIELD_ON_ISSUE_DATE")</f>
        <v>#NAME?</v>
      </c>
      <c r="E78">
        <v>4000000</v>
      </c>
      <c r="F78" t="e">
        <f ca="1">BDP("88035M6G Muni","ISSUE_DT")</f>
        <v>#NAME?</v>
      </c>
      <c r="G78" t="e">
        <f ca="1">BDP("88035M6G Muni","MATURITY")</f>
        <v>#NAME?</v>
      </c>
      <c r="H78" t="e">
        <f ca="1">BDP("88035M6G Muni","MUNI_TAX_PROV")</f>
        <v>#NAME?</v>
      </c>
      <c r="I78" t="e">
        <f ca="1">BDP("88035M6G Muni","FINANCING_TYPE")</f>
        <v>#NAME?</v>
      </c>
      <c r="J78" t="e">
        <f ca="1">BDP("88035M6G Muni","BICS_LEVEL_2_INDUSTRY_GROUP_NAME")</f>
        <v>#NAME?</v>
      </c>
      <c r="K78" t="e">
        <f ca="1">BDP("88035M6G Muni","SELF_REPRTD_GREEN_INSTR_INDCTR")</f>
        <v>#NAME?</v>
      </c>
      <c r="L78" t="e">
        <f ca="1">BDP("88035M6G Muni","GB_MANAGEMENT_PROCEEDS")</f>
        <v>#NAME?</v>
      </c>
      <c r="M78" t="e">
        <f ca="1">BDP("88035M6G Muni","GB_REPORTING")</f>
        <v>#NAME?</v>
      </c>
      <c r="N78" t="e">
        <f ca="1">BDP("88035M6G Muni","GB_ASSURANCE_PROVIDERS")</f>
        <v>#NAME?</v>
      </c>
      <c r="O78" t="e">
        <f ca="1">BDP("88035M6G Muni","GB_PROJECT_SELECTION_PROCESS")</f>
        <v>#NAME?</v>
      </c>
      <c r="P78" t="e">
        <f ca="1">BDP("88035M6G Muni","ESG_FRAMEWORK_INDICATOR")</f>
        <v>#NAME?</v>
      </c>
      <c r="Q78" t="e">
        <f ca="1">BDP("88035M6G Muni","BLOOMBERG_SECTOR_CODE")</f>
        <v>#NAME?</v>
      </c>
      <c r="R78" t="e">
        <f ca="1">BDP("88035M6G Muni","ISSUER_TYPE")</f>
        <v>#NAME?</v>
      </c>
      <c r="S78" t="e">
        <f ca="1">BDS("88035M6G Muni","ESG_PROJECT_CATEGORY", "aggregate=y")</f>
        <v>#NAME?</v>
      </c>
      <c r="T78" t="e">
        <f ca="1">BDS("88035M6G Muni","ESG_PROJECT_SUBCATEGORY", "aggregate=y")</f>
        <v>#NAME?</v>
      </c>
    </row>
    <row r="79" spans="1:20" x14ac:dyDescent="0.25">
      <c r="A79" t="e">
        <f ca="1">BDP("88035MB6 Muni","ID_CUSIP")</f>
        <v>#NAME?</v>
      </c>
      <c r="B79" t="e">
        <f ca="1">BDP("88035MB6 Muni","STATE_CODE")</f>
        <v>#NAME?</v>
      </c>
      <c r="C79" t="s">
        <v>25</v>
      </c>
      <c r="D79" t="e">
        <f ca="1">BDP("88035MB6 Muni","YIELD_ON_ISSUE_DATE")</f>
        <v>#NAME?</v>
      </c>
      <c r="E79">
        <v>6000000</v>
      </c>
      <c r="F79" t="e">
        <f ca="1">BDP("88035MB6 Muni","ISSUE_DT")</f>
        <v>#NAME?</v>
      </c>
      <c r="G79" t="e">
        <f ca="1">BDP("88035MB6 Muni","MATURITY")</f>
        <v>#NAME?</v>
      </c>
      <c r="H79" t="e">
        <f ca="1">BDP("88035MB6 Muni","MUNI_TAX_PROV")</f>
        <v>#NAME?</v>
      </c>
      <c r="I79" t="e">
        <f ca="1">BDP("88035MB6 Muni","FINANCING_TYPE")</f>
        <v>#NAME?</v>
      </c>
      <c r="J79" t="e">
        <f ca="1">BDP("88035MB6 Muni","BICS_LEVEL_2_INDUSTRY_GROUP_NAME")</f>
        <v>#NAME?</v>
      </c>
      <c r="K79" t="e">
        <f ca="1">BDP("88035MB6 Muni","SELF_REPRTD_GREEN_INSTR_INDCTR")</f>
        <v>#NAME?</v>
      </c>
      <c r="L79" t="e">
        <f ca="1">BDP("88035MB6 Muni","GB_MANAGEMENT_PROCEEDS")</f>
        <v>#NAME?</v>
      </c>
      <c r="M79" t="e">
        <f ca="1">BDP("88035MB6 Muni","GB_REPORTING")</f>
        <v>#NAME?</v>
      </c>
      <c r="N79" t="e">
        <f ca="1">BDP("88035MB6 Muni","GB_ASSURANCE_PROVIDERS")</f>
        <v>#NAME?</v>
      </c>
      <c r="O79" t="e">
        <f ca="1">BDP("88035MB6 Muni","GB_PROJECT_SELECTION_PROCESS")</f>
        <v>#NAME?</v>
      </c>
      <c r="P79" t="e">
        <f ca="1">BDP("88035MB6 Muni","ESG_FRAMEWORK_INDICATOR")</f>
        <v>#NAME?</v>
      </c>
      <c r="Q79" t="e">
        <f ca="1">BDP("88035MB6 Muni","BLOOMBERG_SECTOR_CODE")</f>
        <v>#NAME?</v>
      </c>
      <c r="R79" t="e">
        <f ca="1">BDP("88035MB6 Muni","ISSUER_TYPE")</f>
        <v>#NAME?</v>
      </c>
      <c r="S79" t="e">
        <f ca="1">BDS("88035MB6 Muni","ESG_PROJECT_CATEGORY", "aggregate=y")</f>
        <v>#NAME?</v>
      </c>
      <c r="T79" t="e">
        <f ca="1">BDS("88035MB6 Muni","ESG_PROJECT_SUBCATEGORY", "aggregate=y")</f>
        <v>#NAME?</v>
      </c>
    </row>
    <row r="80" spans="1:20" x14ac:dyDescent="0.25">
      <c r="A80" t="e">
        <f ca="1">BDP("88035MB7 Muni","ID_CUSIP")</f>
        <v>#NAME?</v>
      </c>
      <c r="B80" t="e">
        <f ca="1">BDP("88035MB7 Muni","STATE_CODE")</f>
        <v>#NAME?</v>
      </c>
      <c r="C80" t="s">
        <v>25</v>
      </c>
      <c r="D80" t="e">
        <f ca="1">BDP("88035MB7 Muni","YIELD_ON_ISSUE_DATE")</f>
        <v>#NAME?</v>
      </c>
      <c r="E80">
        <v>2000000</v>
      </c>
      <c r="F80" t="e">
        <f ca="1">BDP("88035MB7 Muni","ISSUE_DT")</f>
        <v>#NAME?</v>
      </c>
      <c r="G80" t="e">
        <f ca="1">BDP("88035MB7 Muni","MATURITY")</f>
        <v>#NAME?</v>
      </c>
      <c r="H80" t="e">
        <f ca="1">BDP("88035MB7 Muni","MUNI_TAX_PROV")</f>
        <v>#NAME?</v>
      </c>
      <c r="I80" t="e">
        <f ca="1">BDP("88035MB7 Muni","FINANCING_TYPE")</f>
        <v>#NAME?</v>
      </c>
      <c r="J80" t="e">
        <f ca="1">BDP("88035MB7 Muni","BICS_LEVEL_2_INDUSTRY_GROUP_NAME")</f>
        <v>#NAME?</v>
      </c>
      <c r="K80" t="e">
        <f ca="1">BDP("88035MB7 Muni","SELF_REPRTD_GREEN_INSTR_INDCTR")</f>
        <v>#NAME?</v>
      </c>
      <c r="L80" t="e">
        <f ca="1">BDP("88035MB7 Muni","GB_MANAGEMENT_PROCEEDS")</f>
        <v>#NAME?</v>
      </c>
      <c r="M80" t="e">
        <f ca="1">BDP("88035MB7 Muni","GB_REPORTING")</f>
        <v>#NAME?</v>
      </c>
      <c r="N80" t="e">
        <f ca="1">BDP("88035MB7 Muni","GB_ASSURANCE_PROVIDERS")</f>
        <v>#NAME?</v>
      </c>
      <c r="O80" t="e">
        <f ca="1">BDP("88035MB7 Muni","GB_PROJECT_SELECTION_PROCESS")</f>
        <v>#NAME?</v>
      </c>
      <c r="P80" t="e">
        <f ca="1">BDP("88035MB7 Muni","ESG_FRAMEWORK_INDICATOR")</f>
        <v>#NAME?</v>
      </c>
      <c r="Q80" t="e">
        <f ca="1">BDP("88035MB7 Muni","BLOOMBERG_SECTOR_CODE")</f>
        <v>#NAME?</v>
      </c>
      <c r="R80" t="e">
        <f ca="1">BDP("88035MB7 Muni","ISSUER_TYPE")</f>
        <v>#NAME?</v>
      </c>
      <c r="S80" t="e">
        <f ca="1">BDS("88035MB7 Muni","ESG_PROJECT_CATEGORY", "aggregate=y")</f>
        <v>#NAME?</v>
      </c>
      <c r="T80" t="e">
        <f ca="1">BDS("88035MB7 Muni","ESG_PROJECT_SUBCATEGORY", "aggregate=y")</f>
        <v>#NAME?</v>
      </c>
    </row>
    <row r="81" spans="1:20" x14ac:dyDescent="0.25">
      <c r="A81" t="e">
        <f ca="1">BDP("88035MB8 Muni","ID_CUSIP")</f>
        <v>#NAME?</v>
      </c>
      <c r="B81" t="e">
        <f ca="1">BDP("88035MB8 Muni","STATE_CODE")</f>
        <v>#NAME?</v>
      </c>
      <c r="C81" t="s">
        <v>25</v>
      </c>
      <c r="D81" t="e">
        <f ca="1">BDP("88035MB8 Muni","YIELD_ON_ISSUE_DATE")</f>
        <v>#NAME?</v>
      </c>
      <c r="E81">
        <v>6000000</v>
      </c>
      <c r="F81" t="e">
        <f ca="1">BDP("88035MB8 Muni","ISSUE_DT")</f>
        <v>#NAME?</v>
      </c>
      <c r="G81" t="e">
        <f ca="1">BDP("88035MB8 Muni","MATURITY")</f>
        <v>#NAME?</v>
      </c>
      <c r="H81" t="e">
        <f ca="1">BDP("88035MB8 Muni","MUNI_TAX_PROV")</f>
        <v>#NAME?</v>
      </c>
      <c r="I81" t="e">
        <f ca="1">BDP("88035MB8 Muni","FINANCING_TYPE")</f>
        <v>#NAME?</v>
      </c>
      <c r="J81" t="e">
        <f ca="1">BDP("88035MB8 Muni","BICS_LEVEL_2_INDUSTRY_GROUP_NAME")</f>
        <v>#NAME?</v>
      </c>
      <c r="K81" t="e">
        <f ca="1">BDP("88035MB8 Muni","SELF_REPRTD_GREEN_INSTR_INDCTR")</f>
        <v>#NAME?</v>
      </c>
      <c r="L81" t="e">
        <f ca="1">BDP("88035MB8 Muni","GB_MANAGEMENT_PROCEEDS")</f>
        <v>#NAME?</v>
      </c>
      <c r="M81" t="e">
        <f ca="1">BDP("88035MB8 Muni","GB_REPORTING")</f>
        <v>#NAME?</v>
      </c>
      <c r="N81" t="e">
        <f ca="1">BDP("88035MB8 Muni","GB_ASSURANCE_PROVIDERS")</f>
        <v>#NAME?</v>
      </c>
      <c r="O81" t="e">
        <f ca="1">BDP("88035MB8 Muni","GB_PROJECT_SELECTION_PROCESS")</f>
        <v>#NAME?</v>
      </c>
      <c r="P81" t="e">
        <f ca="1">BDP("88035MB8 Muni","ESG_FRAMEWORK_INDICATOR")</f>
        <v>#NAME?</v>
      </c>
      <c r="Q81" t="e">
        <f ca="1">BDP("88035MB8 Muni","BLOOMBERG_SECTOR_CODE")</f>
        <v>#NAME?</v>
      </c>
      <c r="R81" t="e">
        <f ca="1">BDP("88035MB8 Muni","ISSUER_TYPE")</f>
        <v>#NAME?</v>
      </c>
      <c r="S81" t="e">
        <f ca="1">BDS("88035MB8 Muni","ESG_PROJECT_CATEGORY", "aggregate=y")</f>
        <v>#NAME?</v>
      </c>
      <c r="T81" t="e">
        <f ca="1">BDS("88035MB8 Muni","ESG_PROJECT_SUBCATEGORY", "aggregate=y")</f>
        <v>#NAME?</v>
      </c>
    </row>
    <row r="82" spans="1:20" x14ac:dyDescent="0.25">
      <c r="A82" t="e">
        <f ca="1">BDP("88035MB9 Muni","ID_CUSIP")</f>
        <v>#NAME?</v>
      </c>
      <c r="B82" t="e">
        <f ca="1">BDP("88035MB9 Muni","STATE_CODE")</f>
        <v>#NAME?</v>
      </c>
      <c r="C82" t="s">
        <v>25</v>
      </c>
      <c r="D82" t="e">
        <f ca="1">BDP("88035MB9 Muni","YIELD_ON_ISSUE_DATE")</f>
        <v>#NAME?</v>
      </c>
      <c r="E82">
        <v>2000000</v>
      </c>
      <c r="F82" t="e">
        <f ca="1">BDP("88035MB9 Muni","ISSUE_DT")</f>
        <v>#NAME?</v>
      </c>
      <c r="G82" t="e">
        <f ca="1">BDP("88035MB9 Muni","MATURITY")</f>
        <v>#NAME?</v>
      </c>
      <c r="H82" t="e">
        <f ca="1">BDP("88035MB9 Muni","MUNI_TAX_PROV")</f>
        <v>#NAME?</v>
      </c>
      <c r="I82" t="e">
        <f ca="1">BDP("88035MB9 Muni","FINANCING_TYPE")</f>
        <v>#NAME?</v>
      </c>
      <c r="J82" t="e">
        <f ca="1">BDP("88035MB9 Muni","BICS_LEVEL_2_INDUSTRY_GROUP_NAME")</f>
        <v>#NAME?</v>
      </c>
      <c r="K82" t="e">
        <f ca="1">BDP("88035MB9 Muni","SELF_REPRTD_GREEN_INSTR_INDCTR")</f>
        <v>#NAME?</v>
      </c>
      <c r="L82" t="e">
        <f ca="1">BDP("88035MB9 Muni","GB_MANAGEMENT_PROCEEDS")</f>
        <v>#NAME?</v>
      </c>
      <c r="M82" t="e">
        <f ca="1">BDP("88035MB9 Muni","GB_REPORTING")</f>
        <v>#NAME?</v>
      </c>
      <c r="N82" t="e">
        <f ca="1">BDP("88035MB9 Muni","GB_ASSURANCE_PROVIDERS")</f>
        <v>#NAME?</v>
      </c>
      <c r="O82" t="e">
        <f ca="1">BDP("88035MB9 Muni","GB_PROJECT_SELECTION_PROCESS")</f>
        <v>#NAME?</v>
      </c>
      <c r="P82" t="e">
        <f ca="1">BDP("88035MB9 Muni","ESG_FRAMEWORK_INDICATOR")</f>
        <v>#NAME?</v>
      </c>
      <c r="Q82" t="e">
        <f ca="1">BDP("88035MB9 Muni","BLOOMBERG_SECTOR_CODE")</f>
        <v>#NAME?</v>
      </c>
      <c r="R82" t="e">
        <f ca="1">BDP("88035MB9 Muni","ISSUER_TYPE")</f>
        <v>#NAME?</v>
      </c>
      <c r="S82" t="e">
        <f ca="1">BDS("88035MB9 Muni","ESG_PROJECT_CATEGORY", "aggregate=y")</f>
        <v>#NAME?</v>
      </c>
      <c r="T82" t="e">
        <f ca="1">BDS("88035MB9 Muni","ESG_PROJECT_SUBCATEGORY", "aggregate=y")</f>
        <v>#NAME?</v>
      </c>
    </row>
    <row r="83" spans="1:20" x14ac:dyDescent="0.25">
      <c r="A83" t="e">
        <f ca="1">BDP("88035MC2 Muni","ID_CUSIP")</f>
        <v>#NAME?</v>
      </c>
      <c r="B83" t="e">
        <f ca="1">BDP("88035MC2 Muni","STATE_CODE")</f>
        <v>#NAME?</v>
      </c>
      <c r="C83" t="s">
        <v>25</v>
      </c>
      <c r="D83" t="e">
        <f ca="1">BDP("88035MC2 Muni","YIELD_ON_ISSUE_DATE")</f>
        <v>#NAME?</v>
      </c>
      <c r="E83">
        <v>53925000</v>
      </c>
      <c r="F83" t="e">
        <f ca="1">BDP("88035MC2 Muni","ISSUE_DT")</f>
        <v>#NAME?</v>
      </c>
      <c r="G83" t="e">
        <f ca="1">BDP("88035MC2 Muni","MATURITY")</f>
        <v>#NAME?</v>
      </c>
      <c r="H83" t="e">
        <f ca="1">BDP("88035MC2 Muni","MUNI_TAX_PROV")</f>
        <v>#NAME?</v>
      </c>
      <c r="I83" t="e">
        <f ca="1">BDP("88035MC2 Muni","FINANCING_TYPE")</f>
        <v>#NAME?</v>
      </c>
      <c r="J83" t="e">
        <f ca="1">BDP("88035MC2 Muni","BICS_LEVEL_2_INDUSTRY_GROUP_NAME")</f>
        <v>#NAME?</v>
      </c>
      <c r="K83" t="e">
        <f ca="1">BDP("88035MC2 Muni","SELF_REPRTD_GREEN_INSTR_INDCTR")</f>
        <v>#NAME?</v>
      </c>
      <c r="L83" t="e">
        <f ca="1">BDP("88035MC2 Muni","GB_MANAGEMENT_PROCEEDS")</f>
        <v>#NAME?</v>
      </c>
      <c r="M83" t="e">
        <f ca="1">BDP("88035MC2 Muni","GB_REPORTING")</f>
        <v>#NAME?</v>
      </c>
      <c r="N83" t="e">
        <f ca="1">BDP("88035MC2 Muni","GB_ASSURANCE_PROVIDERS")</f>
        <v>#NAME?</v>
      </c>
      <c r="O83" t="e">
        <f ca="1">BDP("88035MC2 Muni","GB_PROJECT_SELECTION_PROCESS")</f>
        <v>#NAME?</v>
      </c>
      <c r="P83" t="e">
        <f ca="1">BDP("88035MC2 Muni","ESG_FRAMEWORK_INDICATOR")</f>
        <v>#NAME?</v>
      </c>
      <c r="Q83" t="e">
        <f ca="1">BDP("88035MC2 Muni","BLOOMBERG_SECTOR_CODE")</f>
        <v>#NAME?</v>
      </c>
      <c r="R83" t="e">
        <f ca="1">BDP("88035MC2 Muni","ISSUER_TYPE")</f>
        <v>#NAME?</v>
      </c>
      <c r="S83" t="e">
        <f ca="1">BDS("88035MC2 Muni","ESG_PROJECT_CATEGORY", "aggregate=y")</f>
        <v>#NAME?</v>
      </c>
      <c r="T83" t="e">
        <f ca="1">BDS("88035MC2 Muni","ESG_PROJECT_SUBCATEGORY", "aggregate=y")</f>
        <v>#NAME?</v>
      </c>
    </row>
    <row r="84" spans="1:20" x14ac:dyDescent="0.25">
      <c r="A84" t="e">
        <f ca="1">BDP("88035MC3 Muni","ID_CUSIP")</f>
        <v>#NAME?</v>
      </c>
      <c r="B84" t="e">
        <f ca="1">BDP("88035MC3 Muni","STATE_CODE")</f>
        <v>#NAME?</v>
      </c>
      <c r="C84" t="s">
        <v>25</v>
      </c>
      <c r="D84" t="e">
        <f ca="1">BDP("88035MC3 Muni","YIELD_ON_ISSUE_DATE")</f>
        <v>#NAME?</v>
      </c>
      <c r="E84">
        <v>4000000</v>
      </c>
      <c r="F84" t="e">
        <f ca="1">BDP("88035MC3 Muni","ISSUE_DT")</f>
        <v>#NAME?</v>
      </c>
      <c r="G84" t="e">
        <f ca="1">BDP("88035MC3 Muni","MATURITY")</f>
        <v>#NAME?</v>
      </c>
      <c r="H84" t="e">
        <f ca="1">BDP("88035MC3 Muni","MUNI_TAX_PROV")</f>
        <v>#NAME?</v>
      </c>
      <c r="I84" t="e">
        <f ca="1">BDP("88035MC3 Muni","FINANCING_TYPE")</f>
        <v>#NAME?</v>
      </c>
      <c r="J84" t="e">
        <f ca="1">BDP("88035MC3 Muni","BICS_LEVEL_2_INDUSTRY_GROUP_NAME")</f>
        <v>#NAME?</v>
      </c>
      <c r="K84" t="e">
        <f ca="1">BDP("88035MC3 Muni","SELF_REPRTD_GREEN_INSTR_INDCTR")</f>
        <v>#NAME?</v>
      </c>
      <c r="L84" t="e">
        <f ca="1">BDP("88035MC3 Muni","GB_MANAGEMENT_PROCEEDS")</f>
        <v>#NAME?</v>
      </c>
      <c r="M84" t="e">
        <f ca="1">BDP("88035MC3 Muni","GB_REPORTING")</f>
        <v>#NAME?</v>
      </c>
      <c r="N84" t="e">
        <f ca="1">BDP("88035MC3 Muni","GB_ASSURANCE_PROVIDERS")</f>
        <v>#NAME?</v>
      </c>
      <c r="O84" t="e">
        <f ca="1">BDP("88035MC3 Muni","GB_PROJECT_SELECTION_PROCESS")</f>
        <v>#NAME?</v>
      </c>
      <c r="P84" t="e">
        <f ca="1">BDP("88035MC3 Muni","ESG_FRAMEWORK_INDICATOR")</f>
        <v>#NAME?</v>
      </c>
      <c r="Q84" t="e">
        <f ca="1">BDP("88035MC3 Muni","BLOOMBERG_SECTOR_CODE")</f>
        <v>#NAME?</v>
      </c>
      <c r="R84" t="e">
        <f ca="1">BDP("88035MC3 Muni","ISSUER_TYPE")</f>
        <v>#NAME?</v>
      </c>
      <c r="S84" t="e">
        <f ca="1">BDS("88035MC3 Muni","ESG_PROJECT_CATEGORY", "aggregate=y")</f>
        <v>#NAME?</v>
      </c>
      <c r="T84" t="e">
        <f ca="1">BDS("88035MC3 Muni","ESG_PROJECT_SUBCATEGORY", "aggregate=y")</f>
        <v>#NAME?</v>
      </c>
    </row>
    <row r="85" spans="1:20" x14ac:dyDescent="0.25">
      <c r="A85" t="e">
        <f ca="1">BDP("88035MC4 Muni","ID_CUSIP")</f>
        <v>#NAME?</v>
      </c>
      <c r="B85" t="e">
        <f ca="1">BDP("88035MC4 Muni","STATE_CODE")</f>
        <v>#NAME?</v>
      </c>
      <c r="C85" t="s">
        <v>25</v>
      </c>
      <c r="D85" t="e">
        <f ca="1">BDP("88035MC4 Muni","YIELD_ON_ISSUE_DATE")</f>
        <v>#NAME?</v>
      </c>
      <c r="E85">
        <v>2000000</v>
      </c>
      <c r="F85" t="e">
        <f ca="1">BDP("88035MC4 Muni","ISSUE_DT")</f>
        <v>#NAME?</v>
      </c>
      <c r="G85" t="e">
        <f ca="1">BDP("88035MC4 Muni","MATURITY")</f>
        <v>#NAME?</v>
      </c>
      <c r="H85" t="e">
        <f ca="1">BDP("88035MC4 Muni","MUNI_TAX_PROV")</f>
        <v>#NAME?</v>
      </c>
      <c r="I85" t="e">
        <f ca="1">BDP("88035MC4 Muni","FINANCING_TYPE")</f>
        <v>#NAME?</v>
      </c>
      <c r="J85" t="e">
        <f ca="1">BDP("88035MC4 Muni","BICS_LEVEL_2_INDUSTRY_GROUP_NAME")</f>
        <v>#NAME?</v>
      </c>
      <c r="K85" t="e">
        <f ca="1">BDP("88035MC4 Muni","SELF_REPRTD_GREEN_INSTR_INDCTR")</f>
        <v>#NAME?</v>
      </c>
      <c r="L85" t="e">
        <f ca="1">BDP("88035MC4 Muni","GB_MANAGEMENT_PROCEEDS")</f>
        <v>#NAME?</v>
      </c>
      <c r="M85" t="e">
        <f ca="1">BDP("88035MC4 Muni","GB_REPORTING")</f>
        <v>#NAME?</v>
      </c>
      <c r="N85" t="e">
        <f ca="1">BDP("88035MC4 Muni","GB_ASSURANCE_PROVIDERS")</f>
        <v>#NAME?</v>
      </c>
      <c r="O85" t="e">
        <f ca="1">BDP("88035MC4 Muni","GB_PROJECT_SELECTION_PROCESS")</f>
        <v>#NAME?</v>
      </c>
      <c r="P85" t="e">
        <f ca="1">BDP("88035MC4 Muni","ESG_FRAMEWORK_INDICATOR")</f>
        <v>#NAME?</v>
      </c>
      <c r="Q85" t="e">
        <f ca="1">BDP("88035MC4 Muni","BLOOMBERG_SECTOR_CODE")</f>
        <v>#NAME?</v>
      </c>
      <c r="R85" t="e">
        <f ca="1">BDP("88035MC4 Muni","ISSUER_TYPE")</f>
        <v>#NAME?</v>
      </c>
      <c r="S85" t="e">
        <f ca="1">BDS("88035MC4 Muni","ESG_PROJECT_CATEGORY", "aggregate=y")</f>
        <v>#NAME?</v>
      </c>
      <c r="T85" t="e">
        <f ca="1">BDS("88035MC4 Muni","ESG_PROJECT_SUBCATEGORY", "aggregate=y")</f>
        <v>#NAME?</v>
      </c>
    </row>
    <row r="86" spans="1:20" x14ac:dyDescent="0.25">
      <c r="A86" t="e">
        <f ca="1">BDP("88035MC5 Muni","ID_CUSIP")</f>
        <v>#NAME?</v>
      </c>
      <c r="B86" t="e">
        <f ca="1">BDP("88035MC5 Muni","STATE_CODE")</f>
        <v>#NAME?</v>
      </c>
      <c r="C86" t="s">
        <v>25</v>
      </c>
      <c r="D86" t="e">
        <f ca="1">BDP("88035MC5 Muni","YIELD_ON_ISSUE_DATE")</f>
        <v>#NAME?</v>
      </c>
      <c r="E86">
        <v>3000000</v>
      </c>
      <c r="F86" t="e">
        <f ca="1">BDP("88035MC5 Muni","ISSUE_DT")</f>
        <v>#NAME?</v>
      </c>
      <c r="G86" t="e">
        <f ca="1">BDP("88035MC5 Muni","MATURITY")</f>
        <v>#NAME?</v>
      </c>
      <c r="H86" t="e">
        <f ca="1">BDP("88035MC5 Muni","MUNI_TAX_PROV")</f>
        <v>#NAME?</v>
      </c>
      <c r="I86" t="e">
        <f ca="1">BDP("88035MC5 Muni","FINANCING_TYPE")</f>
        <v>#NAME?</v>
      </c>
      <c r="J86" t="e">
        <f ca="1">BDP("88035MC5 Muni","BICS_LEVEL_2_INDUSTRY_GROUP_NAME")</f>
        <v>#NAME?</v>
      </c>
      <c r="K86" t="e">
        <f ca="1">BDP("88035MC5 Muni","SELF_REPRTD_GREEN_INSTR_INDCTR")</f>
        <v>#NAME?</v>
      </c>
      <c r="L86" t="e">
        <f ca="1">BDP("88035MC5 Muni","GB_MANAGEMENT_PROCEEDS")</f>
        <v>#NAME?</v>
      </c>
      <c r="M86" t="e">
        <f ca="1">BDP("88035MC5 Muni","GB_REPORTING")</f>
        <v>#NAME?</v>
      </c>
      <c r="N86" t="e">
        <f ca="1">BDP("88035MC5 Muni","GB_ASSURANCE_PROVIDERS")</f>
        <v>#NAME?</v>
      </c>
      <c r="O86" t="e">
        <f ca="1">BDP("88035MC5 Muni","GB_PROJECT_SELECTION_PROCESS")</f>
        <v>#NAME?</v>
      </c>
      <c r="P86" t="e">
        <f ca="1">BDP("88035MC5 Muni","ESG_FRAMEWORK_INDICATOR")</f>
        <v>#NAME?</v>
      </c>
      <c r="Q86" t="e">
        <f ca="1">BDP("88035MC5 Muni","BLOOMBERG_SECTOR_CODE")</f>
        <v>#NAME?</v>
      </c>
      <c r="R86" t="e">
        <f ca="1">BDP("88035MC5 Muni","ISSUER_TYPE")</f>
        <v>#NAME?</v>
      </c>
      <c r="S86" t="e">
        <f ca="1">BDS("88035MC5 Muni","ESG_PROJECT_CATEGORY", "aggregate=y")</f>
        <v>#NAME?</v>
      </c>
      <c r="T86" t="e">
        <f ca="1">BDS("88035MC5 Muni","ESG_PROJECT_SUBCATEGORY", "aggregate=y")</f>
        <v>#NAME?</v>
      </c>
    </row>
    <row r="87" spans="1:20" x14ac:dyDescent="0.25">
      <c r="A87" t="e">
        <f ca="1">BDP("88035MC8 Muni","ID_CUSIP")</f>
        <v>#NAME?</v>
      </c>
      <c r="B87" t="e">
        <f ca="1">BDP("88035MC8 Muni","STATE_CODE")</f>
        <v>#NAME?</v>
      </c>
      <c r="C87" t="s">
        <v>25</v>
      </c>
      <c r="D87" t="e">
        <f ca="1">BDP("88035MC8 Muni","YIELD_ON_ISSUE_DATE")</f>
        <v>#NAME?</v>
      </c>
      <c r="E87">
        <v>39875000</v>
      </c>
      <c r="F87" t="e">
        <f ca="1">BDP("88035MC8 Muni","ISSUE_DT")</f>
        <v>#NAME?</v>
      </c>
      <c r="G87" t="e">
        <f ca="1">BDP("88035MC8 Muni","MATURITY")</f>
        <v>#NAME?</v>
      </c>
      <c r="H87" t="e">
        <f ca="1">BDP("88035MC8 Muni","MUNI_TAX_PROV")</f>
        <v>#NAME?</v>
      </c>
      <c r="I87" t="e">
        <f ca="1">BDP("88035MC8 Muni","FINANCING_TYPE")</f>
        <v>#NAME?</v>
      </c>
      <c r="J87" t="e">
        <f ca="1">BDP("88035MC8 Muni","BICS_LEVEL_2_INDUSTRY_GROUP_NAME")</f>
        <v>#NAME?</v>
      </c>
      <c r="K87" t="e">
        <f ca="1">BDP("88035MC8 Muni","SELF_REPRTD_GREEN_INSTR_INDCTR")</f>
        <v>#NAME?</v>
      </c>
      <c r="L87" t="e">
        <f ca="1">BDP("88035MC8 Muni","GB_MANAGEMENT_PROCEEDS")</f>
        <v>#NAME?</v>
      </c>
      <c r="M87" t="e">
        <f ca="1">BDP("88035MC8 Muni","GB_REPORTING")</f>
        <v>#NAME?</v>
      </c>
      <c r="N87" t="e">
        <f ca="1">BDP("88035MC8 Muni","GB_ASSURANCE_PROVIDERS")</f>
        <v>#NAME?</v>
      </c>
      <c r="O87" t="e">
        <f ca="1">BDP("88035MC8 Muni","GB_PROJECT_SELECTION_PROCESS")</f>
        <v>#NAME?</v>
      </c>
      <c r="P87" t="e">
        <f ca="1">BDP("88035MC8 Muni","ESG_FRAMEWORK_INDICATOR")</f>
        <v>#NAME?</v>
      </c>
      <c r="Q87" t="e">
        <f ca="1">BDP("88035MC8 Muni","BLOOMBERG_SECTOR_CODE")</f>
        <v>#NAME?</v>
      </c>
      <c r="R87" t="e">
        <f ca="1">BDP("88035MC8 Muni","ISSUER_TYPE")</f>
        <v>#NAME?</v>
      </c>
      <c r="S87" t="e">
        <f ca="1">BDS("88035MC8 Muni","ESG_PROJECT_CATEGORY", "aggregate=y")</f>
        <v>#NAME?</v>
      </c>
      <c r="T87" t="e">
        <f ca="1">BDS("88035MC8 Muni","ESG_PROJECT_SUBCATEGORY", "aggregate=y")</f>
        <v>#NAME?</v>
      </c>
    </row>
    <row r="88" spans="1:20" x14ac:dyDescent="0.25">
      <c r="A88" t="e">
        <f ca="1">BDP("88035MC9 Muni","ID_CUSIP")</f>
        <v>#NAME?</v>
      </c>
      <c r="B88" t="e">
        <f ca="1">BDP("88035MC9 Muni","STATE_CODE")</f>
        <v>#NAME?</v>
      </c>
      <c r="C88" t="s">
        <v>25</v>
      </c>
      <c r="D88" t="e">
        <f ca="1">BDP("88035MC9 Muni","YIELD_ON_ISSUE_DATE")</f>
        <v>#NAME?</v>
      </c>
      <c r="E88">
        <v>2720000</v>
      </c>
      <c r="F88" t="e">
        <f ca="1">BDP("88035MC9 Muni","ISSUE_DT")</f>
        <v>#NAME?</v>
      </c>
      <c r="G88" t="e">
        <f ca="1">BDP("88035MC9 Muni","MATURITY")</f>
        <v>#NAME?</v>
      </c>
      <c r="H88" t="e">
        <f ca="1">BDP("88035MC9 Muni","MUNI_TAX_PROV")</f>
        <v>#NAME?</v>
      </c>
      <c r="I88" t="e">
        <f ca="1">BDP("88035MC9 Muni","FINANCING_TYPE")</f>
        <v>#NAME?</v>
      </c>
      <c r="J88" t="e">
        <f ca="1">BDP("88035MC9 Muni","BICS_LEVEL_2_INDUSTRY_GROUP_NAME")</f>
        <v>#NAME?</v>
      </c>
      <c r="K88" t="e">
        <f ca="1">BDP("88035MC9 Muni","SELF_REPRTD_GREEN_INSTR_INDCTR")</f>
        <v>#NAME?</v>
      </c>
      <c r="L88" t="e">
        <f ca="1">BDP("88035MC9 Muni","GB_MANAGEMENT_PROCEEDS")</f>
        <v>#NAME?</v>
      </c>
      <c r="M88" t="e">
        <f ca="1">BDP("88035MC9 Muni","GB_REPORTING")</f>
        <v>#NAME?</v>
      </c>
      <c r="N88" t="e">
        <f ca="1">BDP("88035MC9 Muni","GB_ASSURANCE_PROVIDERS")</f>
        <v>#NAME?</v>
      </c>
      <c r="O88" t="e">
        <f ca="1">BDP("88035MC9 Muni","GB_PROJECT_SELECTION_PROCESS")</f>
        <v>#NAME?</v>
      </c>
      <c r="P88" t="e">
        <f ca="1">BDP("88035MC9 Muni","ESG_FRAMEWORK_INDICATOR")</f>
        <v>#NAME?</v>
      </c>
      <c r="Q88" t="e">
        <f ca="1">BDP("88035MC9 Muni","BLOOMBERG_SECTOR_CODE")</f>
        <v>#NAME?</v>
      </c>
      <c r="R88" t="e">
        <f ca="1">BDP("88035MC9 Muni","ISSUER_TYPE")</f>
        <v>#NAME?</v>
      </c>
      <c r="S88" t="e">
        <f ca="1">BDS("88035MC9 Muni","ESG_PROJECT_CATEGORY", "aggregate=y")</f>
        <v>#NAME?</v>
      </c>
      <c r="T88" t="e">
        <f ca="1">BDS("88035MC9 Muni","ESG_PROJECT_SUBCATEGORY", "aggregate=y")</f>
        <v>#NAME?</v>
      </c>
    </row>
    <row r="89" spans="1:20" x14ac:dyDescent="0.25">
      <c r="A89" t="e">
        <f ca="1">BDP("88035MD2 Muni","ID_CUSIP")</f>
        <v>#NAME?</v>
      </c>
      <c r="B89" t="e">
        <f ca="1">BDP("88035MD2 Muni","STATE_CODE")</f>
        <v>#NAME?</v>
      </c>
      <c r="C89" t="s">
        <v>25</v>
      </c>
      <c r="D89" t="e">
        <f ca="1">BDP("88035MD2 Muni","YIELD_ON_ISSUE_DATE")</f>
        <v>#NAME?</v>
      </c>
      <c r="E89">
        <v>1335000</v>
      </c>
      <c r="F89" t="e">
        <f ca="1">BDP("88035MD2 Muni","ISSUE_DT")</f>
        <v>#NAME?</v>
      </c>
      <c r="G89" t="e">
        <f ca="1">BDP("88035MD2 Muni","MATURITY")</f>
        <v>#NAME?</v>
      </c>
      <c r="H89" t="e">
        <f ca="1">BDP("88035MD2 Muni","MUNI_TAX_PROV")</f>
        <v>#NAME?</v>
      </c>
      <c r="I89" t="e">
        <f ca="1">BDP("88035MD2 Muni","FINANCING_TYPE")</f>
        <v>#NAME?</v>
      </c>
      <c r="J89" t="e">
        <f ca="1">BDP("88035MD2 Muni","BICS_LEVEL_2_INDUSTRY_GROUP_NAME")</f>
        <v>#NAME?</v>
      </c>
      <c r="K89" t="e">
        <f ca="1">BDP("88035MD2 Muni","SELF_REPRTD_GREEN_INSTR_INDCTR")</f>
        <v>#NAME?</v>
      </c>
      <c r="L89" t="e">
        <f ca="1">BDP("88035MD2 Muni","GB_MANAGEMENT_PROCEEDS")</f>
        <v>#NAME?</v>
      </c>
      <c r="M89" t="e">
        <f ca="1">BDP("88035MD2 Muni","GB_REPORTING")</f>
        <v>#NAME?</v>
      </c>
      <c r="N89" t="e">
        <f ca="1">BDP("88035MD2 Muni","GB_ASSURANCE_PROVIDERS")</f>
        <v>#NAME?</v>
      </c>
      <c r="O89" t="e">
        <f ca="1">BDP("88035MD2 Muni","GB_PROJECT_SELECTION_PROCESS")</f>
        <v>#NAME?</v>
      </c>
      <c r="P89" t="e">
        <f ca="1">BDP("88035MD2 Muni","ESG_FRAMEWORK_INDICATOR")</f>
        <v>#NAME?</v>
      </c>
      <c r="Q89" t="e">
        <f ca="1">BDP("88035MD2 Muni","BLOOMBERG_SECTOR_CODE")</f>
        <v>#NAME?</v>
      </c>
      <c r="R89" t="e">
        <f ca="1">BDP("88035MD2 Muni","ISSUER_TYPE")</f>
        <v>#NAME?</v>
      </c>
      <c r="S89" t="e">
        <f ca="1">BDS("88035MD2 Muni","ESG_PROJECT_CATEGORY", "aggregate=y")</f>
        <v>#NAME?</v>
      </c>
      <c r="T89" t="e">
        <f ca="1">BDS("88035MD2 Muni","ESG_PROJECT_SUBCATEGORY", "aggregate=y")</f>
        <v>#NAME?</v>
      </c>
    </row>
    <row r="90" spans="1:20" x14ac:dyDescent="0.25">
      <c r="A90" t="e">
        <f ca="1">BDP("88035MD7 Muni","ID_CUSIP")</f>
        <v>#NAME?</v>
      </c>
      <c r="B90" t="e">
        <f ca="1">BDP("88035MD7 Muni","STATE_CODE")</f>
        <v>#NAME?</v>
      </c>
      <c r="C90" t="s">
        <v>25</v>
      </c>
      <c r="D90" t="e">
        <f ca="1">BDP("88035MD7 Muni","YIELD_ON_ISSUE_DATE")</f>
        <v>#NAME?</v>
      </c>
      <c r="E90">
        <v>12910000</v>
      </c>
      <c r="F90" t="e">
        <f ca="1">BDP("88035MD7 Muni","ISSUE_DT")</f>
        <v>#NAME?</v>
      </c>
      <c r="G90" t="e">
        <f ca="1">BDP("88035MD7 Muni","MATURITY")</f>
        <v>#NAME?</v>
      </c>
      <c r="H90" t="e">
        <f ca="1">BDP("88035MD7 Muni","MUNI_TAX_PROV")</f>
        <v>#NAME?</v>
      </c>
      <c r="I90" t="e">
        <f ca="1">BDP("88035MD7 Muni","FINANCING_TYPE")</f>
        <v>#NAME?</v>
      </c>
      <c r="J90" t="e">
        <f ca="1">BDP("88035MD7 Muni","BICS_LEVEL_2_INDUSTRY_GROUP_NAME")</f>
        <v>#NAME?</v>
      </c>
      <c r="K90" t="e">
        <f ca="1">BDP("88035MD7 Muni","SELF_REPRTD_GREEN_INSTR_INDCTR")</f>
        <v>#NAME?</v>
      </c>
      <c r="L90" t="e">
        <f ca="1">BDP("88035MD7 Muni","GB_MANAGEMENT_PROCEEDS")</f>
        <v>#NAME?</v>
      </c>
      <c r="M90" t="e">
        <f ca="1">BDP("88035MD7 Muni","GB_REPORTING")</f>
        <v>#NAME?</v>
      </c>
      <c r="N90" t="e">
        <f ca="1">BDP("88035MD7 Muni","GB_ASSURANCE_PROVIDERS")</f>
        <v>#NAME?</v>
      </c>
      <c r="O90" t="e">
        <f ca="1">BDP("88035MD7 Muni","GB_PROJECT_SELECTION_PROCESS")</f>
        <v>#NAME?</v>
      </c>
      <c r="P90" t="e">
        <f ca="1">BDP("88035MD7 Muni","ESG_FRAMEWORK_INDICATOR")</f>
        <v>#NAME?</v>
      </c>
      <c r="Q90" t="e">
        <f ca="1">BDP("88035MD7 Muni","BLOOMBERG_SECTOR_CODE")</f>
        <v>#NAME?</v>
      </c>
      <c r="R90" t="e">
        <f ca="1">BDP("88035MD7 Muni","ISSUER_TYPE")</f>
        <v>#NAME?</v>
      </c>
      <c r="S90" t="e">
        <f ca="1">BDS("88035MD7 Muni","ESG_PROJECT_CATEGORY", "aggregate=y")</f>
        <v>#NAME?</v>
      </c>
      <c r="T90" t="e">
        <f ca="1">BDS("88035MD7 Muni","ESG_PROJECT_SUBCATEGORY", "aggregate=y")</f>
        <v>#NAME?</v>
      </c>
    </row>
    <row r="91" spans="1:20" x14ac:dyDescent="0.25">
      <c r="A91" t="e">
        <f ca="1">BDP("88035MD8 Muni","ID_CUSIP")</f>
        <v>#NAME?</v>
      </c>
      <c r="B91" t="e">
        <f ca="1">BDP("88035MD8 Muni","STATE_CODE")</f>
        <v>#NAME?</v>
      </c>
      <c r="C91" t="s">
        <v>25</v>
      </c>
      <c r="D91" t="e">
        <f ca="1">BDP("88035MD8 Muni","YIELD_ON_ISSUE_DATE")</f>
        <v>#NAME?</v>
      </c>
      <c r="E91">
        <v>6455000</v>
      </c>
      <c r="F91" t="e">
        <f ca="1">BDP("88035MD8 Muni","ISSUE_DT")</f>
        <v>#NAME?</v>
      </c>
      <c r="G91" t="e">
        <f ca="1">BDP("88035MD8 Muni","MATURITY")</f>
        <v>#NAME?</v>
      </c>
      <c r="H91" t="e">
        <f ca="1">BDP("88035MD8 Muni","MUNI_TAX_PROV")</f>
        <v>#NAME?</v>
      </c>
      <c r="I91" t="e">
        <f ca="1">BDP("88035MD8 Muni","FINANCING_TYPE")</f>
        <v>#NAME?</v>
      </c>
      <c r="J91" t="e">
        <f ca="1">BDP("88035MD8 Muni","BICS_LEVEL_2_INDUSTRY_GROUP_NAME")</f>
        <v>#NAME?</v>
      </c>
      <c r="K91" t="e">
        <f ca="1">BDP("88035MD8 Muni","SELF_REPRTD_GREEN_INSTR_INDCTR")</f>
        <v>#NAME?</v>
      </c>
      <c r="L91" t="e">
        <f ca="1">BDP("88035MD8 Muni","GB_MANAGEMENT_PROCEEDS")</f>
        <v>#NAME?</v>
      </c>
      <c r="M91" t="e">
        <f ca="1">BDP("88035MD8 Muni","GB_REPORTING")</f>
        <v>#NAME?</v>
      </c>
      <c r="N91" t="e">
        <f ca="1">BDP("88035MD8 Muni","GB_ASSURANCE_PROVIDERS")</f>
        <v>#NAME?</v>
      </c>
      <c r="O91" t="e">
        <f ca="1">BDP("88035MD8 Muni","GB_PROJECT_SELECTION_PROCESS")</f>
        <v>#NAME?</v>
      </c>
      <c r="P91" t="e">
        <f ca="1">BDP("88035MD8 Muni","ESG_FRAMEWORK_INDICATOR")</f>
        <v>#NAME?</v>
      </c>
      <c r="Q91" t="e">
        <f ca="1">BDP("88035MD8 Muni","BLOOMBERG_SECTOR_CODE")</f>
        <v>#NAME?</v>
      </c>
      <c r="R91" t="e">
        <f ca="1">BDP("88035MD8 Muni","ISSUER_TYPE")</f>
        <v>#NAME?</v>
      </c>
      <c r="S91" t="e">
        <f ca="1">BDS("88035MD8 Muni","ESG_PROJECT_CATEGORY", "aggregate=y")</f>
        <v>#NAME?</v>
      </c>
      <c r="T91" t="e">
        <f ca="1">BDS("88035MD8 Muni","ESG_PROJECT_SUBCATEGORY", "aggregate=y")</f>
        <v>#NAME?</v>
      </c>
    </row>
    <row r="92" spans="1:20" x14ac:dyDescent="0.25">
      <c r="A92" t="e">
        <f ca="1">BDP("88035MD9 Muni","ID_CUSIP")</f>
        <v>#NAME?</v>
      </c>
      <c r="B92" t="e">
        <f ca="1">BDP("88035MD9 Muni","STATE_CODE")</f>
        <v>#NAME?</v>
      </c>
      <c r="C92" t="s">
        <v>25</v>
      </c>
      <c r="D92" t="e">
        <f ca="1">BDP("88035MD9 Muni","YIELD_ON_ISSUE_DATE")</f>
        <v>#NAME?</v>
      </c>
      <c r="E92">
        <v>18750000</v>
      </c>
      <c r="F92" t="e">
        <f ca="1">BDP("88035MD9 Muni","ISSUE_DT")</f>
        <v>#NAME?</v>
      </c>
      <c r="G92" t="e">
        <f ca="1">BDP("88035MD9 Muni","MATURITY")</f>
        <v>#NAME?</v>
      </c>
      <c r="H92" t="e">
        <f ca="1">BDP("88035MD9 Muni","MUNI_TAX_PROV")</f>
        <v>#NAME?</v>
      </c>
      <c r="I92" t="e">
        <f ca="1">BDP("88035MD9 Muni","FINANCING_TYPE")</f>
        <v>#NAME?</v>
      </c>
      <c r="J92" t="e">
        <f ca="1">BDP("88035MD9 Muni","BICS_LEVEL_2_INDUSTRY_GROUP_NAME")</f>
        <v>#NAME?</v>
      </c>
      <c r="K92" t="e">
        <f ca="1">BDP("88035MD9 Muni","SELF_REPRTD_GREEN_INSTR_INDCTR")</f>
        <v>#NAME?</v>
      </c>
      <c r="L92" t="e">
        <f ca="1">BDP("88035MD9 Muni","GB_MANAGEMENT_PROCEEDS")</f>
        <v>#NAME?</v>
      </c>
      <c r="M92" t="e">
        <f ca="1">BDP("88035MD9 Muni","GB_REPORTING")</f>
        <v>#NAME?</v>
      </c>
      <c r="N92" t="e">
        <f ca="1">BDP("88035MD9 Muni","GB_ASSURANCE_PROVIDERS")</f>
        <v>#NAME?</v>
      </c>
      <c r="O92" t="e">
        <f ca="1">BDP("88035MD9 Muni","GB_PROJECT_SELECTION_PROCESS")</f>
        <v>#NAME?</v>
      </c>
      <c r="P92" t="e">
        <f ca="1">BDP("88035MD9 Muni","ESG_FRAMEWORK_INDICATOR")</f>
        <v>#NAME?</v>
      </c>
      <c r="Q92" t="e">
        <f ca="1">BDP("88035MD9 Muni","BLOOMBERG_SECTOR_CODE")</f>
        <v>#NAME?</v>
      </c>
      <c r="R92" t="e">
        <f ca="1">BDP("88035MD9 Muni","ISSUER_TYPE")</f>
        <v>#NAME?</v>
      </c>
      <c r="S92" t="e">
        <f ca="1">BDS("88035MD9 Muni","ESG_PROJECT_CATEGORY", "aggregate=y")</f>
        <v>#NAME?</v>
      </c>
      <c r="T92" t="e">
        <f ca="1">BDS("88035MD9 Muni","ESG_PROJECT_SUBCATEGORY", "aggregate=y")</f>
        <v>#NAME?</v>
      </c>
    </row>
    <row r="93" spans="1:20" x14ac:dyDescent="0.25">
      <c r="A93" t="e">
        <f ca="1">BDP("88035ME2 Muni","ID_CUSIP")</f>
        <v>#NAME?</v>
      </c>
      <c r="B93" t="e">
        <f ca="1">BDP("88035ME2 Muni","STATE_CODE")</f>
        <v>#NAME?</v>
      </c>
      <c r="C93" t="s">
        <v>25</v>
      </c>
      <c r="D93" t="e">
        <f ca="1">BDP("88035ME2 Muni","YIELD_ON_ISSUE_DATE")</f>
        <v>#NAME?</v>
      </c>
      <c r="E93">
        <v>6250000</v>
      </c>
      <c r="F93" t="e">
        <f ca="1">BDP("88035ME2 Muni","ISSUE_DT")</f>
        <v>#NAME?</v>
      </c>
      <c r="G93" t="e">
        <f ca="1">BDP("88035ME2 Muni","MATURITY")</f>
        <v>#NAME?</v>
      </c>
      <c r="H93" t="e">
        <f ca="1">BDP("88035ME2 Muni","MUNI_TAX_PROV")</f>
        <v>#NAME?</v>
      </c>
      <c r="I93" t="e">
        <f ca="1">BDP("88035ME2 Muni","FINANCING_TYPE")</f>
        <v>#NAME?</v>
      </c>
      <c r="J93" t="e">
        <f ca="1">BDP("88035ME2 Muni","BICS_LEVEL_2_INDUSTRY_GROUP_NAME")</f>
        <v>#NAME?</v>
      </c>
      <c r="K93" t="e">
        <f ca="1">BDP("88035ME2 Muni","SELF_REPRTD_GREEN_INSTR_INDCTR")</f>
        <v>#NAME?</v>
      </c>
      <c r="L93" t="e">
        <f ca="1">BDP("88035ME2 Muni","GB_MANAGEMENT_PROCEEDS")</f>
        <v>#NAME?</v>
      </c>
      <c r="M93" t="e">
        <f ca="1">BDP("88035ME2 Muni","GB_REPORTING")</f>
        <v>#NAME?</v>
      </c>
      <c r="N93" t="e">
        <f ca="1">BDP("88035ME2 Muni","GB_ASSURANCE_PROVIDERS")</f>
        <v>#NAME?</v>
      </c>
      <c r="O93" t="e">
        <f ca="1">BDP("88035ME2 Muni","GB_PROJECT_SELECTION_PROCESS")</f>
        <v>#NAME?</v>
      </c>
      <c r="P93" t="e">
        <f ca="1">BDP("88035ME2 Muni","ESG_FRAMEWORK_INDICATOR")</f>
        <v>#NAME?</v>
      </c>
      <c r="Q93" t="e">
        <f ca="1">BDP("88035ME2 Muni","BLOOMBERG_SECTOR_CODE")</f>
        <v>#NAME?</v>
      </c>
      <c r="R93" t="e">
        <f ca="1">BDP("88035ME2 Muni","ISSUER_TYPE")</f>
        <v>#NAME?</v>
      </c>
      <c r="S93" t="e">
        <f ca="1">BDS("88035ME2 Muni","ESG_PROJECT_CATEGORY", "aggregate=y")</f>
        <v>#NAME?</v>
      </c>
      <c r="T93" t="e">
        <f ca="1">BDS("88035ME2 Muni","ESG_PROJECT_SUBCATEGORY", "aggregate=y")</f>
        <v>#NAME?</v>
      </c>
    </row>
    <row r="94" spans="1:20" x14ac:dyDescent="0.25">
      <c r="A94" t="e">
        <f ca="1">BDP("88035ME7 Muni","ID_CUSIP")</f>
        <v>#NAME?</v>
      </c>
      <c r="B94" t="e">
        <f ca="1">BDP("88035ME7 Muni","STATE_CODE")</f>
        <v>#NAME?</v>
      </c>
      <c r="C94" t="s">
        <v>25</v>
      </c>
      <c r="D94" t="e">
        <f ca="1">BDP("88035ME7 Muni","YIELD_ON_ISSUE_DATE")</f>
        <v>#NAME?</v>
      </c>
      <c r="E94">
        <v>7500000</v>
      </c>
      <c r="F94" t="e">
        <f ca="1">BDP("88035ME7 Muni","ISSUE_DT")</f>
        <v>#NAME?</v>
      </c>
      <c r="G94" t="e">
        <f ca="1">BDP("88035ME7 Muni","MATURITY")</f>
        <v>#NAME?</v>
      </c>
      <c r="H94" t="e">
        <f ca="1">BDP("88035ME7 Muni","MUNI_TAX_PROV")</f>
        <v>#NAME?</v>
      </c>
      <c r="I94" t="e">
        <f ca="1">BDP("88035ME7 Muni","FINANCING_TYPE")</f>
        <v>#NAME?</v>
      </c>
      <c r="J94" t="e">
        <f ca="1">BDP("88035ME7 Muni","BICS_LEVEL_2_INDUSTRY_GROUP_NAME")</f>
        <v>#NAME?</v>
      </c>
      <c r="K94" t="e">
        <f ca="1">BDP("88035ME7 Muni","SELF_REPRTD_GREEN_INSTR_INDCTR")</f>
        <v>#NAME?</v>
      </c>
      <c r="L94" t="e">
        <f ca="1">BDP("88035ME7 Muni","GB_MANAGEMENT_PROCEEDS")</f>
        <v>#NAME?</v>
      </c>
      <c r="M94" t="e">
        <f ca="1">BDP("88035ME7 Muni","GB_REPORTING")</f>
        <v>#NAME?</v>
      </c>
      <c r="N94" t="e">
        <f ca="1">BDP("88035ME7 Muni","GB_ASSURANCE_PROVIDERS")</f>
        <v>#NAME?</v>
      </c>
      <c r="O94" t="e">
        <f ca="1">BDP("88035ME7 Muni","GB_PROJECT_SELECTION_PROCESS")</f>
        <v>#NAME?</v>
      </c>
      <c r="P94" t="e">
        <f ca="1">BDP("88035ME7 Muni","ESG_FRAMEWORK_INDICATOR")</f>
        <v>#NAME?</v>
      </c>
      <c r="Q94" t="e">
        <f ca="1">BDP("88035ME7 Muni","BLOOMBERG_SECTOR_CODE")</f>
        <v>#NAME?</v>
      </c>
      <c r="R94" t="e">
        <f ca="1">BDP("88035ME7 Muni","ISSUER_TYPE")</f>
        <v>#NAME?</v>
      </c>
      <c r="S94" t="e">
        <f ca="1">BDS("88035ME7 Muni","ESG_PROJECT_CATEGORY", "aggregate=y")</f>
        <v>#NAME?</v>
      </c>
      <c r="T94" t="e">
        <f ca="1">BDS("88035ME7 Muni","ESG_PROJECT_SUBCATEGORY", "aggregate=y")</f>
        <v>#NAME?</v>
      </c>
    </row>
    <row r="95" spans="1:20" x14ac:dyDescent="0.25">
      <c r="A95" t="e">
        <f ca="1">BDP("88035ME8 Muni","ID_CUSIP")</f>
        <v>#NAME?</v>
      </c>
      <c r="B95" t="e">
        <f ca="1">BDP("88035ME8 Muni","STATE_CODE")</f>
        <v>#NAME?</v>
      </c>
      <c r="C95" t="s">
        <v>25</v>
      </c>
      <c r="D95" t="e">
        <f ca="1">BDP("88035ME8 Muni","YIELD_ON_ISSUE_DATE")</f>
        <v>#NAME?</v>
      </c>
      <c r="E95">
        <v>2500000</v>
      </c>
      <c r="F95" t="e">
        <f ca="1">BDP("88035ME8 Muni","ISSUE_DT")</f>
        <v>#NAME?</v>
      </c>
      <c r="G95" t="e">
        <f ca="1">BDP("88035ME8 Muni","MATURITY")</f>
        <v>#NAME?</v>
      </c>
      <c r="H95" t="e">
        <f ca="1">BDP("88035ME8 Muni","MUNI_TAX_PROV")</f>
        <v>#NAME?</v>
      </c>
      <c r="I95" t="e">
        <f ca="1">BDP("88035ME8 Muni","FINANCING_TYPE")</f>
        <v>#NAME?</v>
      </c>
      <c r="J95" t="e">
        <f ca="1">BDP("88035ME8 Muni","BICS_LEVEL_2_INDUSTRY_GROUP_NAME")</f>
        <v>#NAME?</v>
      </c>
      <c r="K95" t="e">
        <f ca="1">BDP("88035ME8 Muni","SELF_REPRTD_GREEN_INSTR_INDCTR")</f>
        <v>#NAME?</v>
      </c>
      <c r="L95" t="e">
        <f ca="1">BDP("88035ME8 Muni","GB_MANAGEMENT_PROCEEDS")</f>
        <v>#NAME?</v>
      </c>
      <c r="M95" t="e">
        <f ca="1">BDP("88035ME8 Muni","GB_REPORTING")</f>
        <v>#NAME?</v>
      </c>
      <c r="N95" t="e">
        <f ca="1">BDP("88035ME8 Muni","GB_ASSURANCE_PROVIDERS")</f>
        <v>#NAME?</v>
      </c>
      <c r="O95" t="e">
        <f ca="1">BDP("88035ME8 Muni","GB_PROJECT_SELECTION_PROCESS")</f>
        <v>#NAME?</v>
      </c>
      <c r="P95" t="e">
        <f ca="1">BDP("88035ME8 Muni","ESG_FRAMEWORK_INDICATOR")</f>
        <v>#NAME?</v>
      </c>
      <c r="Q95" t="e">
        <f ca="1">BDP("88035ME8 Muni","BLOOMBERG_SECTOR_CODE")</f>
        <v>#NAME?</v>
      </c>
      <c r="R95" t="e">
        <f ca="1">BDP("88035ME8 Muni","ISSUER_TYPE")</f>
        <v>#NAME?</v>
      </c>
      <c r="S95" t="e">
        <f ca="1">BDS("88035ME8 Muni","ESG_PROJECT_CATEGORY", "aggregate=y")</f>
        <v>#NAME?</v>
      </c>
      <c r="T95" t="e">
        <f ca="1">BDS("88035ME8 Muni","ESG_PROJECT_SUBCATEGORY", "aggregate=y")</f>
        <v>#NAME?</v>
      </c>
    </row>
    <row r="96" spans="1:20" x14ac:dyDescent="0.25">
      <c r="A96" t="e">
        <f ca="1">BDP("88035MR5 Muni","ID_CUSIP")</f>
        <v>#NAME?</v>
      </c>
      <c r="B96" t="e">
        <f ca="1">BDP("88035MR5 Muni","STATE_CODE")</f>
        <v>#NAME?</v>
      </c>
      <c r="C96" t="s">
        <v>25</v>
      </c>
      <c r="D96" t="e">
        <f ca="1">BDP("88035MR5 Muni","YIELD_ON_ISSUE_DATE")</f>
        <v>#NAME?</v>
      </c>
      <c r="E96">
        <v>8000000</v>
      </c>
      <c r="F96" t="e">
        <f ca="1">BDP("88035MR5 Muni","ISSUE_DT")</f>
        <v>#NAME?</v>
      </c>
      <c r="G96" t="e">
        <f ca="1">BDP("88035MR5 Muni","MATURITY")</f>
        <v>#NAME?</v>
      </c>
      <c r="H96" t="e">
        <f ca="1">BDP("88035MR5 Muni","MUNI_TAX_PROV")</f>
        <v>#NAME?</v>
      </c>
      <c r="I96" t="e">
        <f ca="1">BDP("88035MR5 Muni","FINANCING_TYPE")</f>
        <v>#NAME?</v>
      </c>
      <c r="J96" t="e">
        <f ca="1">BDP("88035MR5 Muni","BICS_LEVEL_2_INDUSTRY_GROUP_NAME")</f>
        <v>#NAME?</v>
      </c>
      <c r="K96" t="e">
        <f ca="1">BDP("88035MR5 Muni","SELF_REPRTD_GREEN_INSTR_INDCTR")</f>
        <v>#NAME?</v>
      </c>
      <c r="L96" t="e">
        <f ca="1">BDP("88035MR5 Muni","GB_MANAGEMENT_PROCEEDS")</f>
        <v>#NAME?</v>
      </c>
      <c r="M96" t="e">
        <f ca="1">BDP("88035MR5 Muni","GB_REPORTING")</f>
        <v>#NAME?</v>
      </c>
      <c r="N96" t="e">
        <f ca="1">BDP("88035MR5 Muni","GB_ASSURANCE_PROVIDERS")</f>
        <v>#NAME?</v>
      </c>
      <c r="O96" t="e">
        <f ca="1">BDP("88035MR5 Muni","GB_PROJECT_SELECTION_PROCESS")</f>
        <v>#NAME?</v>
      </c>
      <c r="P96" t="e">
        <f ca="1">BDP("88035MR5 Muni","ESG_FRAMEWORK_INDICATOR")</f>
        <v>#NAME?</v>
      </c>
      <c r="Q96" t="e">
        <f ca="1">BDP("88035MR5 Muni","BLOOMBERG_SECTOR_CODE")</f>
        <v>#NAME?</v>
      </c>
      <c r="R96" t="e">
        <f ca="1">BDP("88035MR5 Muni","ISSUER_TYPE")</f>
        <v>#NAME?</v>
      </c>
      <c r="S96" t="e">
        <f ca="1">BDS("88035MR5 Muni","ESG_PROJECT_CATEGORY", "aggregate=y")</f>
        <v>#NAME?</v>
      </c>
      <c r="T96" t="e">
        <f ca="1">BDS("88035MR5 Muni","ESG_PROJECT_SUBCATEGORY", "aggregate=y")</f>
        <v>#NAME?</v>
      </c>
    </row>
    <row r="97" spans="1:20" x14ac:dyDescent="0.25">
      <c r="A97" t="e">
        <f ca="1">BDP("88035MR6 Muni","ID_CUSIP")</f>
        <v>#NAME?</v>
      </c>
      <c r="B97" t="e">
        <f ca="1">BDP("88035MR6 Muni","STATE_CODE")</f>
        <v>#NAME?</v>
      </c>
      <c r="C97" t="s">
        <v>25</v>
      </c>
      <c r="D97" t="e">
        <f ca="1">BDP("88035MR6 Muni","YIELD_ON_ISSUE_DATE")</f>
        <v>#NAME?</v>
      </c>
      <c r="E97">
        <v>2000000</v>
      </c>
      <c r="F97" t="e">
        <f ca="1">BDP("88035MR6 Muni","ISSUE_DT")</f>
        <v>#NAME?</v>
      </c>
      <c r="G97" t="e">
        <f ca="1">BDP("88035MR6 Muni","MATURITY")</f>
        <v>#NAME?</v>
      </c>
      <c r="H97" t="e">
        <f ca="1">BDP("88035MR6 Muni","MUNI_TAX_PROV")</f>
        <v>#NAME?</v>
      </c>
      <c r="I97" t="e">
        <f ca="1">BDP("88035MR6 Muni","FINANCING_TYPE")</f>
        <v>#NAME?</v>
      </c>
      <c r="J97" t="e">
        <f ca="1">BDP("88035MR6 Muni","BICS_LEVEL_2_INDUSTRY_GROUP_NAME")</f>
        <v>#NAME?</v>
      </c>
      <c r="K97" t="e">
        <f ca="1">BDP("88035MR6 Muni","SELF_REPRTD_GREEN_INSTR_INDCTR")</f>
        <v>#NAME?</v>
      </c>
      <c r="L97" t="e">
        <f ca="1">BDP("88035MR6 Muni","GB_MANAGEMENT_PROCEEDS")</f>
        <v>#NAME?</v>
      </c>
      <c r="M97" t="e">
        <f ca="1">BDP("88035MR6 Muni","GB_REPORTING")</f>
        <v>#NAME?</v>
      </c>
      <c r="N97" t="e">
        <f ca="1">BDP("88035MR6 Muni","GB_ASSURANCE_PROVIDERS")</f>
        <v>#NAME?</v>
      </c>
      <c r="O97" t="e">
        <f ca="1">BDP("88035MR6 Muni","GB_PROJECT_SELECTION_PROCESS")</f>
        <v>#NAME?</v>
      </c>
      <c r="P97" t="e">
        <f ca="1">BDP("88035MR6 Muni","ESG_FRAMEWORK_INDICATOR")</f>
        <v>#NAME?</v>
      </c>
      <c r="Q97" t="e">
        <f ca="1">BDP("88035MR6 Muni","BLOOMBERG_SECTOR_CODE")</f>
        <v>#NAME?</v>
      </c>
      <c r="R97" t="e">
        <f ca="1">BDP("88035MR6 Muni","ISSUER_TYPE")</f>
        <v>#NAME?</v>
      </c>
      <c r="S97" t="e">
        <f ca="1">BDS("88035MR6 Muni","ESG_PROJECT_CATEGORY", "aggregate=y")</f>
        <v>#NAME?</v>
      </c>
      <c r="T97" t="e">
        <f ca="1">BDS("88035MR6 Muni","ESG_PROJECT_SUBCATEGORY", "aggregate=y")</f>
        <v>#NAME?</v>
      </c>
    </row>
    <row r="98" spans="1:20" x14ac:dyDescent="0.25">
      <c r="A98" t="e">
        <f ca="1">BDP("88035MVY Muni","ID_CUSIP")</f>
        <v>#NAME?</v>
      </c>
      <c r="B98" t="e">
        <f ca="1">BDP("88035MVY Muni","STATE_CODE")</f>
        <v>#NAME?</v>
      </c>
      <c r="C98" t="s">
        <v>25</v>
      </c>
      <c r="D98" t="e">
        <f ca="1">BDP("88035MVY Muni","YIELD_ON_ISSUE_DATE")</f>
        <v>#NAME?</v>
      </c>
      <c r="E98">
        <v>7500000</v>
      </c>
      <c r="F98" t="e">
        <f ca="1">BDP("88035MVY Muni","ISSUE_DT")</f>
        <v>#NAME?</v>
      </c>
      <c r="G98" t="e">
        <f ca="1">BDP("88035MVY Muni","MATURITY")</f>
        <v>#NAME?</v>
      </c>
      <c r="H98" t="e">
        <f ca="1">BDP("88035MVY Muni","MUNI_TAX_PROV")</f>
        <v>#NAME?</v>
      </c>
      <c r="I98" t="e">
        <f ca="1">BDP("88035MVY Muni","FINANCING_TYPE")</f>
        <v>#NAME?</v>
      </c>
      <c r="J98" t="e">
        <f ca="1">BDP("88035MVY Muni","BICS_LEVEL_2_INDUSTRY_GROUP_NAME")</f>
        <v>#NAME?</v>
      </c>
      <c r="K98" t="e">
        <f ca="1">BDP("88035MVY Muni","SELF_REPRTD_GREEN_INSTR_INDCTR")</f>
        <v>#NAME?</v>
      </c>
      <c r="L98" t="e">
        <f ca="1">BDP("88035MVY Muni","GB_MANAGEMENT_PROCEEDS")</f>
        <v>#NAME?</v>
      </c>
      <c r="M98" t="e">
        <f ca="1">BDP("88035MVY Muni","GB_REPORTING")</f>
        <v>#NAME?</v>
      </c>
      <c r="N98" t="e">
        <f ca="1">BDP("88035MVY Muni","GB_ASSURANCE_PROVIDERS")</f>
        <v>#NAME?</v>
      </c>
      <c r="O98" t="e">
        <f ca="1">BDP("88035MVY Muni","GB_PROJECT_SELECTION_PROCESS")</f>
        <v>#NAME?</v>
      </c>
      <c r="P98" t="e">
        <f ca="1">BDP("88035MVY Muni","ESG_FRAMEWORK_INDICATOR")</f>
        <v>#NAME?</v>
      </c>
      <c r="Q98" t="e">
        <f ca="1">BDP("88035MVY Muni","BLOOMBERG_SECTOR_CODE")</f>
        <v>#NAME?</v>
      </c>
      <c r="R98" t="e">
        <f ca="1">BDP("88035MVY Muni","ISSUER_TYPE")</f>
        <v>#NAME?</v>
      </c>
      <c r="S98" t="e">
        <f ca="1">BDS("88035MVY Muni","ESG_PROJECT_CATEGORY", "aggregate=y")</f>
        <v>#NAME?</v>
      </c>
      <c r="T98" t="e">
        <f ca="1">BDS("88035MVY Muni","ESG_PROJECT_SUBCATEGORY", "aggregate=y")</f>
        <v>#NAME?</v>
      </c>
    </row>
    <row r="99" spans="1:20" x14ac:dyDescent="0.25">
      <c r="A99" t="e">
        <f ca="1">BDP("88035MVZ Muni","ID_CUSIP")</f>
        <v>#NAME?</v>
      </c>
      <c r="B99" t="e">
        <f ca="1">BDP("88035MVZ Muni","STATE_CODE")</f>
        <v>#NAME?</v>
      </c>
      <c r="C99" t="s">
        <v>25</v>
      </c>
      <c r="D99" t="e">
        <f ca="1">BDP("88035MVZ Muni","YIELD_ON_ISSUE_DATE")</f>
        <v>#NAME?</v>
      </c>
      <c r="E99">
        <v>2500000</v>
      </c>
      <c r="F99" t="e">
        <f ca="1">BDP("88035MVZ Muni","ISSUE_DT")</f>
        <v>#NAME?</v>
      </c>
      <c r="G99" t="e">
        <f ca="1">BDP("88035MVZ Muni","MATURITY")</f>
        <v>#NAME?</v>
      </c>
      <c r="H99" t="e">
        <f ca="1">BDP("88035MVZ Muni","MUNI_TAX_PROV")</f>
        <v>#NAME?</v>
      </c>
      <c r="I99" t="e">
        <f ca="1">BDP("88035MVZ Muni","FINANCING_TYPE")</f>
        <v>#NAME?</v>
      </c>
      <c r="J99" t="e">
        <f ca="1">BDP("88035MVZ Muni","BICS_LEVEL_2_INDUSTRY_GROUP_NAME")</f>
        <v>#NAME?</v>
      </c>
      <c r="K99" t="e">
        <f ca="1">BDP("88035MVZ Muni","SELF_REPRTD_GREEN_INSTR_INDCTR")</f>
        <v>#NAME?</v>
      </c>
      <c r="L99" t="e">
        <f ca="1">BDP("88035MVZ Muni","GB_MANAGEMENT_PROCEEDS")</f>
        <v>#NAME?</v>
      </c>
      <c r="M99" t="e">
        <f ca="1">BDP("88035MVZ Muni","GB_REPORTING")</f>
        <v>#NAME?</v>
      </c>
      <c r="N99" t="e">
        <f ca="1">BDP("88035MVZ Muni","GB_ASSURANCE_PROVIDERS")</f>
        <v>#NAME?</v>
      </c>
      <c r="O99" t="e">
        <f ca="1">BDP("88035MVZ Muni","GB_PROJECT_SELECTION_PROCESS")</f>
        <v>#NAME?</v>
      </c>
      <c r="P99" t="e">
        <f ca="1">BDP("88035MVZ Muni","ESG_FRAMEWORK_INDICATOR")</f>
        <v>#NAME?</v>
      </c>
      <c r="Q99" t="e">
        <f ca="1">BDP("88035MVZ Muni","BLOOMBERG_SECTOR_CODE")</f>
        <v>#NAME?</v>
      </c>
      <c r="R99" t="e">
        <f ca="1">BDP("88035MVZ Muni","ISSUER_TYPE")</f>
        <v>#NAME?</v>
      </c>
      <c r="S99" t="e">
        <f ca="1">BDS("88035MVZ Muni","ESG_PROJECT_CATEGORY", "aggregate=y")</f>
        <v>#NAME?</v>
      </c>
      <c r="T99" t="e">
        <f ca="1">BDS("88035MVZ Muni","ESG_PROJECT_SUBCATEGORY", "aggregate=y")</f>
        <v>#NAME?</v>
      </c>
    </row>
    <row r="100" spans="1:20" x14ac:dyDescent="0.25">
      <c r="A100" t="e">
        <f ca="1">BDP("88035MW6 Muni","ID_CUSIP")</f>
        <v>#NAME?</v>
      </c>
      <c r="B100" t="e">
        <f ca="1">BDP("88035MW6 Muni","STATE_CODE")</f>
        <v>#NAME?</v>
      </c>
      <c r="C100" t="s">
        <v>25</v>
      </c>
      <c r="D100" t="e">
        <f ca="1">BDP("88035MW6 Muni","YIELD_ON_ISSUE_DATE")</f>
        <v>#NAME?</v>
      </c>
      <c r="E100">
        <v>8350000</v>
      </c>
      <c r="F100" t="e">
        <f ca="1">BDP("88035MW6 Muni","ISSUE_DT")</f>
        <v>#NAME?</v>
      </c>
      <c r="G100" t="e">
        <f ca="1">BDP("88035MW6 Muni","MATURITY")</f>
        <v>#NAME?</v>
      </c>
      <c r="H100" t="e">
        <f ca="1">BDP("88035MW6 Muni","MUNI_TAX_PROV")</f>
        <v>#NAME?</v>
      </c>
      <c r="I100" t="e">
        <f ca="1">BDP("88035MW6 Muni","FINANCING_TYPE")</f>
        <v>#NAME?</v>
      </c>
      <c r="J100" t="e">
        <f ca="1">BDP("88035MW6 Muni","BICS_LEVEL_2_INDUSTRY_GROUP_NAME")</f>
        <v>#NAME?</v>
      </c>
      <c r="K100" t="e">
        <f ca="1">BDP("88035MW6 Muni","SELF_REPRTD_GREEN_INSTR_INDCTR")</f>
        <v>#NAME?</v>
      </c>
      <c r="L100" t="e">
        <f ca="1">BDP("88035MW6 Muni","GB_MANAGEMENT_PROCEEDS")</f>
        <v>#NAME?</v>
      </c>
      <c r="M100" t="e">
        <f ca="1">BDP("88035MW6 Muni","GB_REPORTING")</f>
        <v>#NAME?</v>
      </c>
      <c r="N100" t="e">
        <f ca="1">BDP("88035MW6 Muni","GB_ASSURANCE_PROVIDERS")</f>
        <v>#NAME?</v>
      </c>
      <c r="O100" t="e">
        <f ca="1">BDP("88035MW6 Muni","GB_PROJECT_SELECTION_PROCESS")</f>
        <v>#NAME?</v>
      </c>
      <c r="P100" t="e">
        <f ca="1">BDP("88035MW6 Muni","ESG_FRAMEWORK_INDICATOR")</f>
        <v>#NAME?</v>
      </c>
      <c r="Q100" t="e">
        <f ca="1">BDP("88035MW6 Muni","BLOOMBERG_SECTOR_CODE")</f>
        <v>#NAME?</v>
      </c>
      <c r="R100" t="e">
        <f ca="1">BDP("88035MW6 Muni","ISSUER_TYPE")</f>
        <v>#NAME?</v>
      </c>
      <c r="S100" t="e">
        <f ca="1">BDS("88035MW6 Muni","ESG_PROJECT_CATEGORY", "aggregate=y")</f>
        <v>#NAME?</v>
      </c>
      <c r="T100" t="e">
        <f ca="1">BDS("88035MW6 Muni","ESG_PROJECT_SUBCATEGORY", "aggregate=y")</f>
        <v>#NAME?</v>
      </c>
    </row>
    <row r="101" spans="1:20" x14ac:dyDescent="0.25">
      <c r="A101" t="e">
        <f ca="1">BDP("88035MW7 Muni","ID_CUSIP")</f>
        <v>#NAME?</v>
      </c>
      <c r="B101" t="e">
        <f ca="1">BDP("88035MW7 Muni","STATE_CODE")</f>
        <v>#NAME?</v>
      </c>
      <c r="C101" t="s">
        <v>25</v>
      </c>
      <c r="D101" t="e">
        <f ca="1">BDP("88035MW7 Muni","YIELD_ON_ISSUE_DATE")</f>
        <v>#NAME?</v>
      </c>
      <c r="E101">
        <v>2785000</v>
      </c>
      <c r="F101" t="e">
        <f ca="1">BDP("88035MW7 Muni","ISSUE_DT")</f>
        <v>#NAME?</v>
      </c>
      <c r="G101" t="e">
        <f ca="1">BDP("88035MW7 Muni","MATURITY")</f>
        <v>#NAME?</v>
      </c>
      <c r="H101" t="e">
        <f ca="1">BDP("88035MW7 Muni","MUNI_TAX_PROV")</f>
        <v>#NAME?</v>
      </c>
      <c r="I101" t="e">
        <f ca="1">BDP("88035MW7 Muni","FINANCING_TYPE")</f>
        <v>#NAME?</v>
      </c>
      <c r="J101" t="e">
        <f ca="1">BDP("88035MW7 Muni","BICS_LEVEL_2_INDUSTRY_GROUP_NAME")</f>
        <v>#NAME?</v>
      </c>
      <c r="K101" t="e">
        <f ca="1">BDP("88035MW7 Muni","SELF_REPRTD_GREEN_INSTR_INDCTR")</f>
        <v>#NAME?</v>
      </c>
      <c r="L101" t="e">
        <f ca="1">BDP("88035MW7 Muni","GB_MANAGEMENT_PROCEEDS")</f>
        <v>#NAME?</v>
      </c>
      <c r="M101" t="e">
        <f ca="1">BDP("88035MW7 Muni","GB_REPORTING")</f>
        <v>#NAME?</v>
      </c>
      <c r="N101" t="e">
        <f ca="1">BDP("88035MW7 Muni","GB_ASSURANCE_PROVIDERS")</f>
        <v>#NAME?</v>
      </c>
      <c r="O101" t="e">
        <f ca="1">BDP("88035MW7 Muni","GB_PROJECT_SELECTION_PROCESS")</f>
        <v>#NAME?</v>
      </c>
      <c r="P101" t="e">
        <f ca="1">BDP("88035MW7 Muni","ESG_FRAMEWORK_INDICATOR")</f>
        <v>#NAME?</v>
      </c>
      <c r="Q101" t="e">
        <f ca="1">BDP("88035MW7 Muni","BLOOMBERG_SECTOR_CODE")</f>
        <v>#NAME?</v>
      </c>
      <c r="R101" t="e">
        <f ca="1">BDP("88035MW7 Muni","ISSUER_TYPE")</f>
        <v>#NAME?</v>
      </c>
      <c r="S101" t="e">
        <f ca="1">BDS("88035MW7 Muni","ESG_PROJECT_CATEGORY", "aggregate=y")</f>
        <v>#NAME?</v>
      </c>
      <c r="T101" t="e">
        <f ca="1">BDS("88035MW7 Muni","ESG_PROJECT_SUBCATEGORY", "aggregate=y")</f>
        <v>#NAME?</v>
      </c>
    </row>
    <row r="102" spans="1:20" x14ac:dyDescent="0.25">
      <c r="A102" t="e">
        <f ca="1">BDP("88035PB3 Muni","ID_CUSIP")</f>
        <v>#NAME?</v>
      </c>
      <c r="B102" t="e">
        <f ca="1">BDP("88035PB3 Muni","STATE_CODE")</f>
        <v>#NAME?</v>
      </c>
      <c r="C102" t="s">
        <v>25</v>
      </c>
      <c r="D102" t="e">
        <f ca="1">BDP("88035PB3 Muni","YIELD_ON_ISSUE_DATE")</f>
        <v>#NAME?</v>
      </c>
      <c r="E102">
        <v>16655000</v>
      </c>
      <c r="F102" t="e">
        <f ca="1">BDP("88035PB3 Muni","ISSUE_DT")</f>
        <v>#NAME?</v>
      </c>
      <c r="G102" t="e">
        <f ca="1">BDP("88035PB3 Muni","MATURITY")</f>
        <v>#NAME?</v>
      </c>
      <c r="H102" t="e">
        <f ca="1">BDP("88035PB3 Muni","MUNI_TAX_PROV")</f>
        <v>#NAME?</v>
      </c>
      <c r="I102" t="e">
        <f ca="1">BDP("88035PB3 Muni","FINANCING_TYPE")</f>
        <v>#NAME?</v>
      </c>
      <c r="J102" t="e">
        <f ca="1">BDP("88035PB3 Muni","BICS_LEVEL_2_INDUSTRY_GROUP_NAME")</f>
        <v>#NAME?</v>
      </c>
      <c r="K102" t="e">
        <f ca="1">BDP("88035PB3 Muni","SELF_REPRTD_GREEN_INSTR_INDCTR")</f>
        <v>#NAME?</v>
      </c>
      <c r="L102" t="e">
        <f ca="1">BDP("88035PB3 Muni","GB_MANAGEMENT_PROCEEDS")</f>
        <v>#NAME?</v>
      </c>
      <c r="M102" t="e">
        <f ca="1">BDP("88035PB3 Muni","GB_REPORTING")</f>
        <v>#NAME?</v>
      </c>
      <c r="N102" t="e">
        <f ca="1">BDP("88035PB3 Muni","GB_ASSURANCE_PROVIDERS")</f>
        <v>#NAME?</v>
      </c>
      <c r="O102" t="e">
        <f ca="1">BDP("88035PB3 Muni","GB_PROJECT_SELECTION_PROCESS")</f>
        <v>#NAME?</v>
      </c>
      <c r="P102" t="e">
        <f ca="1">BDP("88035PB3 Muni","ESG_FRAMEWORK_INDICATOR")</f>
        <v>#NAME?</v>
      </c>
      <c r="Q102" t="e">
        <f ca="1">BDP("88035PB3 Muni","BLOOMBERG_SECTOR_CODE")</f>
        <v>#NAME?</v>
      </c>
      <c r="R102" t="e">
        <f ca="1">BDP("88035PB3 Muni","ISSUER_TYPE")</f>
        <v>#NAME?</v>
      </c>
      <c r="S102" t="e">
        <f ca="1">BDS("88035PB3 Muni","ESG_PROJECT_CATEGORY", "aggregate=y")</f>
        <v>#NAME?</v>
      </c>
      <c r="T102" t="e">
        <f ca="1">BDS("88035PB3 Muni","ESG_PROJECT_SUBCATEGORY", "aggregate=y")</f>
        <v>#NAME?</v>
      </c>
    </row>
    <row r="103" spans="1:20" x14ac:dyDescent="0.25">
      <c r="A103" t="e">
        <f ca="1">BDP("88035PB4 Muni","ID_CUSIP")</f>
        <v>#NAME?</v>
      </c>
      <c r="B103" t="e">
        <f ca="1">BDP("88035PB4 Muni","STATE_CODE")</f>
        <v>#NAME?</v>
      </c>
      <c r="C103" t="s">
        <v>25</v>
      </c>
      <c r="D103" t="e">
        <f ca="1">BDP("88035PB4 Muni","YIELD_ON_ISSUE_DATE")</f>
        <v>#NAME?</v>
      </c>
      <c r="E103">
        <v>880000</v>
      </c>
      <c r="F103" t="e">
        <f ca="1">BDP("88035PB4 Muni","ISSUE_DT")</f>
        <v>#NAME?</v>
      </c>
      <c r="G103" t="e">
        <f ca="1">BDP("88035PB4 Muni","MATURITY")</f>
        <v>#NAME?</v>
      </c>
      <c r="H103" t="e">
        <f ca="1">BDP("88035PB4 Muni","MUNI_TAX_PROV")</f>
        <v>#NAME?</v>
      </c>
      <c r="I103" t="e">
        <f ca="1">BDP("88035PB4 Muni","FINANCING_TYPE")</f>
        <v>#NAME?</v>
      </c>
      <c r="J103" t="e">
        <f ca="1">BDP("88035PB4 Muni","BICS_LEVEL_2_INDUSTRY_GROUP_NAME")</f>
        <v>#NAME?</v>
      </c>
      <c r="K103" t="e">
        <f ca="1">BDP("88035PB4 Muni","SELF_REPRTD_GREEN_INSTR_INDCTR")</f>
        <v>#NAME?</v>
      </c>
      <c r="L103" t="e">
        <f ca="1">BDP("88035PB4 Muni","GB_MANAGEMENT_PROCEEDS")</f>
        <v>#NAME?</v>
      </c>
      <c r="M103" t="e">
        <f ca="1">BDP("88035PB4 Muni","GB_REPORTING")</f>
        <v>#NAME?</v>
      </c>
      <c r="N103" t="e">
        <f ca="1">BDP("88035PB4 Muni","GB_ASSURANCE_PROVIDERS")</f>
        <v>#NAME?</v>
      </c>
      <c r="O103" t="e">
        <f ca="1">BDP("88035PB4 Muni","GB_PROJECT_SELECTION_PROCESS")</f>
        <v>#NAME?</v>
      </c>
      <c r="P103" t="e">
        <f ca="1">BDP("88035PB4 Muni","ESG_FRAMEWORK_INDICATOR")</f>
        <v>#NAME?</v>
      </c>
      <c r="Q103" t="e">
        <f ca="1">BDP("88035PB4 Muni","BLOOMBERG_SECTOR_CODE")</f>
        <v>#NAME?</v>
      </c>
      <c r="R103" t="e">
        <f ca="1">BDP("88035PB4 Muni","ISSUER_TYPE")</f>
        <v>#NAME?</v>
      </c>
      <c r="S103" t="e">
        <f ca="1">BDS("88035PB4 Muni","ESG_PROJECT_CATEGORY", "aggregate=y")</f>
        <v>#NAME?</v>
      </c>
      <c r="T103" t="e">
        <f ca="1">BDS("88035PB4 Muni","ESG_PROJECT_SUBCATEGORY", "aggregate=y")</f>
        <v>#NAME?</v>
      </c>
    </row>
    <row r="104" spans="1:20" x14ac:dyDescent="0.25">
      <c r="A104" t="e">
        <f ca="1">BDP("88035PBH Muni","ID_CUSIP")</f>
        <v>#NAME?</v>
      </c>
      <c r="B104" t="e">
        <f ca="1">BDP("88035PBH Muni","STATE_CODE")</f>
        <v>#NAME?</v>
      </c>
      <c r="C104" t="s">
        <v>25</v>
      </c>
      <c r="D104" t="e">
        <f ca="1">BDP("88035PBH Muni","YIELD_ON_ISSUE_DATE")</f>
        <v>#NAME?</v>
      </c>
      <c r="E104">
        <v>1400000</v>
      </c>
      <c r="F104" t="e">
        <f ca="1">BDP("88035PBH Muni","ISSUE_DT")</f>
        <v>#NAME?</v>
      </c>
      <c r="G104" t="e">
        <f ca="1">BDP("88035PBH Muni","MATURITY")</f>
        <v>#NAME?</v>
      </c>
      <c r="H104" t="e">
        <f ca="1">BDP("88035PBH Muni","MUNI_TAX_PROV")</f>
        <v>#NAME?</v>
      </c>
      <c r="I104" t="e">
        <f ca="1">BDP("88035PBH Muni","FINANCING_TYPE")</f>
        <v>#NAME?</v>
      </c>
      <c r="J104" t="e">
        <f ca="1">BDP("88035PBH Muni","BICS_LEVEL_2_INDUSTRY_GROUP_NAME")</f>
        <v>#NAME?</v>
      </c>
      <c r="K104" t="e">
        <f ca="1">BDP("88035PBH Muni","SELF_REPRTD_GREEN_INSTR_INDCTR")</f>
        <v>#NAME?</v>
      </c>
      <c r="L104" t="e">
        <f ca="1">BDP("88035PBH Muni","GB_MANAGEMENT_PROCEEDS")</f>
        <v>#NAME?</v>
      </c>
      <c r="M104" t="e">
        <f ca="1">BDP("88035PBH Muni","GB_REPORTING")</f>
        <v>#NAME?</v>
      </c>
      <c r="N104" t="e">
        <f ca="1">BDP("88035PBH Muni","GB_ASSURANCE_PROVIDERS")</f>
        <v>#NAME?</v>
      </c>
      <c r="O104" t="e">
        <f ca="1">BDP("88035PBH Muni","GB_PROJECT_SELECTION_PROCESS")</f>
        <v>#NAME?</v>
      </c>
      <c r="P104" t="e">
        <f ca="1">BDP("88035PBH Muni","ESG_FRAMEWORK_INDICATOR")</f>
        <v>#NAME?</v>
      </c>
      <c r="Q104" t="e">
        <f ca="1">BDP("88035PBH Muni","BLOOMBERG_SECTOR_CODE")</f>
        <v>#NAME?</v>
      </c>
      <c r="R104" t="e">
        <f ca="1">BDP("88035PBH Muni","ISSUER_TYPE")</f>
        <v>#NAME?</v>
      </c>
      <c r="S104" t="e">
        <f ca="1">BDS("88035PBH Muni","ESG_PROJECT_CATEGORY", "aggregate=y")</f>
        <v>#NAME?</v>
      </c>
      <c r="T104" t="e">
        <f ca="1">BDS("88035PBH Muni","ESG_PROJECT_SUBCATEGORY", "aggregate=y")</f>
        <v>#NAME?</v>
      </c>
    </row>
    <row r="105" spans="1:20" x14ac:dyDescent="0.25">
      <c r="A105" t="e">
        <f ca="1">BDP("88035PBP Muni","ID_CUSIP")</f>
        <v>#NAME?</v>
      </c>
      <c r="B105" t="e">
        <f ca="1">BDP("88035PBP Muni","STATE_CODE")</f>
        <v>#NAME?</v>
      </c>
      <c r="C105" t="s">
        <v>25</v>
      </c>
      <c r="D105" t="e">
        <f ca="1">BDP("88035PBP Muni","YIELD_ON_ISSUE_DATE")</f>
        <v>#NAME?</v>
      </c>
      <c r="E105">
        <v>815000</v>
      </c>
      <c r="F105" t="e">
        <f ca="1">BDP("88035PBP Muni","ISSUE_DT")</f>
        <v>#NAME?</v>
      </c>
      <c r="G105" t="e">
        <f ca="1">BDP("88035PBP Muni","MATURITY")</f>
        <v>#NAME?</v>
      </c>
      <c r="H105" t="e">
        <f ca="1">BDP("88035PBP Muni","MUNI_TAX_PROV")</f>
        <v>#NAME?</v>
      </c>
      <c r="I105" t="e">
        <f ca="1">BDP("88035PBP Muni","FINANCING_TYPE")</f>
        <v>#NAME?</v>
      </c>
      <c r="J105" t="e">
        <f ca="1">BDP("88035PBP Muni","BICS_LEVEL_2_INDUSTRY_GROUP_NAME")</f>
        <v>#NAME?</v>
      </c>
      <c r="K105" t="e">
        <f ca="1">BDP("88035PBP Muni","SELF_REPRTD_GREEN_INSTR_INDCTR")</f>
        <v>#NAME?</v>
      </c>
      <c r="L105" t="e">
        <f ca="1">BDP("88035PBP Muni","GB_MANAGEMENT_PROCEEDS")</f>
        <v>#NAME?</v>
      </c>
      <c r="M105" t="e">
        <f ca="1">BDP("88035PBP Muni","GB_REPORTING")</f>
        <v>#NAME?</v>
      </c>
      <c r="N105" t="e">
        <f ca="1">BDP("88035PBP Muni","GB_ASSURANCE_PROVIDERS")</f>
        <v>#NAME?</v>
      </c>
      <c r="O105" t="e">
        <f ca="1">BDP("88035PBP Muni","GB_PROJECT_SELECTION_PROCESS")</f>
        <v>#NAME?</v>
      </c>
      <c r="P105" t="e">
        <f ca="1">BDP("88035PBP Muni","ESG_FRAMEWORK_INDICATOR")</f>
        <v>#NAME?</v>
      </c>
      <c r="Q105" t="e">
        <f ca="1">BDP("88035PBP Muni","BLOOMBERG_SECTOR_CODE")</f>
        <v>#NAME?</v>
      </c>
      <c r="R105" t="e">
        <f ca="1">BDP("88035PBP Muni","ISSUER_TYPE")</f>
        <v>#NAME?</v>
      </c>
      <c r="S105" t="e">
        <f ca="1">BDS("88035PBP Muni","ESG_PROJECT_CATEGORY", "aggregate=y")</f>
        <v>#NAME?</v>
      </c>
      <c r="T105" t="e">
        <f ca="1">BDS("88035PBP Muni","ESG_PROJECT_SUBCATEGORY", "aggregate=y")</f>
        <v>#NAME?</v>
      </c>
    </row>
    <row r="106" spans="1:20" x14ac:dyDescent="0.25">
      <c r="A106" t="e">
        <f ca="1">BDP("88035PE8 Muni","ID_CUSIP")</f>
        <v>#NAME?</v>
      </c>
      <c r="B106" t="e">
        <f ca="1">BDP("88035PE8 Muni","STATE_CODE")</f>
        <v>#NAME?</v>
      </c>
      <c r="C106" t="s">
        <v>25</v>
      </c>
      <c r="D106" t="e">
        <f ca="1">BDP("88035PE8 Muni","YIELD_ON_ISSUE_DATE")</f>
        <v>#NAME?</v>
      </c>
      <c r="E106">
        <v>6665000</v>
      </c>
      <c r="F106" t="e">
        <f ca="1">BDP("88035PE8 Muni","ISSUE_DT")</f>
        <v>#NAME?</v>
      </c>
      <c r="G106" t="e">
        <f ca="1">BDP("88035PE8 Muni","MATURITY")</f>
        <v>#NAME?</v>
      </c>
      <c r="H106" t="e">
        <f ca="1">BDP("88035PE8 Muni","MUNI_TAX_PROV")</f>
        <v>#NAME?</v>
      </c>
      <c r="I106" t="e">
        <f ca="1">BDP("88035PE8 Muni","FINANCING_TYPE")</f>
        <v>#NAME?</v>
      </c>
      <c r="J106" t="e">
        <f ca="1">BDP("88035PE8 Muni","BICS_LEVEL_2_INDUSTRY_GROUP_NAME")</f>
        <v>#NAME?</v>
      </c>
      <c r="K106" t="e">
        <f ca="1">BDP("88035PE8 Muni","SELF_REPRTD_GREEN_INSTR_INDCTR")</f>
        <v>#NAME?</v>
      </c>
      <c r="L106" t="e">
        <f ca="1">BDP("88035PE8 Muni","GB_MANAGEMENT_PROCEEDS")</f>
        <v>#NAME?</v>
      </c>
      <c r="M106" t="e">
        <f ca="1">BDP("88035PE8 Muni","GB_REPORTING")</f>
        <v>#NAME?</v>
      </c>
      <c r="N106" t="e">
        <f ca="1">BDP("88035PE8 Muni","GB_ASSURANCE_PROVIDERS")</f>
        <v>#NAME?</v>
      </c>
      <c r="O106" t="e">
        <f ca="1">BDP("88035PE8 Muni","GB_PROJECT_SELECTION_PROCESS")</f>
        <v>#NAME?</v>
      </c>
      <c r="P106" t="e">
        <f ca="1">BDP("88035PE8 Muni","ESG_FRAMEWORK_INDICATOR")</f>
        <v>#NAME?</v>
      </c>
      <c r="Q106" t="e">
        <f ca="1">BDP("88035PE8 Muni","BLOOMBERG_SECTOR_CODE")</f>
        <v>#NAME?</v>
      </c>
      <c r="R106" t="e">
        <f ca="1">BDP("88035PE8 Muni","ISSUER_TYPE")</f>
        <v>#NAME?</v>
      </c>
      <c r="S106" t="e">
        <f ca="1">BDS("88035PE8 Muni","ESG_PROJECT_CATEGORY", "aggregate=y")</f>
        <v>#NAME?</v>
      </c>
      <c r="T106" t="e">
        <f ca="1">BDS("88035PE8 Muni","ESG_PROJECT_SUBCATEGORY", "aggregate=y")</f>
        <v>#NAME?</v>
      </c>
    </row>
    <row r="107" spans="1:20" x14ac:dyDescent="0.25">
      <c r="A107" t="e">
        <f ca="1">BDP("88035PE9 Muni","ID_CUSIP")</f>
        <v>#NAME?</v>
      </c>
      <c r="B107" t="e">
        <f ca="1">BDP("88035PE9 Muni","STATE_CODE")</f>
        <v>#NAME?</v>
      </c>
      <c r="C107" t="s">
        <v>25</v>
      </c>
      <c r="D107" t="e">
        <f ca="1">BDP("88035PE9 Muni","YIELD_ON_ISSUE_DATE")</f>
        <v>#NAME?</v>
      </c>
      <c r="E107">
        <v>3335000</v>
      </c>
      <c r="F107" t="e">
        <f ca="1">BDP("88035PE9 Muni","ISSUE_DT")</f>
        <v>#NAME?</v>
      </c>
      <c r="G107" t="e">
        <f ca="1">BDP("88035PE9 Muni","MATURITY")</f>
        <v>#NAME?</v>
      </c>
      <c r="H107" t="e">
        <f ca="1">BDP("88035PE9 Muni","MUNI_TAX_PROV")</f>
        <v>#NAME?</v>
      </c>
      <c r="I107" t="e">
        <f ca="1">BDP("88035PE9 Muni","FINANCING_TYPE")</f>
        <v>#NAME?</v>
      </c>
      <c r="J107" t="e">
        <f ca="1">BDP("88035PE9 Muni","BICS_LEVEL_2_INDUSTRY_GROUP_NAME")</f>
        <v>#NAME?</v>
      </c>
      <c r="K107" t="e">
        <f ca="1">BDP("88035PE9 Muni","SELF_REPRTD_GREEN_INSTR_INDCTR")</f>
        <v>#NAME?</v>
      </c>
      <c r="L107" t="e">
        <f ca="1">BDP("88035PE9 Muni","GB_MANAGEMENT_PROCEEDS")</f>
        <v>#NAME?</v>
      </c>
      <c r="M107" t="e">
        <f ca="1">BDP("88035PE9 Muni","GB_REPORTING")</f>
        <v>#NAME?</v>
      </c>
      <c r="N107" t="e">
        <f ca="1">BDP("88035PE9 Muni","GB_ASSURANCE_PROVIDERS")</f>
        <v>#NAME?</v>
      </c>
      <c r="O107" t="e">
        <f ca="1">BDP("88035PE9 Muni","GB_PROJECT_SELECTION_PROCESS")</f>
        <v>#NAME?</v>
      </c>
      <c r="P107" t="e">
        <f ca="1">BDP("88035PE9 Muni","ESG_FRAMEWORK_INDICATOR")</f>
        <v>#NAME?</v>
      </c>
      <c r="Q107" t="e">
        <f ca="1">BDP("88035PE9 Muni","BLOOMBERG_SECTOR_CODE")</f>
        <v>#NAME?</v>
      </c>
      <c r="R107" t="e">
        <f ca="1">BDP("88035PE9 Muni","ISSUER_TYPE")</f>
        <v>#NAME?</v>
      </c>
      <c r="S107" t="e">
        <f ca="1">BDS("88035PE9 Muni","ESG_PROJECT_CATEGORY", "aggregate=y")</f>
        <v>#NAME?</v>
      </c>
      <c r="T107" t="e">
        <f ca="1">BDS("88035PE9 Muni","ESG_PROJECT_SUBCATEGORY", "aggregate=y")</f>
        <v>#NAME?</v>
      </c>
    </row>
    <row r="108" spans="1:20" x14ac:dyDescent="0.25">
      <c r="A108" t="e">
        <f ca="1">BDP("88035PG4 Muni","ID_CUSIP")</f>
        <v>#NAME?</v>
      </c>
      <c r="B108" t="e">
        <f ca="1">BDP("88035PG4 Muni","STATE_CODE")</f>
        <v>#NAME?</v>
      </c>
      <c r="C108" t="s">
        <v>25</v>
      </c>
      <c r="D108" t="e">
        <f ca="1">BDP("88035PG4 Muni","YIELD_ON_ISSUE_DATE")</f>
        <v>#NAME?</v>
      </c>
      <c r="E108">
        <v>30270000</v>
      </c>
      <c r="F108" t="e">
        <f ca="1">BDP("88035PG4 Muni","ISSUE_DT")</f>
        <v>#NAME?</v>
      </c>
      <c r="G108" t="e">
        <f ca="1">BDP("88035PG4 Muni","MATURITY")</f>
        <v>#NAME?</v>
      </c>
      <c r="H108" t="e">
        <f ca="1">BDP("88035PG4 Muni","MUNI_TAX_PROV")</f>
        <v>#NAME?</v>
      </c>
      <c r="I108" t="e">
        <f ca="1">BDP("88035PG4 Muni","FINANCING_TYPE")</f>
        <v>#NAME?</v>
      </c>
      <c r="J108" t="e">
        <f ca="1">BDP("88035PG4 Muni","BICS_LEVEL_2_INDUSTRY_GROUP_NAME")</f>
        <v>#NAME?</v>
      </c>
      <c r="K108" t="e">
        <f ca="1">BDP("88035PG4 Muni","SELF_REPRTD_GREEN_INSTR_INDCTR")</f>
        <v>#NAME?</v>
      </c>
      <c r="L108" t="e">
        <f ca="1">BDP("88035PG4 Muni","GB_MANAGEMENT_PROCEEDS")</f>
        <v>#NAME?</v>
      </c>
      <c r="M108" t="e">
        <f ca="1">BDP("88035PG4 Muni","GB_REPORTING")</f>
        <v>#NAME?</v>
      </c>
      <c r="N108" t="e">
        <f ca="1">BDP("88035PG4 Muni","GB_ASSURANCE_PROVIDERS")</f>
        <v>#NAME?</v>
      </c>
      <c r="O108" t="e">
        <f ca="1">BDP("88035PG4 Muni","GB_PROJECT_SELECTION_PROCESS")</f>
        <v>#NAME?</v>
      </c>
      <c r="P108" t="e">
        <f ca="1">BDP("88035PG4 Muni","ESG_FRAMEWORK_INDICATOR")</f>
        <v>#NAME?</v>
      </c>
      <c r="Q108" t="e">
        <f ca="1">BDP("88035PG4 Muni","BLOOMBERG_SECTOR_CODE")</f>
        <v>#NAME?</v>
      </c>
      <c r="R108" t="e">
        <f ca="1">BDP("88035PG4 Muni","ISSUER_TYPE")</f>
        <v>#NAME?</v>
      </c>
      <c r="S108" t="e">
        <f ca="1">BDS("88035PG4 Muni","ESG_PROJECT_CATEGORY", "aggregate=y")</f>
        <v>#NAME?</v>
      </c>
      <c r="T108" t="e">
        <f ca="1">BDS("88035PG4 Muni","ESG_PROJECT_SUBCATEGORY", "aggregate=y")</f>
        <v>#NAME?</v>
      </c>
    </row>
    <row r="109" spans="1:20" x14ac:dyDescent="0.25">
      <c r="A109" t="e">
        <f ca="1">BDP("88035PG5 Muni","ID_CUSIP")</f>
        <v>#NAME?</v>
      </c>
      <c r="B109" t="e">
        <f ca="1">BDP("88035PG5 Muni","STATE_CODE")</f>
        <v>#NAME?</v>
      </c>
      <c r="C109" t="s">
        <v>25</v>
      </c>
      <c r="D109" t="e">
        <f ca="1">BDP("88035PG5 Muni","YIELD_ON_ISSUE_DATE")</f>
        <v>#NAME?</v>
      </c>
      <c r="E109">
        <v>7565000</v>
      </c>
      <c r="F109" t="e">
        <f ca="1">BDP("88035PG5 Muni","ISSUE_DT")</f>
        <v>#NAME?</v>
      </c>
      <c r="G109" t="e">
        <f ca="1">BDP("88035PG5 Muni","MATURITY")</f>
        <v>#NAME?</v>
      </c>
      <c r="H109" t="e">
        <f ca="1">BDP("88035PG5 Muni","MUNI_TAX_PROV")</f>
        <v>#NAME?</v>
      </c>
      <c r="I109" t="e">
        <f ca="1">BDP("88035PG5 Muni","FINANCING_TYPE")</f>
        <v>#NAME?</v>
      </c>
      <c r="J109" t="e">
        <f ca="1">BDP("88035PG5 Muni","BICS_LEVEL_2_INDUSTRY_GROUP_NAME")</f>
        <v>#NAME?</v>
      </c>
      <c r="K109" t="e">
        <f ca="1">BDP("88035PG5 Muni","SELF_REPRTD_GREEN_INSTR_INDCTR")</f>
        <v>#NAME?</v>
      </c>
      <c r="L109" t="e">
        <f ca="1">BDP("88035PG5 Muni","GB_MANAGEMENT_PROCEEDS")</f>
        <v>#NAME?</v>
      </c>
      <c r="M109" t="e">
        <f ca="1">BDP("88035PG5 Muni","GB_REPORTING")</f>
        <v>#NAME?</v>
      </c>
      <c r="N109" t="e">
        <f ca="1">BDP("88035PG5 Muni","GB_ASSURANCE_PROVIDERS")</f>
        <v>#NAME?</v>
      </c>
      <c r="O109" t="e">
        <f ca="1">BDP("88035PG5 Muni","GB_PROJECT_SELECTION_PROCESS")</f>
        <v>#NAME?</v>
      </c>
      <c r="P109" t="e">
        <f ca="1">BDP("88035PG5 Muni","ESG_FRAMEWORK_INDICATOR")</f>
        <v>#NAME?</v>
      </c>
      <c r="Q109" t="e">
        <f ca="1">BDP("88035PG5 Muni","BLOOMBERG_SECTOR_CODE")</f>
        <v>#NAME?</v>
      </c>
      <c r="R109" t="e">
        <f ca="1">BDP("88035PG5 Muni","ISSUER_TYPE")</f>
        <v>#NAME?</v>
      </c>
      <c r="S109" t="e">
        <f ca="1">BDS("88035PG5 Muni","ESG_PROJECT_CATEGORY", "aggregate=y")</f>
        <v>#NAME?</v>
      </c>
      <c r="T109" t="e">
        <f ca="1">BDS("88035PG5 Muni","ESG_PROJECT_SUBCATEGORY", "aggregate=y")</f>
        <v>#NAME?</v>
      </c>
    </row>
    <row r="110" spans="1:20" x14ac:dyDescent="0.25">
      <c r="A110" t="e">
        <f ca="1">BDP("88035PG6 Muni","ID_CUSIP")</f>
        <v>#NAME?</v>
      </c>
      <c r="B110" t="e">
        <f ca="1">BDP("88035PG6 Muni","STATE_CODE")</f>
        <v>#NAME?</v>
      </c>
      <c r="C110" t="s">
        <v>25</v>
      </c>
      <c r="D110" t="e">
        <f ca="1">BDP("88035PG6 Muni","YIELD_ON_ISSUE_DATE")</f>
        <v>#NAME?</v>
      </c>
      <c r="E110">
        <v>37835000</v>
      </c>
      <c r="F110" t="e">
        <f ca="1">BDP("88035PG6 Muni","ISSUE_DT")</f>
        <v>#NAME?</v>
      </c>
      <c r="G110" t="e">
        <f ca="1">BDP("88035PG6 Muni","MATURITY")</f>
        <v>#NAME?</v>
      </c>
      <c r="H110" t="e">
        <f ca="1">BDP("88035PG6 Muni","MUNI_TAX_PROV")</f>
        <v>#NAME?</v>
      </c>
      <c r="I110" t="e">
        <f ca="1">BDP("88035PG6 Muni","FINANCING_TYPE")</f>
        <v>#NAME?</v>
      </c>
      <c r="J110" t="e">
        <f ca="1">BDP("88035PG6 Muni","BICS_LEVEL_2_INDUSTRY_GROUP_NAME")</f>
        <v>#NAME?</v>
      </c>
      <c r="K110" t="e">
        <f ca="1">BDP("88035PG6 Muni","SELF_REPRTD_GREEN_INSTR_INDCTR")</f>
        <v>#NAME?</v>
      </c>
      <c r="L110" t="e">
        <f ca="1">BDP("88035PG6 Muni","GB_MANAGEMENT_PROCEEDS")</f>
        <v>#NAME?</v>
      </c>
      <c r="M110" t="e">
        <f ca="1">BDP("88035PG6 Muni","GB_REPORTING")</f>
        <v>#NAME?</v>
      </c>
      <c r="N110" t="e">
        <f ca="1">BDP("88035PG6 Muni","GB_ASSURANCE_PROVIDERS")</f>
        <v>#NAME?</v>
      </c>
      <c r="O110" t="e">
        <f ca="1">BDP("88035PG6 Muni","GB_PROJECT_SELECTION_PROCESS")</f>
        <v>#NAME?</v>
      </c>
      <c r="P110" t="e">
        <f ca="1">BDP("88035PG6 Muni","ESG_FRAMEWORK_INDICATOR")</f>
        <v>#NAME?</v>
      </c>
      <c r="Q110" t="e">
        <f ca="1">BDP("88035PG6 Muni","BLOOMBERG_SECTOR_CODE")</f>
        <v>#NAME?</v>
      </c>
      <c r="R110" t="e">
        <f ca="1">BDP("88035PG6 Muni","ISSUER_TYPE")</f>
        <v>#NAME?</v>
      </c>
      <c r="S110" t="e">
        <f ca="1">BDS("88035PG6 Muni","ESG_PROJECT_CATEGORY", "aggregate=y")</f>
        <v>#NAME?</v>
      </c>
      <c r="T110" t="e">
        <f ca="1">BDS("88035PG6 Muni","ESG_PROJECT_SUBCATEGORY", "aggregate=y")</f>
        <v>#NAME?</v>
      </c>
    </row>
    <row r="111" spans="1:20" x14ac:dyDescent="0.25">
      <c r="A111" t="e">
        <f ca="1">BDP("88035PG7 Muni","ID_CUSIP")</f>
        <v>#NAME?</v>
      </c>
      <c r="B111" t="e">
        <f ca="1">BDP("88035PG7 Muni","STATE_CODE")</f>
        <v>#NAME?</v>
      </c>
      <c r="C111" t="s">
        <v>25</v>
      </c>
      <c r="D111" t="e">
        <f ca="1">BDP("88035PG7 Muni","YIELD_ON_ISSUE_DATE")</f>
        <v>#NAME?</v>
      </c>
      <c r="E111">
        <v>8000000</v>
      </c>
      <c r="F111" t="e">
        <f ca="1">BDP("88035PG7 Muni","ISSUE_DT")</f>
        <v>#NAME?</v>
      </c>
      <c r="G111" t="e">
        <f ca="1">BDP("88035PG7 Muni","MATURITY")</f>
        <v>#NAME?</v>
      </c>
      <c r="H111" t="e">
        <f ca="1">BDP("88035PG7 Muni","MUNI_TAX_PROV")</f>
        <v>#NAME?</v>
      </c>
      <c r="I111" t="e">
        <f ca="1">BDP("88035PG7 Muni","FINANCING_TYPE")</f>
        <v>#NAME?</v>
      </c>
      <c r="J111" t="e">
        <f ca="1">BDP("88035PG7 Muni","BICS_LEVEL_2_INDUSTRY_GROUP_NAME")</f>
        <v>#NAME?</v>
      </c>
      <c r="K111" t="e">
        <f ca="1">BDP("88035PG7 Muni","SELF_REPRTD_GREEN_INSTR_INDCTR")</f>
        <v>#NAME?</v>
      </c>
      <c r="L111" t="e">
        <f ca="1">BDP("88035PG7 Muni","GB_MANAGEMENT_PROCEEDS")</f>
        <v>#NAME?</v>
      </c>
      <c r="M111" t="e">
        <f ca="1">BDP("88035PG7 Muni","GB_REPORTING")</f>
        <v>#NAME?</v>
      </c>
      <c r="N111" t="e">
        <f ca="1">BDP("88035PG7 Muni","GB_ASSURANCE_PROVIDERS")</f>
        <v>#NAME?</v>
      </c>
      <c r="O111" t="e">
        <f ca="1">BDP("88035PG7 Muni","GB_PROJECT_SELECTION_PROCESS")</f>
        <v>#NAME?</v>
      </c>
      <c r="P111" t="e">
        <f ca="1">BDP("88035PG7 Muni","ESG_FRAMEWORK_INDICATOR")</f>
        <v>#NAME?</v>
      </c>
      <c r="Q111" t="e">
        <f ca="1">BDP("88035PG7 Muni","BLOOMBERG_SECTOR_CODE")</f>
        <v>#NAME?</v>
      </c>
      <c r="R111" t="e">
        <f ca="1">BDP("88035PG7 Muni","ISSUER_TYPE")</f>
        <v>#NAME?</v>
      </c>
      <c r="S111" t="e">
        <f ca="1">BDS("88035PG7 Muni","ESG_PROJECT_CATEGORY", "aggregate=y")</f>
        <v>#NAME?</v>
      </c>
      <c r="T111" t="e">
        <f ca="1">BDS("88035PG7 Muni","ESG_PROJECT_SUBCATEGORY", "aggregate=y")</f>
        <v>#NAME?</v>
      </c>
    </row>
    <row r="112" spans="1:20" x14ac:dyDescent="0.25">
      <c r="A112" t="e">
        <f ca="1">BDP("88035PG8 Muni","ID_CUSIP")</f>
        <v>#NAME?</v>
      </c>
      <c r="B112" t="e">
        <f ca="1">BDP("88035PG8 Muni","STATE_CODE")</f>
        <v>#NAME?</v>
      </c>
      <c r="C112" t="s">
        <v>25</v>
      </c>
      <c r="D112" t="e">
        <f ca="1">BDP("88035PG8 Muni","YIELD_ON_ISSUE_DATE")</f>
        <v>#NAME?</v>
      </c>
      <c r="E112">
        <v>2000000</v>
      </c>
      <c r="F112" t="e">
        <f ca="1">BDP("88035PG8 Muni","ISSUE_DT")</f>
        <v>#NAME?</v>
      </c>
      <c r="G112" t="e">
        <f ca="1">BDP("88035PG8 Muni","MATURITY")</f>
        <v>#NAME?</v>
      </c>
      <c r="H112" t="e">
        <f ca="1">BDP("88035PG8 Muni","MUNI_TAX_PROV")</f>
        <v>#NAME?</v>
      </c>
      <c r="I112" t="e">
        <f ca="1">BDP("88035PG8 Muni","FINANCING_TYPE")</f>
        <v>#NAME?</v>
      </c>
      <c r="J112" t="e">
        <f ca="1">BDP("88035PG8 Muni","BICS_LEVEL_2_INDUSTRY_GROUP_NAME")</f>
        <v>#NAME?</v>
      </c>
      <c r="K112" t="e">
        <f ca="1">BDP("88035PG8 Muni","SELF_REPRTD_GREEN_INSTR_INDCTR")</f>
        <v>#NAME?</v>
      </c>
      <c r="L112" t="e">
        <f ca="1">BDP("88035PG8 Muni","GB_MANAGEMENT_PROCEEDS")</f>
        <v>#NAME?</v>
      </c>
      <c r="M112" t="e">
        <f ca="1">BDP("88035PG8 Muni","GB_REPORTING")</f>
        <v>#NAME?</v>
      </c>
      <c r="N112" t="e">
        <f ca="1">BDP("88035PG8 Muni","GB_ASSURANCE_PROVIDERS")</f>
        <v>#NAME?</v>
      </c>
      <c r="O112" t="e">
        <f ca="1">BDP("88035PG8 Muni","GB_PROJECT_SELECTION_PROCESS")</f>
        <v>#NAME?</v>
      </c>
      <c r="P112" t="e">
        <f ca="1">BDP("88035PG8 Muni","ESG_FRAMEWORK_INDICATOR")</f>
        <v>#NAME?</v>
      </c>
      <c r="Q112" t="e">
        <f ca="1">BDP("88035PG8 Muni","BLOOMBERG_SECTOR_CODE")</f>
        <v>#NAME?</v>
      </c>
      <c r="R112" t="e">
        <f ca="1">BDP("88035PG8 Muni","ISSUER_TYPE")</f>
        <v>#NAME?</v>
      </c>
      <c r="S112" t="e">
        <f ca="1">BDS("88035PG8 Muni","ESG_PROJECT_CATEGORY", "aggregate=y")</f>
        <v>#NAME?</v>
      </c>
      <c r="T112" t="e">
        <f ca="1">BDS("88035PG8 Muni","ESG_PROJECT_SUBCATEGORY", "aggregate=y")</f>
        <v>#NAME?</v>
      </c>
    </row>
    <row r="113" spans="1:20" x14ac:dyDescent="0.25">
      <c r="A113" t="e">
        <f ca="1">BDP("88035PG9 Muni","ID_CUSIP")</f>
        <v>#NAME?</v>
      </c>
      <c r="B113" t="e">
        <f ca="1">BDP("88035PG9 Muni","STATE_CODE")</f>
        <v>#NAME?</v>
      </c>
      <c r="C113" t="s">
        <v>25</v>
      </c>
      <c r="D113" t="e">
        <f ca="1">BDP("88035PG9 Muni","YIELD_ON_ISSUE_DATE")</f>
        <v>#NAME?</v>
      </c>
      <c r="E113">
        <v>10000000</v>
      </c>
      <c r="F113" t="e">
        <f ca="1">BDP("88035PG9 Muni","ISSUE_DT")</f>
        <v>#NAME?</v>
      </c>
      <c r="G113" t="e">
        <f ca="1">BDP("88035PG9 Muni","MATURITY")</f>
        <v>#NAME?</v>
      </c>
      <c r="H113" t="e">
        <f ca="1">BDP("88035PG9 Muni","MUNI_TAX_PROV")</f>
        <v>#NAME?</v>
      </c>
      <c r="I113" t="e">
        <f ca="1">BDP("88035PG9 Muni","FINANCING_TYPE")</f>
        <v>#NAME?</v>
      </c>
      <c r="J113" t="e">
        <f ca="1">BDP("88035PG9 Muni","BICS_LEVEL_2_INDUSTRY_GROUP_NAME")</f>
        <v>#NAME?</v>
      </c>
      <c r="K113" t="e">
        <f ca="1">BDP("88035PG9 Muni","SELF_REPRTD_GREEN_INSTR_INDCTR")</f>
        <v>#NAME?</v>
      </c>
      <c r="L113" t="e">
        <f ca="1">BDP("88035PG9 Muni","GB_MANAGEMENT_PROCEEDS")</f>
        <v>#NAME?</v>
      </c>
      <c r="M113" t="e">
        <f ca="1">BDP("88035PG9 Muni","GB_REPORTING")</f>
        <v>#NAME?</v>
      </c>
      <c r="N113" t="e">
        <f ca="1">BDP("88035PG9 Muni","GB_ASSURANCE_PROVIDERS")</f>
        <v>#NAME?</v>
      </c>
      <c r="O113" t="e">
        <f ca="1">BDP("88035PG9 Muni","GB_PROJECT_SELECTION_PROCESS")</f>
        <v>#NAME?</v>
      </c>
      <c r="P113" t="e">
        <f ca="1">BDP("88035PG9 Muni","ESG_FRAMEWORK_INDICATOR")</f>
        <v>#NAME?</v>
      </c>
      <c r="Q113" t="e">
        <f ca="1">BDP("88035PG9 Muni","BLOOMBERG_SECTOR_CODE")</f>
        <v>#NAME?</v>
      </c>
      <c r="R113" t="e">
        <f ca="1">BDP("88035PG9 Muni","ISSUER_TYPE")</f>
        <v>#NAME?</v>
      </c>
      <c r="S113" t="e">
        <f ca="1">BDS("88035PG9 Muni","ESG_PROJECT_CATEGORY", "aggregate=y")</f>
        <v>#NAME?</v>
      </c>
      <c r="T113" t="e">
        <f ca="1">BDS("88035PG9 Muni","ESG_PROJECT_SUBCATEGORY", "aggregate=y")</f>
        <v>#NAME?</v>
      </c>
    </row>
    <row r="114" spans="1:20" x14ac:dyDescent="0.25">
      <c r="A114" t="e">
        <f ca="1">BDP("88035PGW Muni","ID_CUSIP")</f>
        <v>#NAME?</v>
      </c>
      <c r="B114" t="e">
        <f ca="1">BDP("88035PGW Muni","STATE_CODE")</f>
        <v>#NAME?</v>
      </c>
      <c r="C114" t="s">
        <v>25</v>
      </c>
      <c r="D114" t="e">
        <f ca="1">BDP("88035PGW Muni","YIELD_ON_ISSUE_DATE")</f>
        <v>#NAME?</v>
      </c>
      <c r="E114">
        <v>6830000</v>
      </c>
      <c r="F114" t="e">
        <f ca="1">BDP("88035PGW Muni","ISSUE_DT")</f>
        <v>#NAME?</v>
      </c>
      <c r="G114" t="e">
        <f ca="1">BDP("88035PGW Muni","MATURITY")</f>
        <v>#NAME?</v>
      </c>
      <c r="H114" t="e">
        <f ca="1">BDP("88035PGW Muni","MUNI_TAX_PROV")</f>
        <v>#NAME?</v>
      </c>
      <c r="I114" t="e">
        <f ca="1">BDP("88035PGW Muni","FINANCING_TYPE")</f>
        <v>#NAME?</v>
      </c>
      <c r="J114" t="e">
        <f ca="1">BDP("88035PGW Muni","BICS_LEVEL_2_INDUSTRY_GROUP_NAME")</f>
        <v>#NAME?</v>
      </c>
      <c r="K114" t="e">
        <f ca="1">BDP("88035PGW Muni","SELF_REPRTD_GREEN_INSTR_INDCTR")</f>
        <v>#NAME?</v>
      </c>
      <c r="L114" t="e">
        <f ca="1">BDP("88035PGW Muni","GB_MANAGEMENT_PROCEEDS")</f>
        <v>#NAME?</v>
      </c>
      <c r="M114" t="e">
        <f ca="1">BDP("88035PGW Muni","GB_REPORTING")</f>
        <v>#NAME?</v>
      </c>
      <c r="N114" t="e">
        <f ca="1">BDP("88035PGW Muni","GB_ASSURANCE_PROVIDERS")</f>
        <v>#NAME?</v>
      </c>
      <c r="O114" t="e">
        <f ca="1">BDP("88035PGW Muni","GB_PROJECT_SELECTION_PROCESS")</f>
        <v>#NAME?</v>
      </c>
      <c r="P114" t="e">
        <f ca="1">BDP("88035PGW Muni","ESG_FRAMEWORK_INDICATOR")</f>
        <v>#NAME?</v>
      </c>
      <c r="Q114" t="e">
        <f ca="1">BDP("88035PGW Muni","BLOOMBERG_SECTOR_CODE")</f>
        <v>#NAME?</v>
      </c>
      <c r="R114" t="e">
        <f ca="1">BDP("88035PGW Muni","ISSUER_TYPE")</f>
        <v>#NAME?</v>
      </c>
      <c r="S114" t="e">
        <f ca="1">BDS("88035PGW Muni","ESG_PROJECT_CATEGORY", "aggregate=y")</f>
        <v>#NAME?</v>
      </c>
      <c r="T114" t="e">
        <f ca="1">BDS("88035PGW Muni","ESG_PROJECT_SUBCATEGORY", "aggregate=y")</f>
        <v>#NAME?</v>
      </c>
    </row>
    <row r="115" spans="1:20" x14ac:dyDescent="0.25">
      <c r="A115" t="e">
        <f ca="1">BDP("88035PHN Muni","ID_CUSIP")</f>
        <v>#NAME?</v>
      </c>
      <c r="B115" t="e">
        <f ca="1">BDP("88035PHN Muni","STATE_CODE")</f>
        <v>#NAME?</v>
      </c>
      <c r="C115" t="s">
        <v>25</v>
      </c>
      <c r="D115" t="e">
        <f ca="1">BDP("88035PHN Muni","YIELD_ON_ISSUE_DATE")</f>
        <v>#NAME?</v>
      </c>
      <c r="E115">
        <v>10500000</v>
      </c>
      <c r="F115" t="e">
        <f ca="1">BDP("88035PHN Muni","ISSUE_DT")</f>
        <v>#NAME?</v>
      </c>
      <c r="G115" t="e">
        <f ca="1">BDP("88035PHN Muni","MATURITY")</f>
        <v>#NAME?</v>
      </c>
      <c r="H115" t="e">
        <f ca="1">BDP("88035PHN Muni","MUNI_TAX_PROV")</f>
        <v>#NAME?</v>
      </c>
      <c r="I115" t="e">
        <f ca="1">BDP("88035PHN Muni","FINANCING_TYPE")</f>
        <v>#NAME?</v>
      </c>
      <c r="J115" t="e">
        <f ca="1">BDP("88035PHN Muni","BICS_LEVEL_2_INDUSTRY_GROUP_NAME")</f>
        <v>#NAME?</v>
      </c>
      <c r="K115" t="e">
        <f ca="1">BDP("88035PHN Muni","SELF_REPRTD_GREEN_INSTR_INDCTR")</f>
        <v>#NAME?</v>
      </c>
      <c r="L115" t="e">
        <f ca="1">BDP("88035PHN Muni","GB_MANAGEMENT_PROCEEDS")</f>
        <v>#NAME?</v>
      </c>
      <c r="M115" t="e">
        <f ca="1">BDP("88035PHN Muni","GB_REPORTING")</f>
        <v>#NAME?</v>
      </c>
      <c r="N115" t="e">
        <f ca="1">BDP("88035PHN Muni","GB_ASSURANCE_PROVIDERS")</f>
        <v>#NAME?</v>
      </c>
      <c r="O115" t="e">
        <f ca="1">BDP("88035PHN Muni","GB_PROJECT_SELECTION_PROCESS")</f>
        <v>#NAME?</v>
      </c>
      <c r="P115" t="e">
        <f ca="1">BDP("88035PHN Muni","ESG_FRAMEWORK_INDICATOR")</f>
        <v>#NAME?</v>
      </c>
      <c r="Q115" t="e">
        <f ca="1">BDP("88035PHN Muni","BLOOMBERG_SECTOR_CODE")</f>
        <v>#NAME?</v>
      </c>
      <c r="R115" t="e">
        <f ca="1">BDP("88035PHN Muni","ISSUER_TYPE")</f>
        <v>#NAME?</v>
      </c>
      <c r="S115" t="e">
        <f ca="1">BDS("88035PHN Muni","ESG_PROJECT_CATEGORY", "aggregate=y")</f>
        <v>#NAME?</v>
      </c>
      <c r="T115" t="e">
        <f ca="1">BDS("88035PHN Muni","ESG_PROJECT_SUBCATEGORY", "aggregate=y")</f>
        <v>#NAME?</v>
      </c>
    </row>
    <row r="116" spans="1:20" x14ac:dyDescent="0.25">
      <c r="A116" t="e">
        <f ca="1">BDP("88035PHP Muni","ID_CUSIP")</f>
        <v>#NAME?</v>
      </c>
      <c r="B116" t="e">
        <f ca="1">BDP("88035PHP Muni","STATE_CODE")</f>
        <v>#NAME?</v>
      </c>
      <c r="C116" t="s">
        <v>25</v>
      </c>
      <c r="D116" t="e">
        <f ca="1">BDP("88035PHP Muni","YIELD_ON_ISSUE_DATE")</f>
        <v>#NAME?</v>
      </c>
      <c r="E116">
        <v>3500000</v>
      </c>
      <c r="F116" t="e">
        <f ca="1">BDP("88035PHP Muni","ISSUE_DT")</f>
        <v>#NAME?</v>
      </c>
      <c r="G116" t="e">
        <f ca="1">BDP("88035PHP Muni","MATURITY")</f>
        <v>#NAME?</v>
      </c>
      <c r="H116" t="e">
        <f ca="1">BDP("88035PHP Muni","MUNI_TAX_PROV")</f>
        <v>#NAME?</v>
      </c>
      <c r="I116" t="e">
        <f ca="1">BDP("88035PHP Muni","FINANCING_TYPE")</f>
        <v>#NAME?</v>
      </c>
      <c r="J116" t="e">
        <f ca="1">BDP("88035PHP Muni","BICS_LEVEL_2_INDUSTRY_GROUP_NAME")</f>
        <v>#NAME?</v>
      </c>
      <c r="K116" t="e">
        <f ca="1">BDP("88035PHP Muni","SELF_REPRTD_GREEN_INSTR_INDCTR")</f>
        <v>#NAME?</v>
      </c>
      <c r="L116" t="e">
        <f ca="1">BDP("88035PHP Muni","GB_MANAGEMENT_PROCEEDS")</f>
        <v>#NAME?</v>
      </c>
      <c r="M116" t="e">
        <f ca="1">BDP("88035PHP Muni","GB_REPORTING")</f>
        <v>#NAME?</v>
      </c>
      <c r="N116" t="e">
        <f ca="1">BDP("88035PHP Muni","GB_ASSURANCE_PROVIDERS")</f>
        <v>#NAME?</v>
      </c>
      <c r="O116" t="e">
        <f ca="1">BDP("88035PHP Muni","GB_PROJECT_SELECTION_PROCESS")</f>
        <v>#NAME?</v>
      </c>
      <c r="P116" t="e">
        <f ca="1">BDP("88035PHP Muni","ESG_FRAMEWORK_INDICATOR")</f>
        <v>#NAME?</v>
      </c>
      <c r="Q116" t="e">
        <f ca="1">BDP("88035PHP Muni","BLOOMBERG_SECTOR_CODE")</f>
        <v>#NAME?</v>
      </c>
      <c r="R116" t="e">
        <f ca="1">BDP("88035PHP Muni","ISSUER_TYPE")</f>
        <v>#NAME?</v>
      </c>
      <c r="S116" t="e">
        <f ca="1">BDS("88035PHP Muni","ESG_PROJECT_CATEGORY", "aggregate=y")</f>
        <v>#NAME?</v>
      </c>
      <c r="T116" t="e">
        <f ca="1">BDS("88035PHP Muni","ESG_PROJECT_SUBCATEGORY", "aggregate=y")</f>
        <v>#NAME?</v>
      </c>
    </row>
    <row r="117" spans="1:20" x14ac:dyDescent="0.25">
      <c r="A117" t="e">
        <f ca="1">BDP("88035PHR Muni","ID_CUSIP")</f>
        <v>#NAME?</v>
      </c>
      <c r="B117" t="e">
        <f ca="1">BDP("88035PHR Muni","STATE_CODE")</f>
        <v>#NAME?</v>
      </c>
      <c r="C117" t="s">
        <v>25</v>
      </c>
      <c r="D117" t="e">
        <f ca="1">BDP("88035PHR Muni","YIELD_ON_ISSUE_DATE")</f>
        <v>#NAME?</v>
      </c>
      <c r="E117">
        <v>10385000</v>
      </c>
      <c r="F117" t="e">
        <f ca="1">BDP("88035PHR Muni","ISSUE_DT")</f>
        <v>#NAME?</v>
      </c>
      <c r="G117" t="e">
        <f ca="1">BDP("88035PHR Muni","MATURITY")</f>
        <v>#NAME?</v>
      </c>
      <c r="H117" t="e">
        <f ca="1">BDP("88035PHR Muni","MUNI_TAX_PROV")</f>
        <v>#NAME?</v>
      </c>
      <c r="I117" t="e">
        <f ca="1">BDP("88035PHR Muni","FINANCING_TYPE")</f>
        <v>#NAME?</v>
      </c>
      <c r="J117" t="e">
        <f ca="1">BDP("88035PHR Muni","BICS_LEVEL_2_INDUSTRY_GROUP_NAME")</f>
        <v>#NAME?</v>
      </c>
      <c r="K117" t="e">
        <f ca="1">BDP("88035PHR Muni","SELF_REPRTD_GREEN_INSTR_INDCTR")</f>
        <v>#NAME?</v>
      </c>
      <c r="L117" t="e">
        <f ca="1">BDP("88035PHR Muni","GB_MANAGEMENT_PROCEEDS")</f>
        <v>#NAME?</v>
      </c>
      <c r="M117" t="e">
        <f ca="1">BDP("88035PHR Muni","GB_REPORTING")</f>
        <v>#NAME?</v>
      </c>
      <c r="N117" t="e">
        <f ca="1">BDP("88035PHR Muni","GB_ASSURANCE_PROVIDERS")</f>
        <v>#NAME?</v>
      </c>
      <c r="O117" t="e">
        <f ca="1">BDP("88035PHR Muni","GB_PROJECT_SELECTION_PROCESS")</f>
        <v>#NAME?</v>
      </c>
      <c r="P117" t="e">
        <f ca="1">BDP("88035PHR Muni","ESG_FRAMEWORK_INDICATOR")</f>
        <v>#NAME?</v>
      </c>
      <c r="Q117" t="e">
        <f ca="1">BDP("88035PHR Muni","BLOOMBERG_SECTOR_CODE")</f>
        <v>#NAME?</v>
      </c>
      <c r="R117" t="e">
        <f ca="1">BDP("88035PHR Muni","ISSUER_TYPE")</f>
        <v>#NAME?</v>
      </c>
      <c r="S117" t="e">
        <f ca="1">BDS("88035PHR Muni","ESG_PROJECT_CATEGORY", "aggregate=y")</f>
        <v>#NAME?</v>
      </c>
      <c r="T117" t="e">
        <f ca="1">BDS("88035PHR Muni","ESG_PROJECT_SUBCATEGORY", "aggregate=y")</f>
        <v>#NAME?</v>
      </c>
    </row>
    <row r="118" spans="1:20" x14ac:dyDescent="0.25">
      <c r="A118" t="e">
        <f ca="1">BDP("88035PHS Muni","ID_CUSIP")</f>
        <v>#NAME?</v>
      </c>
      <c r="B118" t="e">
        <f ca="1">BDP("88035PHS Muni","STATE_CODE")</f>
        <v>#NAME?</v>
      </c>
      <c r="C118" t="s">
        <v>25</v>
      </c>
      <c r="D118" t="e">
        <f ca="1">BDP("88035PHS Muni","YIELD_ON_ISSUE_DATE")</f>
        <v>#NAME?</v>
      </c>
      <c r="E118">
        <v>3465000</v>
      </c>
      <c r="F118" t="e">
        <f ca="1">BDP("88035PHS Muni","ISSUE_DT")</f>
        <v>#NAME?</v>
      </c>
      <c r="G118" t="e">
        <f ca="1">BDP("88035PHS Muni","MATURITY")</f>
        <v>#NAME?</v>
      </c>
      <c r="H118" t="e">
        <f ca="1">BDP("88035PHS Muni","MUNI_TAX_PROV")</f>
        <v>#NAME?</v>
      </c>
      <c r="I118" t="e">
        <f ca="1">BDP("88035PHS Muni","FINANCING_TYPE")</f>
        <v>#NAME?</v>
      </c>
      <c r="J118" t="e">
        <f ca="1">BDP("88035PHS Muni","BICS_LEVEL_2_INDUSTRY_GROUP_NAME")</f>
        <v>#NAME?</v>
      </c>
      <c r="K118" t="e">
        <f ca="1">BDP("88035PHS Muni","SELF_REPRTD_GREEN_INSTR_INDCTR")</f>
        <v>#NAME?</v>
      </c>
      <c r="L118" t="e">
        <f ca="1">BDP("88035PHS Muni","GB_MANAGEMENT_PROCEEDS")</f>
        <v>#NAME?</v>
      </c>
      <c r="M118" t="e">
        <f ca="1">BDP("88035PHS Muni","GB_REPORTING")</f>
        <v>#NAME?</v>
      </c>
      <c r="N118" t="e">
        <f ca="1">BDP("88035PHS Muni","GB_ASSURANCE_PROVIDERS")</f>
        <v>#NAME?</v>
      </c>
      <c r="O118" t="e">
        <f ca="1">BDP("88035PHS Muni","GB_PROJECT_SELECTION_PROCESS")</f>
        <v>#NAME?</v>
      </c>
      <c r="P118" t="e">
        <f ca="1">BDP("88035PHS Muni","ESG_FRAMEWORK_INDICATOR")</f>
        <v>#NAME?</v>
      </c>
      <c r="Q118" t="e">
        <f ca="1">BDP("88035PHS Muni","BLOOMBERG_SECTOR_CODE")</f>
        <v>#NAME?</v>
      </c>
      <c r="R118" t="e">
        <f ca="1">BDP("88035PHS Muni","ISSUER_TYPE")</f>
        <v>#NAME?</v>
      </c>
      <c r="S118" t="e">
        <f ca="1">BDS("88035PHS Muni","ESG_PROJECT_CATEGORY", "aggregate=y")</f>
        <v>#NAME?</v>
      </c>
      <c r="T118" t="e">
        <f ca="1">BDS("88035PHS Muni","ESG_PROJECT_SUBCATEGORY", "aggregate=y")</f>
        <v>#NAME?</v>
      </c>
    </row>
    <row r="119" spans="1:20" x14ac:dyDescent="0.25">
      <c r="A119" t="e">
        <f ca="1">BDP("88035PMR Muni","ID_CUSIP")</f>
        <v>#NAME?</v>
      </c>
      <c r="B119" t="e">
        <f ca="1">BDP("88035PMR Muni","STATE_CODE")</f>
        <v>#NAME?</v>
      </c>
      <c r="C119" t="s">
        <v>25</v>
      </c>
      <c r="D119" t="e">
        <f ca="1">BDP("88035PMR Muni","YIELD_ON_ISSUE_DATE")</f>
        <v>#NAME?</v>
      </c>
      <c r="E119">
        <v>2000000</v>
      </c>
      <c r="F119" t="e">
        <f ca="1">BDP("88035PMR Muni","ISSUE_DT")</f>
        <v>#NAME?</v>
      </c>
      <c r="G119" t="e">
        <f ca="1">BDP("88035PMR Muni","MATURITY")</f>
        <v>#NAME?</v>
      </c>
      <c r="H119" t="e">
        <f ca="1">BDP("88035PMR Muni","MUNI_TAX_PROV")</f>
        <v>#NAME?</v>
      </c>
      <c r="I119" t="e">
        <f ca="1">BDP("88035PMR Muni","FINANCING_TYPE")</f>
        <v>#NAME?</v>
      </c>
      <c r="J119" t="e">
        <f ca="1">BDP("88035PMR Muni","BICS_LEVEL_2_INDUSTRY_GROUP_NAME")</f>
        <v>#NAME?</v>
      </c>
      <c r="K119" t="e">
        <f ca="1">BDP("88035PMR Muni","SELF_REPRTD_GREEN_INSTR_INDCTR")</f>
        <v>#NAME?</v>
      </c>
      <c r="L119" t="e">
        <f ca="1">BDP("88035PMR Muni","GB_MANAGEMENT_PROCEEDS")</f>
        <v>#NAME?</v>
      </c>
      <c r="M119" t="e">
        <f ca="1">BDP("88035PMR Muni","GB_REPORTING")</f>
        <v>#NAME?</v>
      </c>
      <c r="N119" t="e">
        <f ca="1">BDP("88035PMR Muni","GB_ASSURANCE_PROVIDERS")</f>
        <v>#NAME?</v>
      </c>
      <c r="O119" t="e">
        <f ca="1">BDP("88035PMR Muni","GB_PROJECT_SELECTION_PROCESS")</f>
        <v>#NAME?</v>
      </c>
      <c r="P119" t="e">
        <f ca="1">BDP("88035PMR Muni","ESG_FRAMEWORK_INDICATOR")</f>
        <v>#NAME?</v>
      </c>
      <c r="Q119" t="e">
        <f ca="1">BDP("88035PMR Muni","BLOOMBERG_SECTOR_CODE")</f>
        <v>#NAME?</v>
      </c>
      <c r="R119" t="e">
        <f ca="1">BDP("88035PMR Muni","ISSUER_TYPE")</f>
        <v>#NAME?</v>
      </c>
      <c r="S119" t="e">
        <f ca="1">BDS("88035PMR Muni","ESG_PROJECT_CATEGORY", "aggregate=y")</f>
        <v>#NAME?</v>
      </c>
      <c r="T119" t="e">
        <f ca="1">BDS("88035PMR Muni","ESG_PROJECT_SUBCATEGORY", "aggregate=y")</f>
        <v>#NAME?</v>
      </c>
    </row>
    <row r="120" spans="1:20" x14ac:dyDescent="0.25">
      <c r="A120" t="e">
        <f ca="1">BDP("88035PQS Muni","ID_CUSIP")</f>
        <v>#NAME?</v>
      </c>
      <c r="B120" t="e">
        <f ca="1">BDP("88035PQS Muni","STATE_CODE")</f>
        <v>#NAME?</v>
      </c>
      <c r="C120" t="s">
        <v>25</v>
      </c>
      <c r="D120" t="e">
        <f ca="1">BDP("88035PQS Muni","YIELD_ON_ISSUE_DATE")</f>
        <v>#NAME?</v>
      </c>
      <c r="E120">
        <v>7685000</v>
      </c>
      <c r="F120" t="e">
        <f ca="1">BDP("88035PQS Muni","ISSUE_DT")</f>
        <v>#NAME?</v>
      </c>
      <c r="G120" t="e">
        <f ca="1">BDP("88035PQS Muni","MATURITY")</f>
        <v>#NAME?</v>
      </c>
      <c r="H120" t="e">
        <f ca="1">BDP("88035PQS Muni","MUNI_TAX_PROV")</f>
        <v>#NAME?</v>
      </c>
      <c r="I120" t="e">
        <f ca="1">BDP("88035PQS Muni","FINANCING_TYPE")</f>
        <v>#NAME?</v>
      </c>
      <c r="J120" t="e">
        <f ca="1">BDP("88035PQS Muni","BICS_LEVEL_2_INDUSTRY_GROUP_NAME")</f>
        <v>#NAME?</v>
      </c>
      <c r="K120" t="e">
        <f ca="1">BDP("88035PQS Muni","SELF_REPRTD_GREEN_INSTR_INDCTR")</f>
        <v>#NAME?</v>
      </c>
      <c r="L120" t="e">
        <f ca="1">BDP("88035PQS Muni","GB_MANAGEMENT_PROCEEDS")</f>
        <v>#NAME?</v>
      </c>
      <c r="M120" t="e">
        <f ca="1">BDP("88035PQS Muni","GB_REPORTING")</f>
        <v>#NAME?</v>
      </c>
      <c r="N120" t="e">
        <f ca="1">BDP("88035PQS Muni","GB_ASSURANCE_PROVIDERS")</f>
        <v>#NAME?</v>
      </c>
      <c r="O120" t="e">
        <f ca="1">BDP("88035PQS Muni","GB_PROJECT_SELECTION_PROCESS")</f>
        <v>#NAME?</v>
      </c>
      <c r="P120" t="e">
        <f ca="1">BDP("88035PQS Muni","ESG_FRAMEWORK_INDICATOR")</f>
        <v>#NAME?</v>
      </c>
      <c r="Q120" t="e">
        <f ca="1">BDP("88035PQS Muni","BLOOMBERG_SECTOR_CODE")</f>
        <v>#NAME?</v>
      </c>
      <c r="R120" t="e">
        <f ca="1">BDP("88035PQS Muni","ISSUER_TYPE")</f>
        <v>#NAME?</v>
      </c>
      <c r="S120" t="e">
        <f ca="1">BDS("88035PQS Muni","ESG_PROJECT_CATEGORY", "aggregate=y")</f>
        <v>#NAME?</v>
      </c>
      <c r="T120" t="e">
        <f ca="1">BDS("88035PQS Muni","ESG_PROJECT_SUBCATEGORY", "aggregate=y")</f>
        <v>#NAME?</v>
      </c>
    </row>
    <row r="121" spans="1:20" x14ac:dyDescent="0.25">
      <c r="A121" t="e">
        <f ca="1">BDP("88035PQT Muni","ID_CUSIP")</f>
        <v>#NAME?</v>
      </c>
      <c r="B121" t="e">
        <f ca="1">BDP("88035PQT Muni","STATE_CODE")</f>
        <v>#NAME?</v>
      </c>
      <c r="C121" t="s">
        <v>25</v>
      </c>
      <c r="D121" t="e">
        <f ca="1">BDP("88035PQT Muni","YIELD_ON_ISSUE_DATE")</f>
        <v>#NAME?</v>
      </c>
      <c r="E121">
        <v>2560000</v>
      </c>
      <c r="F121" t="e">
        <f ca="1">BDP("88035PQT Muni","ISSUE_DT")</f>
        <v>#NAME?</v>
      </c>
      <c r="G121" t="e">
        <f ca="1">BDP("88035PQT Muni","MATURITY")</f>
        <v>#NAME?</v>
      </c>
      <c r="H121" t="e">
        <f ca="1">BDP("88035PQT Muni","MUNI_TAX_PROV")</f>
        <v>#NAME?</v>
      </c>
      <c r="I121" t="e">
        <f ca="1">BDP("88035PQT Muni","FINANCING_TYPE")</f>
        <v>#NAME?</v>
      </c>
      <c r="J121" t="e">
        <f ca="1">BDP("88035PQT Muni","BICS_LEVEL_2_INDUSTRY_GROUP_NAME")</f>
        <v>#NAME?</v>
      </c>
      <c r="K121" t="e">
        <f ca="1">BDP("88035PQT Muni","SELF_REPRTD_GREEN_INSTR_INDCTR")</f>
        <v>#NAME?</v>
      </c>
      <c r="L121" t="e">
        <f ca="1">BDP("88035PQT Muni","GB_MANAGEMENT_PROCEEDS")</f>
        <v>#NAME?</v>
      </c>
      <c r="M121" t="e">
        <f ca="1">BDP("88035PQT Muni","GB_REPORTING")</f>
        <v>#NAME?</v>
      </c>
      <c r="N121" t="e">
        <f ca="1">BDP("88035PQT Muni","GB_ASSURANCE_PROVIDERS")</f>
        <v>#NAME?</v>
      </c>
      <c r="O121" t="e">
        <f ca="1">BDP("88035PQT Muni","GB_PROJECT_SELECTION_PROCESS")</f>
        <v>#NAME?</v>
      </c>
      <c r="P121" t="e">
        <f ca="1">BDP("88035PQT Muni","ESG_FRAMEWORK_INDICATOR")</f>
        <v>#NAME?</v>
      </c>
      <c r="Q121" t="e">
        <f ca="1">BDP("88035PQT Muni","BLOOMBERG_SECTOR_CODE")</f>
        <v>#NAME?</v>
      </c>
      <c r="R121" t="e">
        <f ca="1">BDP("88035PQT Muni","ISSUER_TYPE")</f>
        <v>#NAME?</v>
      </c>
      <c r="S121" t="e">
        <f ca="1">BDS("88035PQT Muni","ESG_PROJECT_CATEGORY", "aggregate=y")</f>
        <v>#NAME?</v>
      </c>
      <c r="T121" t="e">
        <f ca="1">BDS("88035PQT Muni","ESG_PROJECT_SUBCATEGORY", "aggregate=y")</f>
        <v>#NAME?</v>
      </c>
    </row>
    <row r="122" spans="1:20" x14ac:dyDescent="0.25">
      <c r="A122" t="e">
        <f ca="1">BDP("88035PQW Muni","ID_CUSIP")</f>
        <v>#NAME?</v>
      </c>
      <c r="B122" t="e">
        <f ca="1">BDP("88035PQW Muni","STATE_CODE")</f>
        <v>#NAME?</v>
      </c>
      <c r="C122" t="s">
        <v>25</v>
      </c>
      <c r="D122" t="e">
        <f ca="1">BDP("88035PQW Muni","YIELD_ON_ISSUE_DATE")</f>
        <v>#NAME?</v>
      </c>
      <c r="E122">
        <v>10705000</v>
      </c>
      <c r="F122" t="e">
        <f ca="1">BDP("88035PQW Muni","ISSUE_DT")</f>
        <v>#NAME?</v>
      </c>
      <c r="G122" t="e">
        <f ca="1">BDP("88035PQW Muni","MATURITY")</f>
        <v>#NAME?</v>
      </c>
      <c r="H122" t="e">
        <f ca="1">BDP("88035PQW Muni","MUNI_TAX_PROV")</f>
        <v>#NAME?</v>
      </c>
      <c r="I122" t="e">
        <f ca="1">BDP("88035PQW Muni","FINANCING_TYPE")</f>
        <v>#NAME?</v>
      </c>
      <c r="J122" t="e">
        <f ca="1">BDP("88035PQW Muni","BICS_LEVEL_2_INDUSTRY_GROUP_NAME")</f>
        <v>#NAME?</v>
      </c>
      <c r="K122" t="e">
        <f ca="1">BDP("88035PQW Muni","SELF_REPRTD_GREEN_INSTR_INDCTR")</f>
        <v>#NAME?</v>
      </c>
      <c r="L122" t="e">
        <f ca="1">BDP("88035PQW Muni","GB_MANAGEMENT_PROCEEDS")</f>
        <v>#NAME?</v>
      </c>
      <c r="M122" t="e">
        <f ca="1">BDP("88035PQW Muni","GB_REPORTING")</f>
        <v>#NAME?</v>
      </c>
      <c r="N122" t="e">
        <f ca="1">BDP("88035PQW Muni","GB_ASSURANCE_PROVIDERS")</f>
        <v>#NAME?</v>
      </c>
      <c r="O122" t="e">
        <f ca="1">BDP("88035PQW Muni","GB_PROJECT_SELECTION_PROCESS")</f>
        <v>#NAME?</v>
      </c>
      <c r="P122" t="e">
        <f ca="1">BDP("88035PQW Muni","ESG_FRAMEWORK_INDICATOR")</f>
        <v>#NAME?</v>
      </c>
      <c r="Q122" t="e">
        <f ca="1">BDP("88035PQW Muni","BLOOMBERG_SECTOR_CODE")</f>
        <v>#NAME?</v>
      </c>
      <c r="R122" t="e">
        <f ca="1">BDP("88035PQW Muni","ISSUER_TYPE")</f>
        <v>#NAME?</v>
      </c>
      <c r="S122" t="e">
        <f ca="1">BDS("88035PQW Muni","ESG_PROJECT_CATEGORY", "aggregate=y")</f>
        <v>#NAME?</v>
      </c>
      <c r="T122" t="e">
        <f ca="1">BDS("88035PQW Muni","ESG_PROJECT_SUBCATEGORY", "aggregate=y")</f>
        <v>#NAME?</v>
      </c>
    </row>
    <row r="123" spans="1:20" x14ac:dyDescent="0.25">
      <c r="A123" t="e">
        <f ca="1">BDP("88035PRG Muni","ID_CUSIP")</f>
        <v>#NAME?</v>
      </c>
      <c r="B123" t="e">
        <f ca="1">BDP("88035PRG Muni","STATE_CODE")</f>
        <v>#NAME?</v>
      </c>
      <c r="C123" t="s">
        <v>25</v>
      </c>
      <c r="D123" t="e">
        <f ca="1">BDP("88035PRG Muni","YIELD_ON_ISSUE_DATE")</f>
        <v>#NAME?</v>
      </c>
      <c r="E123">
        <v>10055000</v>
      </c>
      <c r="F123" t="e">
        <f ca="1">BDP("88035PRG Muni","ISSUE_DT")</f>
        <v>#NAME?</v>
      </c>
      <c r="G123" t="e">
        <f ca="1">BDP("88035PRG Muni","MATURITY")</f>
        <v>#NAME?</v>
      </c>
      <c r="H123" t="e">
        <f ca="1">BDP("88035PRG Muni","MUNI_TAX_PROV")</f>
        <v>#NAME?</v>
      </c>
      <c r="I123" t="e">
        <f ca="1">BDP("88035PRG Muni","FINANCING_TYPE")</f>
        <v>#NAME?</v>
      </c>
      <c r="J123" t="e">
        <f ca="1">BDP("88035PRG Muni","BICS_LEVEL_2_INDUSTRY_GROUP_NAME")</f>
        <v>#NAME?</v>
      </c>
      <c r="K123" t="e">
        <f ca="1">BDP("88035PRG Muni","SELF_REPRTD_GREEN_INSTR_INDCTR")</f>
        <v>#NAME?</v>
      </c>
      <c r="L123" t="e">
        <f ca="1">BDP("88035PRG Muni","GB_MANAGEMENT_PROCEEDS")</f>
        <v>#NAME?</v>
      </c>
      <c r="M123" t="e">
        <f ca="1">BDP("88035PRG Muni","GB_REPORTING")</f>
        <v>#NAME?</v>
      </c>
      <c r="N123" t="e">
        <f ca="1">BDP("88035PRG Muni","GB_ASSURANCE_PROVIDERS")</f>
        <v>#NAME?</v>
      </c>
      <c r="O123" t="e">
        <f ca="1">BDP("88035PRG Muni","GB_PROJECT_SELECTION_PROCESS")</f>
        <v>#NAME?</v>
      </c>
      <c r="P123" t="e">
        <f ca="1">BDP("88035PRG Muni","ESG_FRAMEWORK_INDICATOR")</f>
        <v>#NAME?</v>
      </c>
      <c r="Q123" t="e">
        <f ca="1">BDP("88035PRG Muni","BLOOMBERG_SECTOR_CODE")</f>
        <v>#NAME?</v>
      </c>
      <c r="R123" t="e">
        <f ca="1">BDP("88035PRG Muni","ISSUER_TYPE")</f>
        <v>#NAME?</v>
      </c>
      <c r="S123" t="e">
        <f ca="1">BDS("88035PRG Muni","ESG_PROJECT_CATEGORY", "aggregate=y")</f>
        <v>#NAME?</v>
      </c>
      <c r="T123" t="e">
        <f ca="1">BDS("88035PRG Muni","ESG_PROJECT_SUBCATEGORY", "aggregate=y")</f>
        <v>#NAME?</v>
      </c>
    </row>
    <row r="124" spans="1:20" x14ac:dyDescent="0.25">
      <c r="A124" t="e">
        <f ca="1">BDP("88035PRH Muni","ID_CUSIP")</f>
        <v>#NAME?</v>
      </c>
      <c r="B124" t="e">
        <f ca="1">BDP("88035PRH Muni","STATE_CODE")</f>
        <v>#NAME?</v>
      </c>
      <c r="C124" t="s">
        <v>25</v>
      </c>
      <c r="D124" t="e">
        <f ca="1">BDP("88035PRH Muni","YIELD_ON_ISSUE_DATE")</f>
        <v>#NAME?</v>
      </c>
      <c r="E124">
        <v>5025000</v>
      </c>
      <c r="F124" t="e">
        <f ca="1">BDP("88035PRH Muni","ISSUE_DT")</f>
        <v>#NAME?</v>
      </c>
      <c r="G124" t="e">
        <f ca="1">BDP("88035PRH Muni","MATURITY")</f>
        <v>#NAME?</v>
      </c>
      <c r="H124" t="e">
        <f ca="1">BDP("88035PRH Muni","MUNI_TAX_PROV")</f>
        <v>#NAME?</v>
      </c>
      <c r="I124" t="e">
        <f ca="1">BDP("88035PRH Muni","FINANCING_TYPE")</f>
        <v>#NAME?</v>
      </c>
      <c r="J124" t="e">
        <f ca="1">BDP("88035PRH Muni","BICS_LEVEL_2_INDUSTRY_GROUP_NAME")</f>
        <v>#NAME?</v>
      </c>
      <c r="K124" t="e">
        <f ca="1">BDP("88035PRH Muni","SELF_REPRTD_GREEN_INSTR_INDCTR")</f>
        <v>#NAME?</v>
      </c>
      <c r="L124" t="e">
        <f ca="1">BDP("88035PRH Muni","GB_MANAGEMENT_PROCEEDS")</f>
        <v>#NAME?</v>
      </c>
      <c r="M124" t="e">
        <f ca="1">BDP("88035PRH Muni","GB_REPORTING")</f>
        <v>#NAME?</v>
      </c>
      <c r="N124" t="e">
        <f ca="1">BDP("88035PRH Muni","GB_ASSURANCE_PROVIDERS")</f>
        <v>#NAME?</v>
      </c>
      <c r="O124" t="e">
        <f ca="1">BDP("88035PRH Muni","GB_PROJECT_SELECTION_PROCESS")</f>
        <v>#NAME?</v>
      </c>
      <c r="P124" t="e">
        <f ca="1">BDP("88035PRH Muni","ESG_FRAMEWORK_INDICATOR")</f>
        <v>#NAME?</v>
      </c>
      <c r="Q124" t="e">
        <f ca="1">BDP("88035PRH Muni","BLOOMBERG_SECTOR_CODE")</f>
        <v>#NAME?</v>
      </c>
      <c r="R124" t="e">
        <f ca="1">BDP("88035PRH Muni","ISSUER_TYPE")</f>
        <v>#NAME?</v>
      </c>
      <c r="S124" t="e">
        <f ca="1">BDS("88035PRH Muni","ESG_PROJECT_CATEGORY", "aggregate=y")</f>
        <v>#NAME?</v>
      </c>
      <c r="T124" t="e">
        <f ca="1">BDS("88035PRH Muni","ESG_PROJECT_SUBCATEGORY", "aggregate=y")</f>
        <v>#NAME?</v>
      </c>
    </row>
    <row r="125" spans="1:20" x14ac:dyDescent="0.25">
      <c r="A125" t="e">
        <f ca="1">BDP("88035PRT Muni","ID_CUSIP")</f>
        <v>#NAME?</v>
      </c>
      <c r="B125" t="e">
        <f ca="1">BDP("88035PRT Muni","STATE_CODE")</f>
        <v>#NAME?</v>
      </c>
      <c r="C125" t="s">
        <v>25</v>
      </c>
      <c r="D125" t="e">
        <f ca="1">BDP("88035PRT Muni","YIELD_ON_ISSUE_DATE")</f>
        <v>#NAME?</v>
      </c>
      <c r="E125">
        <v>1105000</v>
      </c>
      <c r="F125" t="e">
        <f ca="1">BDP("88035PRT Muni","ISSUE_DT")</f>
        <v>#NAME?</v>
      </c>
      <c r="G125" t="e">
        <f ca="1">BDP("88035PRT Muni","MATURITY")</f>
        <v>#NAME?</v>
      </c>
      <c r="H125" t="e">
        <f ca="1">BDP("88035PRT Muni","MUNI_TAX_PROV")</f>
        <v>#NAME?</v>
      </c>
      <c r="I125" t="e">
        <f ca="1">BDP("88035PRT Muni","FINANCING_TYPE")</f>
        <v>#NAME?</v>
      </c>
      <c r="J125" t="e">
        <f ca="1">BDP("88035PRT Muni","BICS_LEVEL_2_INDUSTRY_GROUP_NAME")</f>
        <v>#NAME?</v>
      </c>
      <c r="K125" t="e">
        <f ca="1">BDP("88035PRT Muni","SELF_REPRTD_GREEN_INSTR_INDCTR")</f>
        <v>#NAME?</v>
      </c>
      <c r="L125" t="e">
        <f ca="1">BDP("88035PRT Muni","GB_MANAGEMENT_PROCEEDS")</f>
        <v>#NAME?</v>
      </c>
      <c r="M125" t="e">
        <f ca="1">BDP("88035PRT Muni","GB_REPORTING")</f>
        <v>#NAME?</v>
      </c>
      <c r="N125" t="e">
        <f ca="1">BDP("88035PRT Muni","GB_ASSURANCE_PROVIDERS")</f>
        <v>#NAME?</v>
      </c>
      <c r="O125" t="e">
        <f ca="1">BDP("88035PRT Muni","GB_PROJECT_SELECTION_PROCESS")</f>
        <v>#NAME?</v>
      </c>
      <c r="P125" t="e">
        <f ca="1">BDP("88035PRT Muni","ESG_FRAMEWORK_INDICATOR")</f>
        <v>#NAME?</v>
      </c>
      <c r="Q125" t="e">
        <f ca="1">BDP("88035PRT Muni","BLOOMBERG_SECTOR_CODE")</f>
        <v>#NAME?</v>
      </c>
      <c r="R125" t="e">
        <f ca="1">BDP("88035PRT Muni","ISSUER_TYPE")</f>
        <v>#NAME?</v>
      </c>
      <c r="S125" t="e">
        <f ca="1">BDS("88035PRT Muni","ESG_PROJECT_CATEGORY", "aggregate=y")</f>
        <v>#NAME?</v>
      </c>
      <c r="T125" t="e">
        <f ca="1">BDS("88035PRT Muni","ESG_PROJECT_SUBCATEGORY", "aggregate=y")</f>
        <v>#NAME?</v>
      </c>
    </row>
    <row r="126" spans="1:20" x14ac:dyDescent="0.25">
      <c r="A126" t="e">
        <f ca="1">BDP("88035PS6 Muni","ID_CUSIP")</f>
        <v>#NAME?</v>
      </c>
      <c r="B126" t="e">
        <f ca="1">BDP("88035PS6 Muni","STATE_CODE")</f>
        <v>#NAME?</v>
      </c>
      <c r="C126" t="s">
        <v>25</v>
      </c>
      <c r="D126" t="e">
        <f ca="1">BDP("88035PS6 Muni","YIELD_ON_ISSUE_DATE")</f>
        <v>#NAME?</v>
      </c>
      <c r="E126">
        <v>730000</v>
      </c>
      <c r="F126" t="e">
        <f ca="1">BDP("88035PS6 Muni","ISSUE_DT")</f>
        <v>#NAME?</v>
      </c>
      <c r="G126" t="e">
        <f ca="1">BDP("88035PS6 Muni","MATURITY")</f>
        <v>#NAME?</v>
      </c>
      <c r="H126" t="e">
        <f ca="1">BDP("88035PS6 Muni","MUNI_TAX_PROV")</f>
        <v>#NAME?</v>
      </c>
      <c r="I126" t="e">
        <f ca="1">BDP("88035PS6 Muni","FINANCING_TYPE")</f>
        <v>#NAME?</v>
      </c>
      <c r="J126" t="e">
        <f ca="1">BDP("88035PS6 Muni","BICS_LEVEL_2_INDUSTRY_GROUP_NAME")</f>
        <v>#NAME?</v>
      </c>
      <c r="K126" t="e">
        <f ca="1">BDP("88035PS6 Muni","SELF_REPRTD_GREEN_INSTR_INDCTR")</f>
        <v>#NAME?</v>
      </c>
      <c r="L126" t="e">
        <f ca="1">BDP("88035PS6 Muni","GB_MANAGEMENT_PROCEEDS")</f>
        <v>#NAME?</v>
      </c>
      <c r="M126" t="e">
        <f ca="1">BDP("88035PS6 Muni","GB_REPORTING")</f>
        <v>#NAME?</v>
      </c>
      <c r="N126" t="e">
        <f ca="1">BDP("88035PS6 Muni","GB_ASSURANCE_PROVIDERS")</f>
        <v>#NAME?</v>
      </c>
      <c r="O126" t="e">
        <f ca="1">BDP("88035PS6 Muni","GB_PROJECT_SELECTION_PROCESS")</f>
        <v>#NAME?</v>
      </c>
      <c r="P126" t="e">
        <f ca="1">BDP("88035PS6 Muni","ESG_FRAMEWORK_INDICATOR")</f>
        <v>#NAME?</v>
      </c>
      <c r="Q126" t="e">
        <f ca="1">BDP("88035PS6 Muni","BLOOMBERG_SECTOR_CODE")</f>
        <v>#NAME?</v>
      </c>
      <c r="R126" t="e">
        <f ca="1">BDP("88035PS6 Muni","ISSUER_TYPE")</f>
        <v>#NAME?</v>
      </c>
      <c r="S126" t="e">
        <f ca="1">BDS("88035PS6 Muni","ESG_PROJECT_CATEGORY", "aggregate=y")</f>
        <v>#NAME?</v>
      </c>
      <c r="T126" t="e">
        <f ca="1">BDS("88035PS6 Muni","ESG_PROJECT_SUBCATEGORY", "aggregate=y")</f>
        <v>#NAME?</v>
      </c>
    </row>
    <row r="127" spans="1:20" x14ac:dyDescent="0.25">
      <c r="A127" t="e">
        <f ca="1">BDP("88035PUW Muni","ID_CUSIP")</f>
        <v>#NAME?</v>
      </c>
      <c r="B127" t="e">
        <f ca="1">BDP("88035PUW Muni","STATE_CODE")</f>
        <v>#NAME?</v>
      </c>
      <c r="C127" t="s">
        <v>25</v>
      </c>
      <c r="D127" t="e">
        <f ca="1">BDP("88035PUW Muni","YIELD_ON_ISSUE_DATE")</f>
        <v>#NAME?</v>
      </c>
      <c r="E127">
        <v>1000000</v>
      </c>
      <c r="F127" t="e">
        <f ca="1">BDP("88035PUW Muni","ISSUE_DT")</f>
        <v>#NAME?</v>
      </c>
      <c r="G127" t="e">
        <f ca="1">BDP("88035PUW Muni","MATURITY")</f>
        <v>#NAME?</v>
      </c>
      <c r="H127" t="e">
        <f ca="1">BDP("88035PUW Muni","MUNI_TAX_PROV")</f>
        <v>#NAME?</v>
      </c>
      <c r="I127" t="e">
        <f ca="1">BDP("88035PUW Muni","FINANCING_TYPE")</f>
        <v>#NAME?</v>
      </c>
      <c r="J127" t="e">
        <f ca="1">BDP("88035PUW Muni","BICS_LEVEL_2_INDUSTRY_GROUP_NAME")</f>
        <v>#NAME?</v>
      </c>
      <c r="K127" t="e">
        <f ca="1">BDP("88035PUW Muni","SELF_REPRTD_GREEN_INSTR_INDCTR")</f>
        <v>#NAME?</v>
      </c>
      <c r="L127" t="e">
        <f ca="1">BDP("88035PUW Muni","GB_MANAGEMENT_PROCEEDS")</f>
        <v>#NAME?</v>
      </c>
      <c r="M127" t="e">
        <f ca="1">BDP("88035PUW Muni","GB_REPORTING")</f>
        <v>#NAME?</v>
      </c>
      <c r="N127" t="e">
        <f ca="1">BDP("88035PUW Muni","GB_ASSURANCE_PROVIDERS")</f>
        <v>#NAME?</v>
      </c>
      <c r="O127" t="e">
        <f ca="1">BDP("88035PUW Muni","GB_PROJECT_SELECTION_PROCESS")</f>
        <v>#NAME?</v>
      </c>
      <c r="P127" t="e">
        <f ca="1">BDP("88035PUW Muni","ESG_FRAMEWORK_INDICATOR")</f>
        <v>#NAME?</v>
      </c>
      <c r="Q127" t="e">
        <f ca="1">BDP("88035PUW Muni","BLOOMBERG_SECTOR_CODE")</f>
        <v>#NAME?</v>
      </c>
      <c r="R127" t="e">
        <f ca="1">BDP("88035PUW Muni","ISSUER_TYPE")</f>
        <v>#NAME?</v>
      </c>
      <c r="S127" t="e">
        <f ca="1">BDS("88035PUW Muni","ESG_PROJECT_CATEGORY", "aggregate=y")</f>
        <v>#NAME?</v>
      </c>
      <c r="T127" t="e">
        <f ca="1">BDS("88035PUW Muni","ESG_PROJECT_SUBCATEGORY", "aggregate=y")</f>
        <v>#NAME?</v>
      </c>
    </row>
    <row r="128" spans="1:20" x14ac:dyDescent="0.25">
      <c r="A128" t="e">
        <f ca="1">BDP("88035PVS Muni","ID_CUSIP")</f>
        <v>#NAME?</v>
      </c>
      <c r="B128" t="e">
        <f ca="1">BDP("88035PVS Muni","STATE_CODE")</f>
        <v>#NAME?</v>
      </c>
      <c r="C128" t="s">
        <v>25</v>
      </c>
      <c r="D128" t="e">
        <f ca="1">BDP("88035PVS Muni","YIELD_ON_ISSUE_DATE")</f>
        <v>#NAME?</v>
      </c>
      <c r="E128">
        <v>8000000</v>
      </c>
      <c r="F128" t="e">
        <f ca="1">BDP("88035PVS Muni","ISSUE_DT")</f>
        <v>#NAME?</v>
      </c>
      <c r="G128" t="e">
        <f ca="1">BDP("88035PVS Muni","MATURITY")</f>
        <v>#NAME?</v>
      </c>
      <c r="H128" t="e">
        <f ca="1">BDP("88035PVS Muni","MUNI_TAX_PROV")</f>
        <v>#NAME?</v>
      </c>
      <c r="I128" t="e">
        <f ca="1">BDP("88035PVS Muni","FINANCING_TYPE")</f>
        <v>#NAME?</v>
      </c>
      <c r="J128" t="e">
        <f ca="1">BDP("88035PVS Muni","BICS_LEVEL_2_INDUSTRY_GROUP_NAME")</f>
        <v>#NAME?</v>
      </c>
      <c r="K128" t="e">
        <f ca="1">BDP("88035PVS Muni","SELF_REPRTD_GREEN_INSTR_INDCTR")</f>
        <v>#NAME?</v>
      </c>
      <c r="L128" t="e">
        <f ca="1">BDP("88035PVS Muni","GB_MANAGEMENT_PROCEEDS")</f>
        <v>#NAME?</v>
      </c>
      <c r="M128" t="e">
        <f ca="1">BDP("88035PVS Muni","GB_REPORTING")</f>
        <v>#NAME?</v>
      </c>
      <c r="N128" t="e">
        <f ca="1">BDP("88035PVS Muni","GB_ASSURANCE_PROVIDERS")</f>
        <v>#NAME?</v>
      </c>
      <c r="O128" t="e">
        <f ca="1">BDP("88035PVS Muni","GB_PROJECT_SELECTION_PROCESS")</f>
        <v>#NAME?</v>
      </c>
      <c r="P128" t="e">
        <f ca="1">BDP("88035PVS Muni","ESG_FRAMEWORK_INDICATOR")</f>
        <v>#NAME?</v>
      </c>
      <c r="Q128" t="e">
        <f ca="1">BDP("88035PVS Muni","BLOOMBERG_SECTOR_CODE")</f>
        <v>#NAME?</v>
      </c>
      <c r="R128" t="e">
        <f ca="1">BDP("88035PVS Muni","ISSUER_TYPE")</f>
        <v>#NAME?</v>
      </c>
      <c r="S128" t="e">
        <f ca="1">BDS("88035PVS Muni","ESG_PROJECT_CATEGORY", "aggregate=y")</f>
        <v>#NAME?</v>
      </c>
      <c r="T128" t="e">
        <f ca="1">BDS("88035PVS Muni","ESG_PROJECT_SUBCATEGORY", "aggregate=y")</f>
        <v>#NAME?</v>
      </c>
    </row>
    <row r="129" spans="1:20" x14ac:dyDescent="0.25">
      <c r="A129" t="e">
        <f ca="1">BDP("88035PVU Muni","ID_CUSIP")</f>
        <v>#NAME?</v>
      </c>
      <c r="B129" t="e">
        <f ca="1">BDP("88035PVU Muni","STATE_CODE")</f>
        <v>#NAME?</v>
      </c>
      <c r="C129" t="s">
        <v>25</v>
      </c>
      <c r="D129" t="e">
        <f ca="1">BDP("88035PVU Muni","YIELD_ON_ISSUE_DATE")</f>
        <v>#NAME?</v>
      </c>
      <c r="E129">
        <v>10000000</v>
      </c>
      <c r="F129" t="e">
        <f ca="1">BDP("88035PVU Muni","ISSUE_DT")</f>
        <v>#NAME?</v>
      </c>
      <c r="G129" t="e">
        <f ca="1">BDP("88035PVU Muni","MATURITY")</f>
        <v>#NAME?</v>
      </c>
      <c r="H129" t="e">
        <f ca="1">BDP("88035PVU Muni","MUNI_TAX_PROV")</f>
        <v>#NAME?</v>
      </c>
      <c r="I129" t="e">
        <f ca="1">BDP("88035PVU Muni","FINANCING_TYPE")</f>
        <v>#NAME?</v>
      </c>
      <c r="J129" t="e">
        <f ca="1">BDP("88035PVU Muni","BICS_LEVEL_2_INDUSTRY_GROUP_NAME")</f>
        <v>#NAME?</v>
      </c>
      <c r="K129" t="e">
        <f ca="1">BDP("88035PVU Muni","SELF_REPRTD_GREEN_INSTR_INDCTR")</f>
        <v>#NAME?</v>
      </c>
      <c r="L129" t="e">
        <f ca="1">BDP("88035PVU Muni","GB_MANAGEMENT_PROCEEDS")</f>
        <v>#NAME?</v>
      </c>
      <c r="M129" t="e">
        <f ca="1">BDP("88035PVU Muni","GB_REPORTING")</f>
        <v>#NAME?</v>
      </c>
      <c r="N129" t="e">
        <f ca="1">BDP("88035PVU Muni","GB_ASSURANCE_PROVIDERS")</f>
        <v>#NAME?</v>
      </c>
      <c r="O129" t="e">
        <f ca="1">BDP("88035PVU Muni","GB_PROJECT_SELECTION_PROCESS")</f>
        <v>#NAME?</v>
      </c>
      <c r="P129" t="e">
        <f ca="1">BDP("88035PVU Muni","ESG_FRAMEWORK_INDICATOR")</f>
        <v>#NAME?</v>
      </c>
      <c r="Q129" t="e">
        <f ca="1">BDP("88035PVU Muni","BLOOMBERG_SECTOR_CODE")</f>
        <v>#NAME?</v>
      </c>
      <c r="R129" t="e">
        <f ca="1">BDP("88035PVU Muni","ISSUER_TYPE")</f>
        <v>#NAME?</v>
      </c>
      <c r="S129" t="e">
        <f ca="1">BDS("88035PVU Muni","ESG_PROJECT_CATEGORY", "aggregate=y")</f>
        <v>#NAME?</v>
      </c>
      <c r="T129" t="e">
        <f ca="1">BDS("88035PVU Muni","ESG_PROJECT_SUBCATEGORY", "aggregate=y")</f>
        <v>#NAME?</v>
      </c>
    </row>
    <row r="130" spans="1:20" x14ac:dyDescent="0.25">
      <c r="A130" t="e">
        <f ca="1">BDP("88035PVV Muni","ID_CUSIP")</f>
        <v>#NAME?</v>
      </c>
      <c r="B130" t="e">
        <f ca="1">BDP("88035PVV Muni","STATE_CODE")</f>
        <v>#NAME?</v>
      </c>
      <c r="C130" t="s">
        <v>25</v>
      </c>
      <c r="D130" t="e">
        <f ca="1">BDP("88035PVV Muni","YIELD_ON_ISSUE_DATE")</f>
        <v>#NAME?</v>
      </c>
      <c r="E130">
        <v>12750000</v>
      </c>
      <c r="F130" t="e">
        <f ca="1">BDP("88035PVV Muni","ISSUE_DT")</f>
        <v>#NAME?</v>
      </c>
      <c r="G130" t="e">
        <f ca="1">BDP("88035PVV Muni","MATURITY")</f>
        <v>#NAME?</v>
      </c>
      <c r="H130" t="e">
        <f ca="1">BDP("88035PVV Muni","MUNI_TAX_PROV")</f>
        <v>#NAME?</v>
      </c>
      <c r="I130" t="e">
        <f ca="1">BDP("88035PVV Muni","FINANCING_TYPE")</f>
        <v>#NAME?</v>
      </c>
      <c r="J130" t="e">
        <f ca="1">BDP("88035PVV Muni","BICS_LEVEL_2_INDUSTRY_GROUP_NAME")</f>
        <v>#NAME?</v>
      </c>
      <c r="K130" t="e">
        <f ca="1">BDP("88035PVV Muni","SELF_REPRTD_GREEN_INSTR_INDCTR")</f>
        <v>#NAME?</v>
      </c>
      <c r="L130" t="e">
        <f ca="1">BDP("88035PVV Muni","GB_MANAGEMENT_PROCEEDS")</f>
        <v>#NAME?</v>
      </c>
      <c r="M130" t="e">
        <f ca="1">BDP("88035PVV Muni","GB_REPORTING")</f>
        <v>#NAME?</v>
      </c>
      <c r="N130" t="e">
        <f ca="1">BDP("88035PVV Muni","GB_ASSURANCE_PROVIDERS")</f>
        <v>#NAME?</v>
      </c>
      <c r="O130" t="e">
        <f ca="1">BDP("88035PVV Muni","GB_PROJECT_SELECTION_PROCESS")</f>
        <v>#NAME?</v>
      </c>
      <c r="P130" t="e">
        <f ca="1">BDP("88035PVV Muni","ESG_FRAMEWORK_INDICATOR")</f>
        <v>#NAME?</v>
      </c>
      <c r="Q130" t="e">
        <f ca="1">BDP("88035PVV Muni","BLOOMBERG_SECTOR_CODE")</f>
        <v>#NAME?</v>
      </c>
      <c r="R130" t="e">
        <f ca="1">BDP("88035PVV Muni","ISSUER_TYPE")</f>
        <v>#NAME?</v>
      </c>
      <c r="S130" t="e">
        <f ca="1">BDS("88035PVV Muni","ESG_PROJECT_CATEGORY", "aggregate=y")</f>
        <v>#NAME?</v>
      </c>
      <c r="T130" t="e">
        <f ca="1">BDS("88035PVV Muni","ESG_PROJECT_SUBCATEGORY", "aggregate=y")</f>
        <v>#NAME?</v>
      </c>
    </row>
    <row r="131" spans="1:20" x14ac:dyDescent="0.25">
      <c r="A131" t="e">
        <f ca="1">BDP("88035PVX Muni","ID_CUSIP")</f>
        <v>#NAME?</v>
      </c>
      <c r="B131" t="e">
        <f ca="1">BDP("88035PVX Muni","STATE_CODE")</f>
        <v>#NAME?</v>
      </c>
      <c r="C131" t="s">
        <v>25</v>
      </c>
      <c r="D131" t="e">
        <f ca="1">BDP("88035PVX Muni","YIELD_ON_ISSUE_DATE")</f>
        <v>#NAME?</v>
      </c>
      <c r="E131">
        <v>15940000</v>
      </c>
      <c r="F131" t="e">
        <f ca="1">BDP("88035PVX Muni","ISSUE_DT")</f>
        <v>#NAME?</v>
      </c>
      <c r="G131" t="e">
        <f ca="1">BDP("88035PVX Muni","MATURITY")</f>
        <v>#NAME?</v>
      </c>
      <c r="H131" t="e">
        <f ca="1">BDP("88035PVX Muni","MUNI_TAX_PROV")</f>
        <v>#NAME?</v>
      </c>
      <c r="I131" t="e">
        <f ca="1">BDP("88035PVX Muni","FINANCING_TYPE")</f>
        <v>#NAME?</v>
      </c>
      <c r="J131" t="e">
        <f ca="1">BDP("88035PVX Muni","BICS_LEVEL_2_INDUSTRY_GROUP_NAME")</f>
        <v>#NAME?</v>
      </c>
      <c r="K131" t="e">
        <f ca="1">BDP("88035PVX Muni","SELF_REPRTD_GREEN_INSTR_INDCTR")</f>
        <v>#NAME?</v>
      </c>
      <c r="L131" t="e">
        <f ca="1">BDP("88035PVX Muni","GB_MANAGEMENT_PROCEEDS")</f>
        <v>#NAME?</v>
      </c>
      <c r="M131" t="e">
        <f ca="1">BDP("88035PVX Muni","GB_REPORTING")</f>
        <v>#NAME?</v>
      </c>
      <c r="N131" t="e">
        <f ca="1">BDP("88035PVX Muni","GB_ASSURANCE_PROVIDERS")</f>
        <v>#NAME?</v>
      </c>
      <c r="O131" t="e">
        <f ca="1">BDP("88035PVX Muni","GB_PROJECT_SELECTION_PROCESS")</f>
        <v>#NAME?</v>
      </c>
      <c r="P131" t="e">
        <f ca="1">BDP("88035PVX Muni","ESG_FRAMEWORK_INDICATOR")</f>
        <v>#NAME?</v>
      </c>
      <c r="Q131" t="e">
        <f ca="1">BDP("88035PVX Muni","BLOOMBERG_SECTOR_CODE")</f>
        <v>#NAME?</v>
      </c>
      <c r="R131" t="e">
        <f ca="1">BDP("88035PVX Muni","ISSUER_TYPE")</f>
        <v>#NAME?</v>
      </c>
      <c r="S131" t="e">
        <f ca="1">BDS("88035PVX Muni","ESG_PROJECT_CATEGORY", "aggregate=y")</f>
        <v>#NAME?</v>
      </c>
      <c r="T131" t="e">
        <f ca="1">BDS("88035PVX Muni","ESG_PROJECT_SUBCATEGORY", "aggregate=y")</f>
        <v>#NAME?</v>
      </c>
    </row>
    <row r="132" spans="1:20" x14ac:dyDescent="0.25">
      <c r="A132" t="e">
        <f ca="1">BDP("88035PVY Muni","ID_CUSIP")</f>
        <v>#NAME?</v>
      </c>
      <c r="B132" t="e">
        <f ca="1">BDP("88035PVY Muni","STATE_CODE")</f>
        <v>#NAME?</v>
      </c>
      <c r="C132" t="s">
        <v>25</v>
      </c>
      <c r="D132" t="e">
        <f ca="1">BDP("88035PVY Muni","YIELD_ON_ISSUE_DATE")</f>
        <v>#NAME?</v>
      </c>
      <c r="E132">
        <v>8180000</v>
      </c>
      <c r="F132" t="e">
        <f ca="1">BDP("88035PVY Muni","ISSUE_DT")</f>
        <v>#NAME?</v>
      </c>
      <c r="G132" t="e">
        <f ca="1">BDP("88035PVY Muni","MATURITY")</f>
        <v>#NAME?</v>
      </c>
      <c r="H132" t="e">
        <f ca="1">BDP("88035PVY Muni","MUNI_TAX_PROV")</f>
        <v>#NAME?</v>
      </c>
      <c r="I132" t="e">
        <f ca="1">BDP("88035PVY Muni","FINANCING_TYPE")</f>
        <v>#NAME?</v>
      </c>
      <c r="J132" t="e">
        <f ca="1">BDP("88035PVY Muni","BICS_LEVEL_2_INDUSTRY_GROUP_NAME")</f>
        <v>#NAME?</v>
      </c>
      <c r="K132" t="e">
        <f ca="1">BDP("88035PVY Muni","SELF_REPRTD_GREEN_INSTR_INDCTR")</f>
        <v>#NAME?</v>
      </c>
      <c r="L132" t="e">
        <f ca="1">BDP("88035PVY Muni","GB_MANAGEMENT_PROCEEDS")</f>
        <v>#NAME?</v>
      </c>
      <c r="M132" t="e">
        <f ca="1">BDP("88035PVY Muni","GB_REPORTING")</f>
        <v>#NAME?</v>
      </c>
      <c r="N132" t="e">
        <f ca="1">BDP("88035PVY Muni","GB_ASSURANCE_PROVIDERS")</f>
        <v>#NAME?</v>
      </c>
      <c r="O132" t="e">
        <f ca="1">BDP("88035PVY Muni","GB_PROJECT_SELECTION_PROCESS")</f>
        <v>#NAME?</v>
      </c>
      <c r="P132" t="e">
        <f ca="1">BDP("88035PVY Muni","ESG_FRAMEWORK_INDICATOR")</f>
        <v>#NAME?</v>
      </c>
      <c r="Q132" t="e">
        <f ca="1">BDP("88035PVY Muni","BLOOMBERG_SECTOR_CODE")</f>
        <v>#NAME?</v>
      </c>
      <c r="R132" t="e">
        <f ca="1">BDP("88035PVY Muni","ISSUER_TYPE")</f>
        <v>#NAME?</v>
      </c>
      <c r="S132" t="e">
        <f ca="1">BDS("88035PVY Muni","ESG_PROJECT_CATEGORY", "aggregate=y")</f>
        <v>#NAME?</v>
      </c>
      <c r="T132" t="e">
        <f ca="1">BDS("88035PVY Muni","ESG_PROJECT_SUBCATEGORY", "aggregate=y")</f>
        <v>#NAME?</v>
      </c>
    </row>
    <row r="133" spans="1:20" x14ac:dyDescent="0.25">
      <c r="A133" t="e">
        <f ca="1">BDP("88035PVZ Muni","ID_CUSIP")</f>
        <v>#NAME?</v>
      </c>
      <c r="B133" t="e">
        <f ca="1">BDP("88035PVZ Muni","STATE_CODE")</f>
        <v>#NAME?</v>
      </c>
      <c r="C133" t="s">
        <v>25</v>
      </c>
      <c r="D133" t="e">
        <f ca="1">BDP("88035PVZ Muni","YIELD_ON_ISSUE_DATE")</f>
        <v>#NAME?</v>
      </c>
      <c r="E133">
        <v>2045000</v>
      </c>
      <c r="F133" t="e">
        <f ca="1">BDP("88035PVZ Muni","ISSUE_DT")</f>
        <v>#NAME?</v>
      </c>
      <c r="G133" t="e">
        <f ca="1">BDP("88035PVZ Muni","MATURITY")</f>
        <v>#NAME?</v>
      </c>
      <c r="H133" t="e">
        <f ca="1">BDP("88035PVZ Muni","MUNI_TAX_PROV")</f>
        <v>#NAME?</v>
      </c>
      <c r="I133" t="e">
        <f ca="1">BDP("88035PVZ Muni","FINANCING_TYPE")</f>
        <v>#NAME?</v>
      </c>
      <c r="J133" t="e">
        <f ca="1">BDP("88035PVZ Muni","BICS_LEVEL_2_INDUSTRY_GROUP_NAME")</f>
        <v>#NAME?</v>
      </c>
      <c r="K133" t="e">
        <f ca="1">BDP("88035PVZ Muni","SELF_REPRTD_GREEN_INSTR_INDCTR")</f>
        <v>#NAME?</v>
      </c>
      <c r="L133" t="e">
        <f ca="1">BDP("88035PVZ Muni","GB_MANAGEMENT_PROCEEDS")</f>
        <v>#NAME?</v>
      </c>
      <c r="M133" t="e">
        <f ca="1">BDP("88035PVZ Muni","GB_REPORTING")</f>
        <v>#NAME?</v>
      </c>
      <c r="N133" t="e">
        <f ca="1">BDP("88035PVZ Muni","GB_ASSURANCE_PROVIDERS")</f>
        <v>#NAME?</v>
      </c>
      <c r="O133" t="e">
        <f ca="1">BDP("88035PVZ Muni","GB_PROJECT_SELECTION_PROCESS")</f>
        <v>#NAME?</v>
      </c>
      <c r="P133" t="e">
        <f ca="1">BDP("88035PVZ Muni","ESG_FRAMEWORK_INDICATOR")</f>
        <v>#NAME?</v>
      </c>
      <c r="Q133" t="e">
        <f ca="1">BDP("88035PVZ Muni","BLOOMBERG_SECTOR_CODE")</f>
        <v>#NAME?</v>
      </c>
      <c r="R133" t="e">
        <f ca="1">BDP("88035PVZ Muni","ISSUER_TYPE")</f>
        <v>#NAME?</v>
      </c>
      <c r="S133" t="e">
        <f ca="1">BDS("88035PVZ Muni","ESG_PROJECT_CATEGORY", "aggregate=y")</f>
        <v>#NAME?</v>
      </c>
      <c r="T133" t="e">
        <f ca="1">BDS("88035PVZ Muni","ESG_PROJECT_SUBCATEGORY", "aggregate=y")</f>
        <v>#NAME?</v>
      </c>
    </row>
    <row r="134" spans="1:20" x14ac:dyDescent="0.25">
      <c r="A134" t="e">
        <f ca="1">BDP("88035PWA Muni","ID_CUSIP")</f>
        <v>#NAME?</v>
      </c>
      <c r="B134" t="e">
        <f ca="1">BDP("88035PWA Muni","STATE_CODE")</f>
        <v>#NAME?</v>
      </c>
      <c r="C134" t="s">
        <v>25</v>
      </c>
      <c r="D134" t="e">
        <f ca="1">BDP("88035PWA Muni","YIELD_ON_ISSUE_DATE")</f>
        <v>#NAME?</v>
      </c>
      <c r="E134">
        <v>10225000</v>
      </c>
      <c r="F134" t="e">
        <f ca="1">BDP("88035PWA Muni","ISSUE_DT")</f>
        <v>#NAME?</v>
      </c>
      <c r="G134" t="e">
        <f ca="1">BDP("88035PWA Muni","MATURITY")</f>
        <v>#NAME?</v>
      </c>
      <c r="H134" t="e">
        <f ca="1">BDP("88035PWA Muni","MUNI_TAX_PROV")</f>
        <v>#NAME?</v>
      </c>
      <c r="I134" t="e">
        <f ca="1">BDP("88035PWA Muni","FINANCING_TYPE")</f>
        <v>#NAME?</v>
      </c>
      <c r="J134" t="e">
        <f ca="1">BDP("88035PWA Muni","BICS_LEVEL_2_INDUSTRY_GROUP_NAME")</f>
        <v>#NAME?</v>
      </c>
      <c r="K134" t="e">
        <f ca="1">BDP("88035PWA Muni","SELF_REPRTD_GREEN_INSTR_INDCTR")</f>
        <v>#NAME?</v>
      </c>
      <c r="L134" t="e">
        <f ca="1">BDP("88035PWA Muni","GB_MANAGEMENT_PROCEEDS")</f>
        <v>#NAME?</v>
      </c>
      <c r="M134" t="e">
        <f ca="1">BDP("88035PWA Muni","GB_REPORTING")</f>
        <v>#NAME?</v>
      </c>
      <c r="N134" t="e">
        <f ca="1">BDP("88035PWA Muni","GB_ASSURANCE_PROVIDERS")</f>
        <v>#NAME?</v>
      </c>
      <c r="O134" t="e">
        <f ca="1">BDP("88035PWA Muni","GB_PROJECT_SELECTION_PROCESS")</f>
        <v>#NAME?</v>
      </c>
      <c r="P134" t="e">
        <f ca="1">BDP("88035PWA Muni","ESG_FRAMEWORK_INDICATOR")</f>
        <v>#NAME?</v>
      </c>
      <c r="Q134" t="e">
        <f ca="1">BDP("88035PWA Muni","BLOOMBERG_SECTOR_CODE")</f>
        <v>#NAME?</v>
      </c>
      <c r="R134" t="e">
        <f ca="1">BDP("88035PWA Muni","ISSUER_TYPE")</f>
        <v>#NAME?</v>
      </c>
      <c r="S134" t="e">
        <f ca="1">BDS("88035PWA Muni","ESG_PROJECT_CATEGORY", "aggregate=y")</f>
        <v>#NAME?</v>
      </c>
      <c r="T134" t="e">
        <f ca="1">BDS("88035PWA Muni","ESG_PROJECT_SUBCATEGORY", "aggregate=y")</f>
        <v>#NAME?</v>
      </c>
    </row>
    <row r="135" spans="1:20" x14ac:dyDescent="0.25">
      <c r="A135" t="e">
        <f ca="1">BDP("88035PX6 Muni","ID_CUSIP")</f>
        <v>#NAME?</v>
      </c>
      <c r="B135" t="e">
        <f ca="1">BDP("88035PX6 Muni","STATE_CODE")</f>
        <v>#NAME?</v>
      </c>
      <c r="C135" t="s">
        <v>25</v>
      </c>
      <c r="D135" t="e">
        <f ca="1">BDP("88035PX6 Muni","YIELD_ON_ISSUE_DATE")</f>
        <v>#NAME?</v>
      </c>
      <c r="E135">
        <v>2500000</v>
      </c>
      <c r="F135" t="e">
        <f ca="1">BDP("88035PX6 Muni","ISSUE_DT")</f>
        <v>#NAME?</v>
      </c>
      <c r="G135" t="e">
        <f ca="1">BDP("88035PX6 Muni","MATURITY")</f>
        <v>#NAME?</v>
      </c>
      <c r="H135" t="e">
        <f ca="1">BDP("88035PX6 Muni","MUNI_TAX_PROV")</f>
        <v>#NAME?</v>
      </c>
      <c r="I135" t="e">
        <f ca="1">BDP("88035PX6 Muni","FINANCING_TYPE")</f>
        <v>#NAME?</v>
      </c>
      <c r="J135" t="e">
        <f ca="1">BDP("88035PX6 Muni","BICS_LEVEL_2_INDUSTRY_GROUP_NAME")</f>
        <v>#NAME?</v>
      </c>
      <c r="K135" t="e">
        <f ca="1">BDP("88035PX6 Muni","SELF_REPRTD_GREEN_INSTR_INDCTR")</f>
        <v>#NAME?</v>
      </c>
      <c r="L135" t="e">
        <f ca="1">BDP("88035PX6 Muni","GB_MANAGEMENT_PROCEEDS")</f>
        <v>#NAME?</v>
      </c>
      <c r="M135" t="e">
        <f ca="1">BDP("88035PX6 Muni","GB_REPORTING")</f>
        <v>#NAME?</v>
      </c>
      <c r="N135" t="e">
        <f ca="1">BDP("88035PX6 Muni","GB_ASSURANCE_PROVIDERS")</f>
        <v>#NAME?</v>
      </c>
      <c r="O135" t="e">
        <f ca="1">BDP("88035PX6 Muni","GB_PROJECT_SELECTION_PROCESS")</f>
        <v>#NAME?</v>
      </c>
      <c r="P135" t="e">
        <f ca="1">BDP("88035PX6 Muni","ESG_FRAMEWORK_INDICATOR")</f>
        <v>#NAME?</v>
      </c>
      <c r="Q135" t="e">
        <f ca="1">BDP("88035PX6 Muni","BLOOMBERG_SECTOR_CODE")</f>
        <v>#NAME?</v>
      </c>
      <c r="R135" t="e">
        <f ca="1">BDP("88035PX6 Muni","ISSUER_TYPE")</f>
        <v>#NAME?</v>
      </c>
      <c r="S135" t="e">
        <f ca="1">BDS("88035PX6 Muni","ESG_PROJECT_CATEGORY", "aggregate=y")</f>
        <v>#NAME?</v>
      </c>
      <c r="T135" t="e">
        <f ca="1">BDS("88035PX6 Muni","ESG_PROJECT_SUBCATEGORY", "aggregate=y")</f>
        <v>#NAME?</v>
      </c>
    </row>
    <row r="136" spans="1:20" x14ac:dyDescent="0.25">
      <c r="A136" t="e">
        <f ca="1">BDP("88035PX7 Muni","ID_CUSIP")</f>
        <v>#NAME?</v>
      </c>
      <c r="B136" t="e">
        <f ca="1">BDP("88035PX7 Muni","STATE_CODE")</f>
        <v>#NAME?</v>
      </c>
      <c r="C136" t="s">
        <v>25</v>
      </c>
      <c r="D136" t="e">
        <f ca="1">BDP("88035PX7 Muni","YIELD_ON_ISSUE_DATE")</f>
        <v>#NAME?</v>
      </c>
      <c r="E136">
        <v>1400000</v>
      </c>
      <c r="F136" t="e">
        <f ca="1">BDP("88035PX7 Muni","ISSUE_DT")</f>
        <v>#NAME?</v>
      </c>
      <c r="G136" t="e">
        <f ca="1">BDP("88035PX7 Muni","MATURITY")</f>
        <v>#NAME?</v>
      </c>
      <c r="H136" t="e">
        <f ca="1">BDP("88035PX7 Muni","MUNI_TAX_PROV")</f>
        <v>#NAME?</v>
      </c>
      <c r="I136" t="e">
        <f ca="1">BDP("88035PX7 Muni","FINANCING_TYPE")</f>
        <v>#NAME?</v>
      </c>
      <c r="J136" t="e">
        <f ca="1">BDP("88035PX7 Muni","BICS_LEVEL_2_INDUSTRY_GROUP_NAME")</f>
        <v>#NAME?</v>
      </c>
      <c r="K136" t="e">
        <f ca="1">BDP("88035PX7 Muni","SELF_REPRTD_GREEN_INSTR_INDCTR")</f>
        <v>#NAME?</v>
      </c>
      <c r="L136" t="e">
        <f ca="1">BDP("88035PX7 Muni","GB_MANAGEMENT_PROCEEDS")</f>
        <v>#NAME?</v>
      </c>
      <c r="M136" t="e">
        <f ca="1">BDP("88035PX7 Muni","GB_REPORTING")</f>
        <v>#NAME?</v>
      </c>
      <c r="N136" t="e">
        <f ca="1">BDP("88035PX7 Muni","GB_ASSURANCE_PROVIDERS")</f>
        <v>#NAME?</v>
      </c>
      <c r="O136" t="e">
        <f ca="1">BDP("88035PX7 Muni","GB_PROJECT_SELECTION_PROCESS")</f>
        <v>#NAME?</v>
      </c>
      <c r="P136" t="e">
        <f ca="1">BDP("88035PX7 Muni","ESG_FRAMEWORK_INDICATOR")</f>
        <v>#NAME?</v>
      </c>
      <c r="Q136" t="e">
        <f ca="1">BDP("88035PX7 Muni","BLOOMBERG_SECTOR_CODE")</f>
        <v>#NAME?</v>
      </c>
      <c r="R136" t="e">
        <f ca="1">BDP("88035PX7 Muni","ISSUER_TYPE")</f>
        <v>#NAME?</v>
      </c>
      <c r="S136" t="e">
        <f ca="1">BDS("88035PX7 Muni","ESG_PROJECT_CATEGORY", "aggregate=y")</f>
        <v>#NAME?</v>
      </c>
      <c r="T136" t="e">
        <f ca="1">BDS("88035PX7 Muni","ESG_PROJECT_SUBCATEGORY", "aggregate=y")</f>
        <v>#NAME?</v>
      </c>
    </row>
    <row r="137" spans="1:20" x14ac:dyDescent="0.25">
      <c r="A137" t="e">
        <f ca="1">BDP("88035PX8 Muni","ID_CUSIP")</f>
        <v>#NAME?</v>
      </c>
      <c r="B137" t="e">
        <f ca="1">BDP("88035PX8 Muni","STATE_CODE")</f>
        <v>#NAME?</v>
      </c>
      <c r="C137" t="s">
        <v>25</v>
      </c>
      <c r="D137" t="e">
        <f ca="1">BDP("88035PX8 Muni","YIELD_ON_ISSUE_DATE")</f>
        <v>#NAME?</v>
      </c>
      <c r="E137">
        <v>2000000</v>
      </c>
      <c r="F137" t="e">
        <f ca="1">BDP("88035PX8 Muni","ISSUE_DT")</f>
        <v>#NAME?</v>
      </c>
      <c r="G137" t="e">
        <f ca="1">BDP("88035PX8 Muni","MATURITY")</f>
        <v>#NAME?</v>
      </c>
      <c r="H137" t="e">
        <f ca="1">BDP("88035PX8 Muni","MUNI_TAX_PROV")</f>
        <v>#NAME?</v>
      </c>
      <c r="I137" t="e">
        <f ca="1">BDP("88035PX8 Muni","FINANCING_TYPE")</f>
        <v>#NAME?</v>
      </c>
      <c r="J137" t="e">
        <f ca="1">BDP("88035PX8 Muni","BICS_LEVEL_2_INDUSTRY_GROUP_NAME")</f>
        <v>#NAME?</v>
      </c>
      <c r="K137" t="e">
        <f ca="1">BDP("88035PX8 Muni","SELF_REPRTD_GREEN_INSTR_INDCTR")</f>
        <v>#NAME?</v>
      </c>
      <c r="L137" t="e">
        <f ca="1">BDP("88035PX8 Muni","GB_MANAGEMENT_PROCEEDS")</f>
        <v>#NAME?</v>
      </c>
      <c r="M137" t="e">
        <f ca="1">BDP("88035PX8 Muni","GB_REPORTING")</f>
        <v>#NAME?</v>
      </c>
      <c r="N137" t="e">
        <f ca="1">BDP("88035PX8 Muni","GB_ASSURANCE_PROVIDERS")</f>
        <v>#NAME?</v>
      </c>
      <c r="O137" t="e">
        <f ca="1">BDP("88035PX8 Muni","GB_PROJECT_SELECTION_PROCESS")</f>
        <v>#NAME?</v>
      </c>
      <c r="P137" t="e">
        <f ca="1">BDP("88035PX8 Muni","ESG_FRAMEWORK_INDICATOR")</f>
        <v>#NAME?</v>
      </c>
      <c r="Q137" t="e">
        <f ca="1">BDP("88035PX8 Muni","BLOOMBERG_SECTOR_CODE")</f>
        <v>#NAME?</v>
      </c>
      <c r="R137" t="e">
        <f ca="1">BDP("88035PX8 Muni","ISSUER_TYPE")</f>
        <v>#NAME?</v>
      </c>
      <c r="S137" t="e">
        <f ca="1">BDS("88035PX8 Muni","ESG_PROJECT_CATEGORY", "aggregate=y")</f>
        <v>#NAME?</v>
      </c>
      <c r="T137" t="e">
        <f ca="1">BDS("88035PX8 Muni","ESG_PROJECT_SUBCATEGORY", "aggregate=y")</f>
        <v>#NAME?</v>
      </c>
    </row>
    <row r="138" spans="1:20" x14ac:dyDescent="0.25">
      <c r="A138" t="e">
        <f ca="1">BDP("88035PXY Muni","ID_CUSIP")</f>
        <v>#NAME?</v>
      </c>
      <c r="B138" t="e">
        <f ca="1">BDP("88035PXY Muni","STATE_CODE")</f>
        <v>#NAME?</v>
      </c>
      <c r="C138" t="s">
        <v>25</v>
      </c>
      <c r="D138" t="e">
        <f ca="1">BDP("88035PXY Muni","YIELD_ON_ISSUE_DATE")</f>
        <v>#NAME?</v>
      </c>
      <c r="E138">
        <v>12000000</v>
      </c>
      <c r="F138" t="e">
        <f ca="1">BDP("88035PXY Muni","ISSUE_DT")</f>
        <v>#NAME?</v>
      </c>
      <c r="G138" t="e">
        <f ca="1">BDP("88035PXY Muni","MATURITY")</f>
        <v>#NAME?</v>
      </c>
      <c r="H138" t="e">
        <f ca="1">BDP("88035PXY Muni","MUNI_TAX_PROV")</f>
        <v>#NAME?</v>
      </c>
      <c r="I138" t="e">
        <f ca="1">BDP("88035PXY Muni","FINANCING_TYPE")</f>
        <v>#NAME?</v>
      </c>
      <c r="J138" t="e">
        <f ca="1">BDP("88035PXY Muni","BICS_LEVEL_2_INDUSTRY_GROUP_NAME")</f>
        <v>#NAME?</v>
      </c>
      <c r="K138" t="e">
        <f ca="1">BDP("88035PXY Muni","SELF_REPRTD_GREEN_INSTR_INDCTR")</f>
        <v>#NAME?</v>
      </c>
      <c r="L138" t="e">
        <f ca="1">BDP("88035PXY Muni","GB_MANAGEMENT_PROCEEDS")</f>
        <v>#NAME?</v>
      </c>
      <c r="M138" t="e">
        <f ca="1">BDP("88035PXY Muni","GB_REPORTING")</f>
        <v>#NAME?</v>
      </c>
      <c r="N138" t="e">
        <f ca="1">BDP("88035PXY Muni","GB_ASSURANCE_PROVIDERS")</f>
        <v>#NAME?</v>
      </c>
      <c r="O138" t="e">
        <f ca="1">BDP("88035PXY Muni","GB_PROJECT_SELECTION_PROCESS")</f>
        <v>#NAME?</v>
      </c>
      <c r="P138" t="e">
        <f ca="1">BDP("88035PXY Muni","ESG_FRAMEWORK_INDICATOR")</f>
        <v>#NAME?</v>
      </c>
      <c r="Q138" t="e">
        <f ca="1">BDP("88035PXY Muni","BLOOMBERG_SECTOR_CODE")</f>
        <v>#NAME?</v>
      </c>
      <c r="R138" t="e">
        <f ca="1">BDP("88035PXY Muni","ISSUER_TYPE")</f>
        <v>#NAME?</v>
      </c>
      <c r="S138" t="e">
        <f ca="1">BDS("88035PXY Muni","ESG_PROJECT_CATEGORY", "aggregate=y")</f>
        <v>#NAME?</v>
      </c>
      <c r="T138" t="e">
        <f ca="1">BDS("88035PXY Muni","ESG_PROJECT_SUBCATEGORY", "aggregate=y")</f>
        <v>#NAME?</v>
      </c>
    </row>
    <row r="139" spans="1:20" x14ac:dyDescent="0.25">
      <c r="A139" t="e">
        <f ca="1">BDP("88035PYY Muni","ID_CUSIP")</f>
        <v>#NAME?</v>
      </c>
      <c r="B139" t="e">
        <f ca="1">BDP("88035PYY Muni","STATE_CODE")</f>
        <v>#NAME?</v>
      </c>
      <c r="C139" t="s">
        <v>25</v>
      </c>
      <c r="D139" t="e">
        <f ca="1">BDP("88035PYY Muni","YIELD_ON_ISSUE_DATE")</f>
        <v>#NAME?</v>
      </c>
      <c r="E139">
        <v>2120000</v>
      </c>
      <c r="F139" t="e">
        <f ca="1">BDP("88035PYY Muni","ISSUE_DT")</f>
        <v>#NAME?</v>
      </c>
      <c r="G139" t="e">
        <f ca="1">BDP("88035PYY Muni","MATURITY")</f>
        <v>#NAME?</v>
      </c>
      <c r="H139" t="e">
        <f ca="1">BDP("88035PYY Muni","MUNI_TAX_PROV")</f>
        <v>#NAME?</v>
      </c>
      <c r="I139" t="e">
        <f ca="1">BDP("88035PYY Muni","FINANCING_TYPE")</f>
        <v>#NAME?</v>
      </c>
      <c r="J139" t="e">
        <f ca="1">BDP("88035PYY Muni","BICS_LEVEL_2_INDUSTRY_GROUP_NAME")</f>
        <v>#NAME?</v>
      </c>
      <c r="K139" t="e">
        <f ca="1">BDP("88035PYY Muni","SELF_REPRTD_GREEN_INSTR_INDCTR")</f>
        <v>#NAME?</v>
      </c>
      <c r="L139" t="e">
        <f ca="1">BDP("88035PYY Muni","GB_MANAGEMENT_PROCEEDS")</f>
        <v>#NAME?</v>
      </c>
      <c r="M139" t="e">
        <f ca="1">BDP("88035PYY Muni","GB_REPORTING")</f>
        <v>#NAME?</v>
      </c>
      <c r="N139" t="e">
        <f ca="1">BDP("88035PYY Muni","GB_ASSURANCE_PROVIDERS")</f>
        <v>#NAME?</v>
      </c>
      <c r="O139" t="e">
        <f ca="1">BDP("88035PYY Muni","GB_PROJECT_SELECTION_PROCESS")</f>
        <v>#NAME?</v>
      </c>
      <c r="P139" t="e">
        <f ca="1">BDP("88035PYY Muni","ESG_FRAMEWORK_INDICATOR")</f>
        <v>#NAME?</v>
      </c>
      <c r="Q139" t="e">
        <f ca="1">BDP("88035PYY Muni","BLOOMBERG_SECTOR_CODE")</f>
        <v>#NAME?</v>
      </c>
      <c r="R139" t="e">
        <f ca="1">BDP("88035PYY Muni","ISSUER_TYPE")</f>
        <v>#NAME?</v>
      </c>
      <c r="S139" t="e">
        <f ca="1">BDS("88035PYY Muni","ESG_PROJECT_CATEGORY", "aggregate=y")</f>
        <v>#NAME?</v>
      </c>
      <c r="T139" t="e">
        <f ca="1">BDS("88035PYY Muni","ESG_PROJECT_SUBCATEGORY", "aggregate=y")</f>
        <v>#NAME?</v>
      </c>
    </row>
    <row r="140" spans="1:20" x14ac:dyDescent="0.25">
      <c r="A140" t="e">
        <f ca="1">BDP("88035PYZ Muni","ID_CUSIP")</f>
        <v>#NAME?</v>
      </c>
      <c r="B140" t="e">
        <f ca="1">BDP("88035PYZ Muni","STATE_CODE")</f>
        <v>#NAME?</v>
      </c>
      <c r="C140" t="s">
        <v>25</v>
      </c>
      <c r="D140" t="e">
        <f ca="1">BDP("88035PYZ Muni","YIELD_ON_ISSUE_DATE")</f>
        <v>#NAME?</v>
      </c>
      <c r="E140">
        <v>8000000</v>
      </c>
      <c r="F140" t="e">
        <f ca="1">BDP("88035PYZ Muni","ISSUE_DT")</f>
        <v>#NAME?</v>
      </c>
      <c r="G140" t="e">
        <f ca="1">BDP("88035PYZ Muni","MATURITY")</f>
        <v>#NAME?</v>
      </c>
      <c r="H140" t="e">
        <f ca="1">BDP("88035PYZ Muni","MUNI_TAX_PROV")</f>
        <v>#NAME?</v>
      </c>
      <c r="I140" t="e">
        <f ca="1">BDP("88035PYZ Muni","FINANCING_TYPE")</f>
        <v>#NAME?</v>
      </c>
      <c r="J140" t="e">
        <f ca="1">BDP("88035PYZ Muni","BICS_LEVEL_2_INDUSTRY_GROUP_NAME")</f>
        <v>#NAME?</v>
      </c>
      <c r="K140" t="e">
        <f ca="1">BDP("88035PYZ Muni","SELF_REPRTD_GREEN_INSTR_INDCTR")</f>
        <v>#NAME?</v>
      </c>
      <c r="L140" t="e">
        <f ca="1">BDP("88035PYZ Muni","GB_MANAGEMENT_PROCEEDS")</f>
        <v>#NAME?</v>
      </c>
      <c r="M140" t="e">
        <f ca="1">BDP("88035PYZ Muni","GB_REPORTING")</f>
        <v>#NAME?</v>
      </c>
      <c r="N140" t="e">
        <f ca="1">BDP("88035PYZ Muni","GB_ASSURANCE_PROVIDERS")</f>
        <v>#NAME?</v>
      </c>
      <c r="O140" t="e">
        <f ca="1">BDP("88035PYZ Muni","GB_PROJECT_SELECTION_PROCESS")</f>
        <v>#NAME?</v>
      </c>
      <c r="P140" t="e">
        <f ca="1">BDP("88035PYZ Muni","ESG_FRAMEWORK_INDICATOR")</f>
        <v>#NAME?</v>
      </c>
      <c r="Q140" t="e">
        <f ca="1">BDP("88035PYZ Muni","BLOOMBERG_SECTOR_CODE")</f>
        <v>#NAME?</v>
      </c>
      <c r="R140" t="e">
        <f ca="1">BDP("88035PYZ Muni","ISSUER_TYPE")</f>
        <v>#NAME?</v>
      </c>
      <c r="S140" t="e">
        <f ca="1">BDS("88035PYZ Muni","ESG_PROJECT_CATEGORY", "aggregate=y")</f>
        <v>#NAME?</v>
      </c>
      <c r="T140" t="e">
        <f ca="1">BDS("88035PYZ Muni","ESG_PROJECT_SUBCATEGORY", "aggregate=y")</f>
        <v>#NAME?</v>
      </c>
    </row>
    <row r="141" spans="1:20" x14ac:dyDescent="0.25">
      <c r="A141" t="e">
        <f ca="1">BDP("88035PZA Muni","ID_CUSIP")</f>
        <v>#NAME?</v>
      </c>
      <c r="B141" t="e">
        <f ca="1">BDP("88035PZA Muni","STATE_CODE")</f>
        <v>#NAME?</v>
      </c>
      <c r="C141" t="s">
        <v>25</v>
      </c>
      <c r="D141" t="e">
        <f ca="1">BDP("88035PZA Muni","YIELD_ON_ISSUE_DATE")</f>
        <v>#NAME?</v>
      </c>
      <c r="E141">
        <v>2000000</v>
      </c>
      <c r="F141" t="e">
        <f ca="1">BDP("88035PZA Muni","ISSUE_DT")</f>
        <v>#NAME?</v>
      </c>
      <c r="G141" t="e">
        <f ca="1">BDP("88035PZA Muni","MATURITY")</f>
        <v>#NAME?</v>
      </c>
      <c r="H141" t="e">
        <f ca="1">BDP("88035PZA Muni","MUNI_TAX_PROV")</f>
        <v>#NAME?</v>
      </c>
      <c r="I141" t="e">
        <f ca="1">BDP("88035PZA Muni","FINANCING_TYPE")</f>
        <v>#NAME?</v>
      </c>
      <c r="J141" t="e">
        <f ca="1">BDP("88035PZA Muni","BICS_LEVEL_2_INDUSTRY_GROUP_NAME")</f>
        <v>#NAME?</v>
      </c>
      <c r="K141" t="e">
        <f ca="1">BDP("88035PZA Muni","SELF_REPRTD_GREEN_INSTR_INDCTR")</f>
        <v>#NAME?</v>
      </c>
      <c r="L141" t="e">
        <f ca="1">BDP("88035PZA Muni","GB_MANAGEMENT_PROCEEDS")</f>
        <v>#NAME?</v>
      </c>
      <c r="M141" t="e">
        <f ca="1">BDP("88035PZA Muni","GB_REPORTING")</f>
        <v>#NAME?</v>
      </c>
      <c r="N141" t="e">
        <f ca="1">BDP("88035PZA Muni","GB_ASSURANCE_PROVIDERS")</f>
        <v>#NAME?</v>
      </c>
      <c r="O141" t="e">
        <f ca="1">BDP("88035PZA Muni","GB_PROJECT_SELECTION_PROCESS")</f>
        <v>#NAME?</v>
      </c>
      <c r="P141" t="e">
        <f ca="1">BDP("88035PZA Muni","ESG_FRAMEWORK_INDICATOR")</f>
        <v>#NAME?</v>
      </c>
      <c r="Q141" t="e">
        <f ca="1">BDP("88035PZA Muni","BLOOMBERG_SECTOR_CODE")</f>
        <v>#NAME?</v>
      </c>
      <c r="R141" t="e">
        <f ca="1">BDP("88035PZA Muni","ISSUER_TYPE")</f>
        <v>#NAME?</v>
      </c>
      <c r="S141" t="e">
        <f ca="1">BDS("88035PZA Muni","ESG_PROJECT_CATEGORY", "aggregate=y")</f>
        <v>#NAME?</v>
      </c>
      <c r="T141" t="e">
        <f ca="1">BDS("88035PZA Muni","ESG_PROJECT_SUBCATEGORY", "aggregate=y")</f>
        <v>#NAME?</v>
      </c>
    </row>
    <row r="142" spans="1:20" x14ac:dyDescent="0.25">
      <c r="A142" t="e">
        <f ca="1">BDP("88035PZB Muni","ID_CUSIP")</f>
        <v>#NAME?</v>
      </c>
      <c r="B142" t="e">
        <f ca="1">BDP("88035PZB Muni","STATE_CODE")</f>
        <v>#NAME?</v>
      </c>
      <c r="C142" t="s">
        <v>25</v>
      </c>
      <c r="D142" t="e">
        <f ca="1">BDP("88035PZB Muni","YIELD_ON_ISSUE_DATE")</f>
        <v>#NAME?</v>
      </c>
      <c r="E142">
        <v>10000000</v>
      </c>
      <c r="F142" t="e">
        <f ca="1">BDP("88035PZB Muni","ISSUE_DT")</f>
        <v>#NAME?</v>
      </c>
      <c r="G142" t="e">
        <f ca="1">BDP("88035PZB Muni","MATURITY")</f>
        <v>#NAME?</v>
      </c>
      <c r="H142" t="e">
        <f ca="1">BDP("88035PZB Muni","MUNI_TAX_PROV")</f>
        <v>#NAME?</v>
      </c>
      <c r="I142" t="e">
        <f ca="1">BDP("88035PZB Muni","FINANCING_TYPE")</f>
        <v>#NAME?</v>
      </c>
      <c r="J142" t="e">
        <f ca="1">BDP("88035PZB Muni","BICS_LEVEL_2_INDUSTRY_GROUP_NAME")</f>
        <v>#NAME?</v>
      </c>
      <c r="K142" t="e">
        <f ca="1">BDP("88035PZB Muni","SELF_REPRTD_GREEN_INSTR_INDCTR")</f>
        <v>#NAME?</v>
      </c>
      <c r="L142" t="e">
        <f ca="1">BDP("88035PZB Muni","GB_MANAGEMENT_PROCEEDS")</f>
        <v>#NAME?</v>
      </c>
      <c r="M142" t="e">
        <f ca="1">BDP("88035PZB Muni","GB_REPORTING")</f>
        <v>#NAME?</v>
      </c>
      <c r="N142" t="e">
        <f ca="1">BDP("88035PZB Muni","GB_ASSURANCE_PROVIDERS")</f>
        <v>#NAME?</v>
      </c>
      <c r="O142" t="e">
        <f ca="1">BDP("88035PZB Muni","GB_PROJECT_SELECTION_PROCESS")</f>
        <v>#NAME?</v>
      </c>
      <c r="P142" t="e">
        <f ca="1">BDP("88035PZB Muni","ESG_FRAMEWORK_INDICATOR")</f>
        <v>#NAME?</v>
      </c>
      <c r="Q142" t="e">
        <f ca="1">BDP("88035PZB Muni","BLOOMBERG_SECTOR_CODE")</f>
        <v>#NAME?</v>
      </c>
      <c r="R142" t="e">
        <f ca="1">BDP("88035PZB Muni","ISSUER_TYPE")</f>
        <v>#NAME?</v>
      </c>
      <c r="S142" t="e">
        <f ca="1">BDS("88035PZB Muni","ESG_PROJECT_CATEGORY", "aggregate=y")</f>
        <v>#NAME?</v>
      </c>
      <c r="T142" t="e">
        <f ca="1">BDS("88035PZB Muni","ESG_PROJECT_SUBCATEGORY", "aggregate=y")</f>
        <v>#NAME?</v>
      </c>
    </row>
    <row r="143" spans="1:20" x14ac:dyDescent="0.25">
      <c r="A143" t="e">
        <f ca="1">BDP("88035R5B Muni","ID_CUSIP")</f>
        <v>#NAME?</v>
      </c>
      <c r="B143" t="e">
        <f ca="1">BDP("88035R5B Muni","STATE_CODE")</f>
        <v>#NAME?</v>
      </c>
      <c r="C143" t="s">
        <v>25</v>
      </c>
      <c r="D143" t="e">
        <f ca="1">BDP("88035R5B Muni","YIELD_ON_ISSUE_DATE")</f>
        <v>#NAME?</v>
      </c>
      <c r="E143">
        <v>8000000</v>
      </c>
      <c r="F143" t="e">
        <f ca="1">BDP("88035R5B Muni","ISSUE_DT")</f>
        <v>#NAME?</v>
      </c>
      <c r="G143" t="e">
        <f ca="1">BDP("88035R5B Muni","MATURITY")</f>
        <v>#NAME?</v>
      </c>
      <c r="H143" t="e">
        <f ca="1">BDP("88035R5B Muni","MUNI_TAX_PROV")</f>
        <v>#NAME?</v>
      </c>
      <c r="I143" t="e">
        <f ca="1">BDP("88035R5B Muni","FINANCING_TYPE")</f>
        <v>#NAME?</v>
      </c>
      <c r="J143" t="e">
        <f ca="1">BDP("88035R5B Muni","BICS_LEVEL_2_INDUSTRY_GROUP_NAME")</f>
        <v>#NAME?</v>
      </c>
      <c r="K143" t="e">
        <f ca="1">BDP("88035R5B Muni","SELF_REPRTD_GREEN_INSTR_INDCTR")</f>
        <v>#NAME?</v>
      </c>
      <c r="L143" t="e">
        <f ca="1">BDP("88035R5B Muni","GB_MANAGEMENT_PROCEEDS")</f>
        <v>#NAME?</v>
      </c>
      <c r="M143" t="e">
        <f ca="1">BDP("88035R5B Muni","GB_REPORTING")</f>
        <v>#NAME?</v>
      </c>
      <c r="N143" t="e">
        <f ca="1">BDP("88035R5B Muni","GB_ASSURANCE_PROVIDERS")</f>
        <v>#NAME?</v>
      </c>
      <c r="O143" t="e">
        <f ca="1">BDP("88035R5B Muni","GB_PROJECT_SELECTION_PROCESS")</f>
        <v>#NAME?</v>
      </c>
      <c r="P143" t="e">
        <f ca="1">BDP("88035R5B Muni","ESG_FRAMEWORK_INDICATOR")</f>
        <v>#NAME?</v>
      </c>
      <c r="Q143" t="e">
        <f ca="1">BDP("88035R5B Muni","BLOOMBERG_SECTOR_CODE")</f>
        <v>#NAME?</v>
      </c>
      <c r="R143" t="e">
        <f ca="1">BDP("88035R5B Muni","ISSUER_TYPE")</f>
        <v>#NAME?</v>
      </c>
      <c r="S143" t="e">
        <f ca="1">BDS("88035R5B Muni","ESG_PROJECT_CATEGORY", "aggregate=y")</f>
        <v>#NAME?</v>
      </c>
      <c r="T143" t="e">
        <f ca="1">BDS("88035R5B Muni","ESG_PROJECT_SUBCATEGORY", "aggregate=y")</f>
        <v>#NAME?</v>
      </c>
    </row>
    <row r="144" spans="1:20" x14ac:dyDescent="0.25">
      <c r="A144" t="e">
        <f ca="1">BDP("88035RG8 Muni","ID_CUSIP")</f>
        <v>#NAME?</v>
      </c>
      <c r="B144" t="e">
        <f ca="1">BDP("88035RG8 Muni","STATE_CODE")</f>
        <v>#NAME?</v>
      </c>
      <c r="C144" t="s">
        <v>25</v>
      </c>
      <c r="D144" t="e">
        <f ca="1">BDP("88035RG8 Muni","YIELD_ON_ISSUE_DATE")</f>
        <v>#NAME?</v>
      </c>
      <c r="E144">
        <v>2300000</v>
      </c>
      <c r="F144" t="e">
        <f ca="1">BDP("88035RG8 Muni","ISSUE_DT")</f>
        <v>#NAME?</v>
      </c>
      <c r="G144" t="e">
        <f ca="1">BDP("88035RG8 Muni","MATURITY")</f>
        <v>#NAME?</v>
      </c>
      <c r="H144" t="e">
        <f ca="1">BDP("88035RG8 Muni","MUNI_TAX_PROV")</f>
        <v>#NAME?</v>
      </c>
      <c r="I144" t="e">
        <f ca="1">BDP("88035RG8 Muni","FINANCING_TYPE")</f>
        <v>#NAME?</v>
      </c>
      <c r="J144" t="e">
        <f ca="1">BDP("88035RG8 Muni","BICS_LEVEL_2_INDUSTRY_GROUP_NAME")</f>
        <v>#NAME?</v>
      </c>
      <c r="K144" t="e">
        <f ca="1">BDP("88035RG8 Muni","SELF_REPRTD_GREEN_INSTR_INDCTR")</f>
        <v>#NAME?</v>
      </c>
      <c r="L144" t="e">
        <f ca="1">BDP("88035RG8 Muni","GB_MANAGEMENT_PROCEEDS")</f>
        <v>#NAME?</v>
      </c>
      <c r="M144" t="e">
        <f ca="1">BDP("88035RG8 Muni","GB_REPORTING")</f>
        <v>#NAME?</v>
      </c>
      <c r="N144" t="e">
        <f ca="1">BDP("88035RG8 Muni","GB_ASSURANCE_PROVIDERS")</f>
        <v>#NAME?</v>
      </c>
      <c r="O144" t="e">
        <f ca="1">BDP("88035RG8 Muni","GB_PROJECT_SELECTION_PROCESS")</f>
        <v>#NAME?</v>
      </c>
      <c r="P144" t="e">
        <f ca="1">BDP("88035RG8 Muni","ESG_FRAMEWORK_INDICATOR")</f>
        <v>#NAME?</v>
      </c>
      <c r="Q144" t="e">
        <f ca="1">BDP("88035RG8 Muni","BLOOMBERG_SECTOR_CODE")</f>
        <v>#NAME?</v>
      </c>
      <c r="R144" t="e">
        <f ca="1">BDP("88035RG8 Muni","ISSUER_TYPE")</f>
        <v>#NAME?</v>
      </c>
      <c r="S144" t="e">
        <f ca="1">BDS("88035RG8 Muni","ESG_PROJECT_CATEGORY", "aggregate=y")</f>
        <v>#NAME?</v>
      </c>
      <c r="T144" t="e">
        <f ca="1">BDS("88035RG8 Muni","ESG_PROJECT_SUBCATEGORY", "aggregate=y")</f>
        <v>#NAME?</v>
      </c>
    </row>
    <row r="145" spans="1:20" x14ac:dyDescent="0.25">
      <c r="A145" t="e">
        <f ca="1">BDP("88035RGU Muni","ID_CUSIP")</f>
        <v>#NAME?</v>
      </c>
      <c r="B145" t="e">
        <f ca="1">BDP("88035RGU Muni","STATE_CODE")</f>
        <v>#NAME?</v>
      </c>
      <c r="C145" t="s">
        <v>25</v>
      </c>
      <c r="D145" t="e">
        <f ca="1">BDP("88035RGU Muni","YIELD_ON_ISSUE_DATE")</f>
        <v>#NAME?</v>
      </c>
      <c r="E145">
        <v>3935000</v>
      </c>
      <c r="F145" t="e">
        <f ca="1">BDP("88035RGU Muni","ISSUE_DT")</f>
        <v>#NAME?</v>
      </c>
      <c r="G145" t="e">
        <f ca="1">BDP("88035RGU Muni","MATURITY")</f>
        <v>#NAME?</v>
      </c>
      <c r="H145" t="e">
        <f ca="1">BDP("88035RGU Muni","MUNI_TAX_PROV")</f>
        <v>#NAME?</v>
      </c>
      <c r="I145" t="e">
        <f ca="1">BDP("88035RGU Muni","FINANCING_TYPE")</f>
        <v>#NAME?</v>
      </c>
      <c r="J145" t="e">
        <f ca="1">BDP("88035RGU Muni","BICS_LEVEL_2_INDUSTRY_GROUP_NAME")</f>
        <v>#NAME?</v>
      </c>
      <c r="K145" t="e">
        <f ca="1">BDP("88035RGU Muni","SELF_REPRTD_GREEN_INSTR_INDCTR")</f>
        <v>#NAME?</v>
      </c>
      <c r="L145" t="e">
        <f ca="1">BDP("88035RGU Muni","GB_MANAGEMENT_PROCEEDS")</f>
        <v>#NAME?</v>
      </c>
      <c r="M145" t="e">
        <f ca="1">BDP("88035RGU Muni","GB_REPORTING")</f>
        <v>#NAME?</v>
      </c>
      <c r="N145" t="e">
        <f ca="1">BDP("88035RGU Muni","GB_ASSURANCE_PROVIDERS")</f>
        <v>#NAME?</v>
      </c>
      <c r="O145" t="e">
        <f ca="1">BDP("88035RGU Muni","GB_PROJECT_SELECTION_PROCESS")</f>
        <v>#NAME?</v>
      </c>
      <c r="P145" t="e">
        <f ca="1">BDP("88035RGU Muni","ESG_FRAMEWORK_INDICATOR")</f>
        <v>#NAME?</v>
      </c>
      <c r="Q145" t="e">
        <f ca="1">BDP("88035RGU Muni","BLOOMBERG_SECTOR_CODE")</f>
        <v>#NAME?</v>
      </c>
      <c r="R145" t="e">
        <f ca="1">BDP("88035RGU Muni","ISSUER_TYPE")</f>
        <v>#NAME?</v>
      </c>
      <c r="S145" t="e">
        <f ca="1">BDS("88035RGU Muni","ESG_PROJECT_CATEGORY", "aggregate=y")</f>
        <v>#NAME?</v>
      </c>
      <c r="T145" t="e">
        <f ca="1">BDS("88035RGU Muni","ESG_PROJECT_SUBCATEGORY", "aggregate=y")</f>
        <v>#NAME?</v>
      </c>
    </row>
    <row r="146" spans="1:20" x14ac:dyDescent="0.25">
      <c r="A146" t="e">
        <f ca="1">BDP("88035TFT Muni","ID_CUSIP")</f>
        <v>#NAME?</v>
      </c>
      <c r="B146" t="e">
        <f ca="1">BDP("88035TFT Muni","STATE_CODE")</f>
        <v>#NAME?</v>
      </c>
      <c r="C146" t="s">
        <v>25</v>
      </c>
      <c r="D146" t="e">
        <f ca="1">BDP("88035TFT Muni","YIELD_ON_ISSUE_DATE")</f>
        <v>#NAME?</v>
      </c>
      <c r="E146">
        <v>1130000</v>
      </c>
      <c r="F146" t="e">
        <f ca="1">BDP("88035TFT Muni","ISSUE_DT")</f>
        <v>#NAME?</v>
      </c>
      <c r="G146" t="e">
        <f ca="1">BDP("88035TFT Muni","MATURITY")</f>
        <v>#NAME?</v>
      </c>
      <c r="H146" t="e">
        <f ca="1">BDP("88035TFT Muni","MUNI_TAX_PROV")</f>
        <v>#NAME?</v>
      </c>
      <c r="I146" t="e">
        <f ca="1">BDP("88035TFT Muni","FINANCING_TYPE")</f>
        <v>#NAME?</v>
      </c>
      <c r="J146" t="e">
        <f ca="1">BDP("88035TFT Muni","BICS_LEVEL_2_INDUSTRY_GROUP_NAME")</f>
        <v>#NAME?</v>
      </c>
      <c r="K146" t="e">
        <f ca="1">BDP("88035TFT Muni","SELF_REPRTD_GREEN_INSTR_INDCTR")</f>
        <v>#NAME?</v>
      </c>
      <c r="L146" t="e">
        <f ca="1">BDP("88035TFT Muni","GB_MANAGEMENT_PROCEEDS")</f>
        <v>#NAME?</v>
      </c>
      <c r="M146" t="e">
        <f ca="1">BDP("88035TFT Muni","GB_REPORTING")</f>
        <v>#NAME?</v>
      </c>
      <c r="N146" t="e">
        <f ca="1">BDP("88035TFT Muni","GB_ASSURANCE_PROVIDERS")</f>
        <v>#NAME?</v>
      </c>
      <c r="O146" t="e">
        <f ca="1">BDP("88035TFT Muni","GB_PROJECT_SELECTION_PROCESS")</f>
        <v>#NAME?</v>
      </c>
      <c r="P146" t="e">
        <f ca="1">BDP("88035TFT Muni","ESG_FRAMEWORK_INDICATOR")</f>
        <v>#NAME?</v>
      </c>
      <c r="Q146" t="e">
        <f ca="1">BDP("88035TFT Muni","BLOOMBERG_SECTOR_CODE")</f>
        <v>#NAME?</v>
      </c>
      <c r="R146" t="e">
        <f ca="1">BDP("88035TFT Muni","ISSUER_TYPE")</f>
        <v>#NAME?</v>
      </c>
      <c r="S146" t="e">
        <f ca="1">BDS("88035TFT Muni","ESG_PROJECT_CATEGORY", "aggregate=y")</f>
        <v>#NAME?</v>
      </c>
      <c r="T146" t="e">
        <f ca="1">BDS("88035TFT Muni","ESG_PROJECT_SUBCATEGORY", "aggregate=y")</f>
        <v>#NAME?</v>
      </c>
    </row>
    <row r="147" spans="1:20" x14ac:dyDescent="0.25">
      <c r="A147" t="e">
        <f ca="1">BDP("959215GJ Muni","ID_CUSIP")</f>
        <v>#NAME?</v>
      </c>
      <c r="B147" t="e">
        <f ca="1">BDP("959215GJ Muni","STATE_CODE")</f>
        <v>#NAME?</v>
      </c>
      <c r="C147" t="s">
        <v>26</v>
      </c>
      <c r="D147" t="e">
        <f ca="1">BDP("959215GJ Muni","YIELD_ON_ISSUE_DATE")</f>
        <v>#NAME?</v>
      </c>
      <c r="E147">
        <v>655000</v>
      </c>
      <c r="F147" t="e">
        <f ca="1">BDP("959215GJ Muni","ISSUE_DT")</f>
        <v>#NAME?</v>
      </c>
      <c r="G147" t="e">
        <f ca="1">BDP("959215GJ Muni","MATURITY")</f>
        <v>#NAME?</v>
      </c>
      <c r="H147" t="e">
        <f ca="1">BDP("959215GJ Muni","MUNI_TAX_PROV")</f>
        <v>#NAME?</v>
      </c>
      <c r="I147" t="e">
        <f ca="1">BDP("959215GJ Muni","FINANCING_TYPE")</f>
        <v>#NAME?</v>
      </c>
      <c r="J147" t="e">
        <f ca="1">BDP("959215GJ Muni","BICS_LEVEL_2_INDUSTRY_GROUP_NAME")</f>
        <v>#NAME?</v>
      </c>
      <c r="K147" t="e">
        <f ca="1">BDP("959215GJ Muni","SELF_REPRTD_GREEN_INSTR_INDCTR")</f>
        <v>#NAME?</v>
      </c>
      <c r="L147" t="e">
        <f ca="1">BDP("959215GJ Muni","GB_MANAGEMENT_PROCEEDS")</f>
        <v>#NAME?</v>
      </c>
      <c r="M147" t="e">
        <f ca="1">BDP("959215GJ Muni","GB_REPORTING")</f>
        <v>#NAME?</v>
      </c>
      <c r="N147" t="e">
        <f ca="1">BDP("959215GJ Muni","GB_ASSURANCE_PROVIDERS")</f>
        <v>#NAME?</v>
      </c>
      <c r="O147" t="e">
        <f ca="1">BDP("959215GJ Muni","GB_PROJECT_SELECTION_PROCESS")</f>
        <v>#NAME?</v>
      </c>
      <c r="P147" t="e">
        <f ca="1">BDP("959215GJ Muni","ESG_FRAMEWORK_INDICATOR")</f>
        <v>#NAME?</v>
      </c>
      <c r="Q147" t="e">
        <f ca="1">BDP("959215GJ Muni","BLOOMBERG_SECTOR_CODE")</f>
        <v>#NAME?</v>
      </c>
      <c r="R147" t="e">
        <f ca="1">BDP("959215GJ Muni","ISSUER_TYPE")</f>
        <v>#NAME?</v>
      </c>
      <c r="S147" t="e">
        <f ca="1">BDS("959215GJ Muni","ESG_PROJECT_CATEGORY", "aggregate=y")</f>
        <v>#NAME?</v>
      </c>
      <c r="T147" t="e">
        <f ca="1">BDS("959215GJ Muni","ESG_PROJECT_SUBCATEGORY", "aggregate=y")</f>
        <v>#NAME?</v>
      </c>
    </row>
    <row r="148" spans="1:20" x14ac:dyDescent="0.25">
      <c r="A148" t="e">
        <f ca="1">BDP("959215GK Muni","ID_CUSIP")</f>
        <v>#NAME?</v>
      </c>
      <c r="B148" t="e">
        <f ca="1">BDP("959215GK Muni","STATE_CODE")</f>
        <v>#NAME?</v>
      </c>
      <c r="C148" t="s">
        <v>26</v>
      </c>
      <c r="D148" t="e">
        <f ca="1">BDP("959215GK Muni","YIELD_ON_ISSUE_DATE")</f>
        <v>#NAME?</v>
      </c>
      <c r="E148">
        <v>730000</v>
      </c>
      <c r="F148" t="e">
        <f ca="1">BDP("959215GK Muni","ISSUE_DT")</f>
        <v>#NAME?</v>
      </c>
      <c r="G148" t="e">
        <f ca="1">BDP("959215GK Muni","MATURITY")</f>
        <v>#NAME?</v>
      </c>
      <c r="H148" t="e">
        <f ca="1">BDP("959215GK Muni","MUNI_TAX_PROV")</f>
        <v>#NAME?</v>
      </c>
      <c r="I148" t="e">
        <f ca="1">BDP("959215GK Muni","FINANCING_TYPE")</f>
        <v>#NAME?</v>
      </c>
      <c r="J148" t="e">
        <f ca="1">BDP("959215GK Muni","BICS_LEVEL_2_INDUSTRY_GROUP_NAME")</f>
        <v>#NAME?</v>
      </c>
      <c r="K148" t="e">
        <f ca="1">BDP("959215GK Muni","SELF_REPRTD_GREEN_INSTR_INDCTR")</f>
        <v>#NAME?</v>
      </c>
      <c r="L148" t="e">
        <f ca="1">BDP("959215GK Muni","GB_MANAGEMENT_PROCEEDS")</f>
        <v>#NAME?</v>
      </c>
      <c r="M148" t="e">
        <f ca="1">BDP("959215GK Muni","GB_REPORTING")</f>
        <v>#NAME?</v>
      </c>
      <c r="N148" t="e">
        <f ca="1">BDP("959215GK Muni","GB_ASSURANCE_PROVIDERS")</f>
        <v>#NAME?</v>
      </c>
      <c r="O148" t="e">
        <f ca="1">BDP("959215GK Muni","GB_PROJECT_SELECTION_PROCESS")</f>
        <v>#NAME?</v>
      </c>
      <c r="P148" t="e">
        <f ca="1">BDP("959215GK Muni","ESG_FRAMEWORK_INDICATOR")</f>
        <v>#NAME?</v>
      </c>
      <c r="Q148" t="e">
        <f ca="1">BDP("959215GK Muni","BLOOMBERG_SECTOR_CODE")</f>
        <v>#NAME?</v>
      </c>
      <c r="R148" t="e">
        <f ca="1">BDP("959215GK Muni","ISSUER_TYPE")</f>
        <v>#NAME?</v>
      </c>
      <c r="S148" t="e">
        <f ca="1">BDS("959215GK Muni","ESG_PROJECT_CATEGORY", "aggregate=y")</f>
        <v>#NAME?</v>
      </c>
      <c r="T148" t="e">
        <f ca="1">BDS("959215GK Muni","ESG_PROJECT_SUBCATEGORY", "aggregate=y")</f>
        <v>#NAME?</v>
      </c>
    </row>
    <row r="149" spans="1:20" x14ac:dyDescent="0.25">
      <c r="A149" t="e">
        <f ca="1">BDP("959215GP Muni","ID_CUSIP")</f>
        <v>#NAME?</v>
      </c>
      <c r="B149" t="e">
        <f ca="1">BDP("959215GP Muni","STATE_CODE")</f>
        <v>#NAME?</v>
      </c>
      <c r="C149" t="s">
        <v>26</v>
      </c>
      <c r="D149" t="e">
        <f ca="1">BDP("959215GP Muni","YIELD_ON_ISSUE_DATE")</f>
        <v>#NAME?</v>
      </c>
      <c r="E149">
        <v>2255000</v>
      </c>
      <c r="F149" t="e">
        <f ca="1">BDP("959215GP Muni","ISSUE_DT")</f>
        <v>#NAME?</v>
      </c>
      <c r="G149" t="e">
        <f ca="1">BDP("959215GP Muni","MATURITY")</f>
        <v>#NAME?</v>
      </c>
      <c r="H149" t="e">
        <f ca="1">BDP("959215GP Muni","MUNI_TAX_PROV")</f>
        <v>#NAME?</v>
      </c>
      <c r="I149" t="e">
        <f ca="1">BDP("959215GP Muni","FINANCING_TYPE")</f>
        <v>#NAME?</v>
      </c>
      <c r="J149" t="e">
        <f ca="1">BDP("959215GP Muni","BICS_LEVEL_2_INDUSTRY_GROUP_NAME")</f>
        <v>#NAME?</v>
      </c>
      <c r="K149" t="e">
        <f ca="1">BDP("959215GP Muni","SELF_REPRTD_GREEN_INSTR_INDCTR")</f>
        <v>#NAME?</v>
      </c>
      <c r="L149" t="e">
        <f ca="1">BDP("959215GP Muni","GB_MANAGEMENT_PROCEEDS")</f>
        <v>#NAME?</v>
      </c>
      <c r="M149" t="e">
        <f ca="1">BDP("959215GP Muni","GB_REPORTING")</f>
        <v>#NAME?</v>
      </c>
      <c r="N149" t="e">
        <f ca="1">BDP("959215GP Muni","GB_ASSURANCE_PROVIDERS")</f>
        <v>#NAME?</v>
      </c>
      <c r="O149" t="e">
        <f ca="1">BDP("959215GP Muni","GB_PROJECT_SELECTION_PROCESS")</f>
        <v>#NAME?</v>
      </c>
      <c r="P149" t="e">
        <f ca="1">BDP("959215GP Muni","ESG_FRAMEWORK_INDICATOR")</f>
        <v>#NAME?</v>
      </c>
      <c r="Q149" t="e">
        <f ca="1">BDP("959215GP Muni","BLOOMBERG_SECTOR_CODE")</f>
        <v>#NAME?</v>
      </c>
      <c r="R149" t="e">
        <f ca="1">BDP("959215GP Muni","ISSUER_TYPE")</f>
        <v>#NAME?</v>
      </c>
      <c r="S149" t="e">
        <f ca="1">BDS("959215GP Muni","ESG_PROJECT_CATEGORY", "aggregate=y")</f>
        <v>#NAME?</v>
      </c>
      <c r="T149" t="e">
        <f ca="1">BDS("959215GP Muni","ESG_PROJECT_SUBCATEGORY", "aggregate=y")</f>
        <v>#NAME?</v>
      </c>
    </row>
    <row r="150" spans="1:20" x14ac:dyDescent="0.25">
      <c r="A150" t="e">
        <f ca="1">BDP("959215GT Muni","ID_CUSIP")</f>
        <v>#NAME?</v>
      </c>
      <c r="B150" t="e">
        <f ca="1">BDP("959215GT Muni","STATE_CODE")</f>
        <v>#NAME?</v>
      </c>
      <c r="C150" t="s">
        <v>26</v>
      </c>
      <c r="D150" t="e">
        <f ca="1">BDP("959215GT Muni","YIELD_ON_ISSUE_DATE")</f>
        <v>#NAME?</v>
      </c>
      <c r="E150">
        <v>175000</v>
      </c>
      <c r="F150" t="e">
        <f ca="1">BDP("959215GT Muni","ISSUE_DT")</f>
        <v>#NAME?</v>
      </c>
      <c r="G150" t="e">
        <f ca="1">BDP("959215GT Muni","MATURITY")</f>
        <v>#NAME?</v>
      </c>
      <c r="H150" t="e">
        <f ca="1">BDP("959215GT Muni","MUNI_TAX_PROV")</f>
        <v>#NAME?</v>
      </c>
      <c r="I150" t="e">
        <f ca="1">BDP("959215GT Muni","FINANCING_TYPE")</f>
        <v>#NAME?</v>
      </c>
      <c r="J150" t="e">
        <f ca="1">BDP("959215GT Muni","BICS_LEVEL_2_INDUSTRY_GROUP_NAME")</f>
        <v>#NAME?</v>
      </c>
      <c r="K150" t="e">
        <f ca="1">BDP("959215GT Muni","SELF_REPRTD_GREEN_INSTR_INDCTR")</f>
        <v>#NAME?</v>
      </c>
      <c r="L150" t="e">
        <f ca="1">BDP("959215GT Muni","GB_MANAGEMENT_PROCEEDS")</f>
        <v>#NAME?</v>
      </c>
      <c r="M150" t="e">
        <f ca="1">BDP("959215GT Muni","GB_REPORTING")</f>
        <v>#NAME?</v>
      </c>
      <c r="N150" t="e">
        <f ca="1">BDP("959215GT Muni","GB_ASSURANCE_PROVIDERS")</f>
        <v>#NAME?</v>
      </c>
      <c r="O150" t="e">
        <f ca="1">BDP("959215GT Muni","GB_PROJECT_SELECTION_PROCESS")</f>
        <v>#NAME?</v>
      </c>
      <c r="P150" t="e">
        <f ca="1">BDP("959215GT Muni","ESG_FRAMEWORK_INDICATOR")</f>
        <v>#NAME?</v>
      </c>
      <c r="Q150" t="e">
        <f ca="1">BDP("959215GT Muni","BLOOMBERG_SECTOR_CODE")</f>
        <v>#NAME?</v>
      </c>
      <c r="R150" t="e">
        <f ca="1">BDP("959215GT Muni","ISSUER_TYPE")</f>
        <v>#NAME?</v>
      </c>
      <c r="S150" t="e">
        <f ca="1">BDS("959215GT Muni","ESG_PROJECT_CATEGORY", "aggregate=y")</f>
        <v>#NAME?</v>
      </c>
      <c r="T150" t="e">
        <f ca="1">BDS("959215GT Muni","ESG_PROJECT_SUBCATEGORY", "aggregate=y")</f>
        <v>#NAME?</v>
      </c>
    </row>
    <row r="151" spans="1:20" x14ac:dyDescent="0.25">
      <c r="A151" t="e">
        <f ca="1">BDP("13034A7J Muni","ID_CUSIP")</f>
        <v>#NAME?</v>
      </c>
      <c r="B151" t="e">
        <f ca="1">BDP("13034A7J Muni","STATE_CODE")</f>
        <v>#NAME?</v>
      </c>
      <c r="C151" t="s">
        <v>27</v>
      </c>
      <c r="D151" t="e">
        <f ca="1">BDP("13034A7J Muni","YIELD_ON_ISSUE_DATE")</f>
        <v>#NAME?</v>
      </c>
      <c r="E151">
        <v>13155000</v>
      </c>
      <c r="F151" t="e">
        <f ca="1">BDP("13034A7J Muni","ISSUE_DT")</f>
        <v>#NAME?</v>
      </c>
      <c r="G151" t="e">
        <f ca="1">BDP("13034A7J Muni","MATURITY")</f>
        <v>#NAME?</v>
      </c>
      <c r="H151" t="e">
        <f ca="1">BDP("13034A7J Muni","MUNI_TAX_PROV")</f>
        <v>#NAME?</v>
      </c>
      <c r="I151" t="e">
        <f ca="1">BDP("13034A7J Muni","FINANCING_TYPE")</f>
        <v>#NAME?</v>
      </c>
      <c r="J151" t="e">
        <f ca="1">BDP("13034A7J Muni","BICS_LEVEL_2_INDUSTRY_GROUP_NAME")</f>
        <v>#NAME?</v>
      </c>
      <c r="K151" t="e">
        <f ca="1">BDP("13034A7J Muni","SELF_REPRTD_GREEN_INSTR_INDCTR")</f>
        <v>#NAME?</v>
      </c>
      <c r="L151" t="e">
        <f ca="1">BDP("13034A7J Muni","GB_MANAGEMENT_PROCEEDS")</f>
        <v>#NAME?</v>
      </c>
      <c r="M151" t="e">
        <f ca="1">BDP("13034A7J Muni","GB_REPORTING")</f>
        <v>#NAME?</v>
      </c>
      <c r="N151" t="e">
        <f ca="1">BDP("13034A7J Muni","GB_ASSURANCE_PROVIDERS")</f>
        <v>#NAME?</v>
      </c>
      <c r="O151" t="e">
        <f ca="1">BDP("13034A7J Muni","GB_PROJECT_SELECTION_PROCESS")</f>
        <v>#NAME?</v>
      </c>
      <c r="P151" t="e">
        <f ca="1">BDP("13034A7J Muni","ESG_FRAMEWORK_INDICATOR")</f>
        <v>#NAME?</v>
      </c>
      <c r="Q151" t="e">
        <f ca="1">BDP("13034A7J Muni","BLOOMBERG_SECTOR_CODE")</f>
        <v>#NAME?</v>
      </c>
      <c r="R151" t="e">
        <f ca="1">BDP("13034A7J Muni","ISSUER_TYPE")</f>
        <v>#NAME?</v>
      </c>
      <c r="S151" t="e">
        <f ca="1">BDS("13034A7J Muni","ESG_PROJECT_CATEGORY", "aggregate=y")</f>
        <v>#NAME?</v>
      </c>
      <c r="T151" t="e">
        <f ca="1">BDS("13034A7J Muni","ESG_PROJECT_SUBCATEGORY", "aggregate=y")</f>
        <v>#NAME?</v>
      </c>
    </row>
    <row r="152" spans="1:20" x14ac:dyDescent="0.25">
      <c r="A152" t="e">
        <f ca="1">BDP("13034A7K Muni","ID_CUSIP")</f>
        <v>#NAME?</v>
      </c>
      <c r="B152" t="e">
        <f ca="1">BDP("13034A7K Muni","STATE_CODE")</f>
        <v>#NAME?</v>
      </c>
      <c r="C152" t="s">
        <v>27</v>
      </c>
      <c r="D152" t="e">
        <f ca="1">BDP("13034A7K Muni","YIELD_ON_ISSUE_DATE")</f>
        <v>#NAME?</v>
      </c>
      <c r="E152">
        <v>13815000</v>
      </c>
      <c r="F152" t="e">
        <f ca="1">BDP("13034A7K Muni","ISSUE_DT")</f>
        <v>#NAME?</v>
      </c>
      <c r="G152" t="e">
        <f ca="1">BDP("13034A7K Muni","MATURITY")</f>
        <v>#NAME?</v>
      </c>
      <c r="H152" t="e">
        <f ca="1">BDP("13034A7K Muni","MUNI_TAX_PROV")</f>
        <v>#NAME?</v>
      </c>
      <c r="I152" t="e">
        <f ca="1">BDP("13034A7K Muni","FINANCING_TYPE")</f>
        <v>#NAME?</v>
      </c>
      <c r="J152" t="e">
        <f ca="1">BDP("13034A7K Muni","BICS_LEVEL_2_INDUSTRY_GROUP_NAME")</f>
        <v>#NAME?</v>
      </c>
      <c r="K152" t="e">
        <f ca="1">BDP("13034A7K Muni","SELF_REPRTD_GREEN_INSTR_INDCTR")</f>
        <v>#NAME?</v>
      </c>
      <c r="L152" t="e">
        <f ca="1">BDP("13034A7K Muni","GB_MANAGEMENT_PROCEEDS")</f>
        <v>#NAME?</v>
      </c>
      <c r="M152" t="e">
        <f ca="1">BDP("13034A7K Muni","GB_REPORTING")</f>
        <v>#NAME?</v>
      </c>
      <c r="N152" t="e">
        <f ca="1">BDP("13034A7K Muni","GB_ASSURANCE_PROVIDERS")</f>
        <v>#NAME?</v>
      </c>
      <c r="O152" t="e">
        <f ca="1">BDP("13034A7K Muni","GB_PROJECT_SELECTION_PROCESS")</f>
        <v>#NAME?</v>
      </c>
      <c r="P152" t="e">
        <f ca="1">BDP("13034A7K Muni","ESG_FRAMEWORK_INDICATOR")</f>
        <v>#NAME?</v>
      </c>
      <c r="Q152" t="e">
        <f ca="1">BDP("13034A7K Muni","BLOOMBERG_SECTOR_CODE")</f>
        <v>#NAME?</v>
      </c>
      <c r="R152" t="e">
        <f ca="1">BDP("13034A7K Muni","ISSUER_TYPE")</f>
        <v>#NAME?</v>
      </c>
      <c r="S152" t="e">
        <f ca="1">BDS("13034A7K Muni","ESG_PROJECT_CATEGORY", "aggregate=y")</f>
        <v>#NAME?</v>
      </c>
      <c r="T152" t="e">
        <f ca="1">BDS("13034A7K Muni","ESG_PROJECT_SUBCATEGORY", "aggregate=y")</f>
        <v>#NAME?</v>
      </c>
    </row>
    <row r="153" spans="1:20" x14ac:dyDescent="0.25">
      <c r="A153" t="e">
        <f ca="1">BDP("797669A6 Muni","ID_CUSIP")</f>
        <v>#NAME?</v>
      </c>
      <c r="B153" t="e">
        <f ca="1">BDP("797669A6 Muni","STATE_CODE")</f>
        <v>#NAME?</v>
      </c>
      <c r="C153" t="s">
        <v>28</v>
      </c>
      <c r="D153" t="e">
        <f ca="1">BDP("797669A6 Muni","YIELD_ON_ISSUE_DATE")</f>
        <v>#NAME?</v>
      </c>
      <c r="E153">
        <v>4750000</v>
      </c>
      <c r="F153" t="e">
        <f ca="1">BDP("797669A6 Muni","ISSUE_DT")</f>
        <v>#NAME?</v>
      </c>
      <c r="G153" t="e">
        <f ca="1">BDP("797669A6 Muni","MATURITY")</f>
        <v>#NAME?</v>
      </c>
      <c r="H153" t="e">
        <f ca="1">BDP("797669A6 Muni","MUNI_TAX_PROV")</f>
        <v>#NAME?</v>
      </c>
      <c r="I153" t="e">
        <f ca="1">BDP("797669A6 Muni","FINANCING_TYPE")</f>
        <v>#NAME?</v>
      </c>
      <c r="J153" t="e">
        <f ca="1">BDP("797669A6 Muni","BICS_LEVEL_2_INDUSTRY_GROUP_NAME")</f>
        <v>#NAME?</v>
      </c>
      <c r="K153" t="e">
        <f ca="1">BDP("797669A6 Muni","SELF_REPRTD_GREEN_INSTR_INDCTR")</f>
        <v>#NAME?</v>
      </c>
      <c r="L153" t="e">
        <f ca="1">BDP("797669A6 Muni","GB_MANAGEMENT_PROCEEDS")</f>
        <v>#NAME?</v>
      </c>
      <c r="M153" t="e">
        <f ca="1">BDP("797669A6 Muni","GB_REPORTING")</f>
        <v>#NAME?</v>
      </c>
      <c r="N153" t="e">
        <f ca="1">BDP("797669A6 Muni","GB_ASSURANCE_PROVIDERS")</f>
        <v>#NAME?</v>
      </c>
      <c r="O153" t="e">
        <f ca="1">BDP("797669A6 Muni","GB_PROJECT_SELECTION_PROCESS")</f>
        <v>#NAME?</v>
      </c>
      <c r="P153" t="e">
        <f ca="1">BDP("797669A6 Muni","ESG_FRAMEWORK_INDICATOR")</f>
        <v>#NAME?</v>
      </c>
      <c r="Q153" t="e">
        <f ca="1">BDP("797669A6 Muni","BLOOMBERG_SECTOR_CODE")</f>
        <v>#NAME?</v>
      </c>
      <c r="R153" t="e">
        <f ca="1">BDP("797669A6 Muni","ISSUER_TYPE")</f>
        <v>#NAME?</v>
      </c>
      <c r="S153" t="e">
        <f ca="1">BDS("797669A6 Muni","ESG_PROJECT_CATEGORY", "aggregate=y")</f>
        <v>#NAME?</v>
      </c>
      <c r="T153" t="e">
        <f ca="1">BDS("797669A6 Muni","ESG_PROJECT_SUBCATEGORY", "aggregate=y")</f>
        <v>#NAME?</v>
      </c>
    </row>
    <row r="154" spans="1:20" x14ac:dyDescent="0.25">
      <c r="A154" t="e">
        <f ca="1">BDP("840528AF Muni","ID_CUSIP")</f>
        <v>#NAME?</v>
      </c>
      <c r="B154" t="e">
        <f ca="1">BDP("840528AF Muni","STATE_CODE")</f>
        <v>#NAME?</v>
      </c>
      <c r="C154" t="s">
        <v>29</v>
      </c>
      <c r="D154" t="e">
        <f ca="1">BDP("840528AF Muni","YIELD_ON_ISSUE_DATE")</f>
        <v>#NAME?</v>
      </c>
      <c r="E154">
        <v>435000</v>
      </c>
      <c r="F154" t="e">
        <f ca="1">BDP("840528AF Muni","ISSUE_DT")</f>
        <v>#NAME?</v>
      </c>
      <c r="G154" t="e">
        <f ca="1">BDP("840528AF Muni","MATURITY")</f>
        <v>#NAME?</v>
      </c>
      <c r="H154" t="e">
        <f ca="1">BDP("840528AF Muni","MUNI_TAX_PROV")</f>
        <v>#NAME?</v>
      </c>
      <c r="I154" t="e">
        <f ca="1">BDP("840528AF Muni","FINANCING_TYPE")</f>
        <v>#NAME?</v>
      </c>
      <c r="J154" t="e">
        <f ca="1">BDP("840528AF Muni","BICS_LEVEL_2_INDUSTRY_GROUP_NAME")</f>
        <v>#NAME?</v>
      </c>
      <c r="K154" t="e">
        <f ca="1">BDP("840528AF Muni","SELF_REPRTD_GREEN_INSTR_INDCTR")</f>
        <v>#NAME?</v>
      </c>
      <c r="L154" t="e">
        <f ca="1">BDP("840528AF Muni","GB_MANAGEMENT_PROCEEDS")</f>
        <v>#NAME?</v>
      </c>
      <c r="M154" t="e">
        <f ca="1">BDP("840528AF Muni","GB_REPORTING")</f>
        <v>#NAME?</v>
      </c>
      <c r="N154" t="e">
        <f ca="1">BDP("840528AF Muni","GB_ASSURANCE_PROVIDERS")</f>
        <v>#NAME?</v>
      </c>
      <c r="O154" t="e">
        <f ca="1">BDP("840528AF Muni","GB_PROJECT_SELECTION_PROCESS")</f>
        <v>#NAME?</v>
      </c>
      <c r="P154" t="e">
        <f ca="1">BDP("840528AF Muni","ESG_FRAMEWORK_INDICATOR")</f>
        <v>#NAME?</v>
      </c>
      <c r="Q154" t="e">
        <f ca="1">BDP("840528AF Muni","BLOOMBERG_SECTOR_CODE")</f>
        <v>#NAME?</v>
      </c>
      <c r="R154" t="e">
        <f ca="1">BDP("840528AF Muni","ISSUER_TYPE")</f>
        <v>#NAME?</v>
      </c>
      <c r="S154" t="e">
        <f ca="1">BDS("840528AF Muni","ESG_PROJECT_CATEGORY", "aggregate=y")</f>
        <v>#NAME?</v>
      </c>
      <c r="T154" t="e">
        <f ca="1">BDS("840528AF Muni","ESG_PROJECT_SUBCATEGORY", "aggregate=y")</f>
        <v>#NAME?</v>
      </c>
    </row>
    <row r="155" spans="1:20" x14ac:dyDescent="0.25">
      <c r="A155" t="e">
        <f ca="1">BDP("861431DH Muni","ID_CUSIP")</f>
        <v>#NAME?</v>
      </c>
      <c r="B155" t="e">
        <f ca="1">BDP("861431DH Muni","STATE_CODE")</f>
        <v>#NAME?</v>
      </c>
      <c r="C155" t="s">
        <v>24</v>
      </c>
      <c r="D155" t="e">
        <f ca="1">BDP("861431DH Muni","YIELD_ON_ISSUE_DATE")</f>
        <v>#NAME?</v>
      </c>
      <c r="E155">
        <v>2500000</v>
      </c>
      <c r="F155" t="e">
        <f ca="1">BDP("861431DH Muni","ISSUE_DT")</f>
        <v>#NAME?</v>
      </c>
      <c r="G155" t="e">
        <f ca="1">BDP("861431DH Muni","MATURITY")</f>
        <v>#NAME?</v>
      </c>
      <c r="H155" t="e">
        <f ca="1">BDP("861431DH Muni","MUNI_TAX_PROV")</f>
        <v>#NAME?</v>
      </c>
      <c r="I155" t="e">
        <f ca="1">BDP("861431DH Muni","FINANCING_TYPE")</f>
        <v>#NAME?</v>
      </c>
      <c r="J155" t="e">
        <f ca="1">BDP("861431DH Muni","BICS_LEVEL_2_INDUSTRY_GROUP_NAME")</f>
        <v>#NAME?</v>
      </c>
      <c r="K155" t="e">
        <f ca="1">BDP("861431DH Muni","SELF_REPRTD_GREEN_INSTR_INDCTR")</f>
        <v>#NAME?</v>
      </c>
      <c r="L155" t="e">
        <f ca="1">BDP("861431DH Muni","GB_MANAGEMENT_PROCEEDS")</f>
        <v>#NAME?</v>
      </c>
      <c r="M155" t="e">
        <f ca="1">BDP("861431DH Muni","GB_REPORTING")</f>
        <v>#NAME?</v>
      </c>
      <c r="N155" t="e">
        <f ca="1">BDP("861431DH Muni","GB_ASSURANCE_PROVIDERS")</f>
        <v>#NAME?</v>
      </c>
      <c r="O155" t="e">
        <f ca="1">BDP("861431DH Muni","GB_PROJECT_SELECTION_PROCESS")</f>
        <v>#NAME?</v>
      </c>
      <c r="P155" t="e">
        <f ca="1">BDP("861431DH Muni","ESG_FRAMEWORK_INDICATOR")</f>
        <v>#NAME?</v>
      </c>
      <c r="Q155" t="e">
        <f ca="1">BDP("861431DH Muni","BLOOMBERG_SECTOR_CODE")</f>
        <v>#NAME?</v>
      </c>
      <c r="R155" t="e">
        <f ca="1">BDP("861431DH Muni","ISSUER_TYPE")</f>
        <v>#NAME?</v>
      </c>
      <c r="S155" t="e">
        <f ca="1">BDS("861431DH Muni","ESG_PROJECT_CATEGORY", "aggregate=y")</f>
        <v>#NAME?</v>
      </c>
      <c r="T155" t="e">
        <f ca="1">BDS("861431DH Muni","ESG_PROJECT_SUBCATEGORY", "aggregate=y")</f>
        <v>#NAME?</v>
      </c>
    </row>
    <row r="156" spans="1:20" x14ac:dyDescent="0.25">
      <c r="A156" t="e">
        <f ca="1">BDP("861431DJ Muni","ID_CUSIP")</f>
        <v>#NAME?</v>
      </c>
      <c r="B156" t="e">
        <f ca="1">BDP("861431DJ Muni","STATE_CODE")</f>
        <v>#NAME?</v>
      </c>
      <c r="C156" t="s">
        <v>24</v>
      </c>
      <c r="D156" t="e">
        <f ca="1">BDP("861431DJ Muni","YIELD_ON_ISSUE_DATE")</f>
        <v>#NAME?</v>
      </c>
      <c r="E156">
        <v>4000000</v>
      </c>
      <c r="F156" t="e">
        <f ca="1">BDP("861431DJ Muni","ISSUE_DT")</f>
        <v>#NAME?</v>
      </c>
      <c r="G156" t="e">
        <f ca="1">BDP("861431DJ Muni","MATURITY")</f>
        <v>#NAME?</v>
      </c>
      <c r="H156" t="e">
        <f ca="1">BDP("861431DJ Muni","MUNI_TAX_PROV")</f>
        <v>#NAME?</v>
      </c>
      <c r="I156" t="e">
        <f ca="1">BDP("861431DJ Muni","FINANCING_TYPE")</f>
        <v>#NAME?</v>
      </c>
      <c r="J156" t="e">
        <f ca="1">BDP("861431DJ Muni","BICS_LEVEL_2_INDUSTRY_GROUP_NAME")</f>
        <v>#NAME?</v>
      </c>
      <c r="K156" t="e">
        <f ca="1">BDP("861431DJ Muni","SELF_REPRTD_GREEN_INSTR_INDCTR")</f>
        <v>#NAME?</v>
      </c>
      <c r="L156" t="e">
        <f ca="1">BDP("861431DJ Muni","GB_MANAGEMENT_PROCEEDS")</f>
        <v>#NAME?</v>
      </c>
      <c r="M156" t="e">
        <f ca="1">BDP("861431DJ Muni","GB_REPORTING")</f>
        <v>#NAME?</v>
      </c>
      <c r="N156" t="e">
        <f ca="1">BDP("861431DJ Muni","GB_ASSURANCE_PROVIDERS")</f>
        <v>#NAME?</v>
      </c>
      <c r="O156" t="e">
        <f ca="1">BDP("861431DJ Muni","GB_PROJECT_SELECTION_PROCESS")</f>
        <v>#NAME?</v>
      </c>
      <c r="P156" t="e">
        <f ca="1">BDP("861431DJ Muni","ESG_FRAMEWORK_INDICATOR")</f>
        <v>#NAME?</v>
      </c>
      <c r="Q156" t="e">
        <f ca="1">BDP("861431DJ Muni","BLOOMBERG_SECTOR_CODE")</f>
        <v>#NAME?</v>
      </c>
      <c r="R156" t="e">
        <f ca="1">BDP("861431DJ Muni","ISSUER_TYPE")</f>
        <v>#NAME?</v>
      </c>
      <c r="S156" t="e">
        <f ca="1">BDS("861431DJ Muni","ESG_PROJECT_CATEGORY", "aggregate=y")</f>
        <v>#NAME?</v>
      </c>
      <c r="T156" t="e">
        <f ca="1">BDS("861431DJ Muni","ESG_PROJECT_SUBCATEGORY", "aggregate=y")</f>
        <v>#NAME?</v>
      </c>
    </row>
    <row r="157" spans="1:20" x14ac:dyDescent="0.25">
      <c r="A157" t="e">
        <f ca="1">BDP("861431DM Muni","ID_CUSIP")</f>
        <v>#NAME?</v>
      </c>
      <c r="B157" t="e">
        <f ca="1">BDP("861431DM Muni","STATE_CODE")</f>
        <v>#NAME?</v>
      </c>
      <c r="C157" t="s">
        <v>24</v>
      </c>
      <c r="D157" t="e">
        <f ca="1">BDP("861431DM Muni","YIELD_ON_ISSUE_DATE")</f>
        <v>#NAME?</v>
      </c>
      <c r="E157">
        <v>180000</v>
      </c>
      <c r="F157" t="e">
        <f ca="1">BDP("861431DM Muni","ISSUE_DT")</f>
        <v>#NAME?</v>
      </c>
      <c r="G157" t="e">
        <f ca="1">BDP("861431DM Muni","MATURITY")</f>
        <v>#NAME?</v>
      </c>
      <c r="H157" t="e">
        <f ca="1">BDP("861431DM Muni","MUNI_TAX_PROV")</f>
        <v>#NAME?</v>
      </c>
      <c r="I157" t="e">
        <f ca="1">BDP("861431DM Muni","FINANCING_TYPE")</f>
        <v>#NAME?</v>
      </c>
      <c r="J157" t="e">
        <f ca="1">BDP("861431DM Muni","BICS_LEVEL_2_INDUSTRY_GROUP_NAME")</f>
        <v>#NAME?</v>
      </c>
      <c r="K157" t="e">
        <f ca="1">BDP("861431DM Muni","SELF_REPRTD_GREEN_INSTR_INDCTR")</f>
        <v>#NAME?</v>
      </c>
      <c r="L157" t="e">
        <f ca="1">BDP("861431DM Muni","GB_MANAGEMENT_PROCEEDS")</f>
        <v>#NAME?</v>
      </c>
      <c r="M157" t="e">
        <f ca="1">BDP("861431DM Muni","GB_REPORTING")</f>
        <v>#NAME?</v>
      </c>
      <c r="N157" t="e">
        <f ca="1">BDP("861431DM Muni","GB_ASSURANCE_PROVIDERS")</f>
        <v>#NAME?</v>
      </c>
      <c r="O157" t="e">
        <f ca="1">BDP("861431DM Muni","GB_PROJECT_SELECTION_PROCESS")</f>
        <v>#NAME?</v>
      </c>
      <c r="P157" t="e">
        <f ca="1">BDP("861431DM Muni","ESG_FRAMEWORK_INDICATOR")</f>
        <v>#NAME?</v>
      </c>
      <c r="Q157" t="e">
        <f ca="1">BDP("861431DM Muni","BLOOMBERG_SECTOR_CODE")</f>
        <v>#NAME?</v>
      </c>
      <c r="R157" t="e">
        <f ca="1">BDP("861431DM Muni","ISSUER_TYPE")</f>
        <v>#NAME?</v>
      </c>
      <c r="S157" t="e">
        <f ca="1">BDS("861431DM Muni","ESG_PROJECT_CATEGORY", "aggregate=y")</f>
        <v>#NAME?</v>
      </c>
      <c r="T157" t="e">
        <f ca="1">BDS("861431DM Muni","ESG_PROJECT_SUBCATEGORY", "aggregate=y")</f>
        <v>#NAME?</v>
      </c>
    </row>
    <row r="158" spans="1:20" x14ac:dyDescent="0.25">
      <c r="A158" t="e">
        <f ca="1">BDP("861431DN Muni","ID_CUSIP")</f>
        <v>#NAME?</v>
      </c>
      <c r="B158" t="e">
        <f ca="1">BDP("861431DN Muni","STATE_CODE")</f>
        <v>#NAME?</v>
      </c>
      <c r="C158" t="s">
        <v>24</v>
      </c>
      <c r="D158" t="e">
        <f ca="1">BDP("861431DN Muni","YIELD_ON_ISSUE_DATE")</f>
        <v>#NAME?</v>
      </c>
      <c r="E158">
        <v>190000</v>
      </c>
      <c r="F158" t="e">
        <f ca="1">BDP("861431DN Muni","ISSUE_DT")</f>
        <v>#NAME?</v>
      </c>
      <c r="G158" t="e">
        <f ca="1">BDP("861431DN Muni","MATURITY")</f>
        <v>#NAME?</v>
      </c>
      <c r="H158" t="e">
        <f ca="1">BDP("861431DN Muni","MUNI_TAX_PROV")</f>
        <v>#NAME?</v>
      </c>
      <c r="I158" t="e">
        <f ca="1">BDP("861431DN Muni","FINANCING_TYPE")</f>
        <v>#NAME?</v>
      </c>
      <c r="J158" t="e">
        <f ca="1">BDP("861431DN Muni","BICS_LEVEL_2_INDUSTRY_GROUP_NAME")</f>
        <v>#NAME?</v>
      </c>
      <c r="K158" t="e">
        <f ca="1">BDP("861431DN Muni","SELF_REPRTD_GREEN_INSTR_INDCTR")</f>
        <v>#NAME?</v>
      </c>
      <c r="L158" t="e">
        <f ca="1">BDP("861431DN Muni","GB_MANAGEMENT_PROCEEDS")</f>
        <v>#NAME?</v>
      </c>
      <c r="M158" t="e">
        <f ca="1">BDP("861431DN Muni","GB_REPORTING")</f>
        <v>#NAME?</v>
      </c>
      <c r="N158" t="e">
        <f ca="1">BDP("861431DN Muni","GB_ASSURANCE_PROVIDERS")</f>
        <v>#NAME?</v>
      </c>
      <c r="O158" t="e">
        <f ca="1">BDP("861431DN Muni","GB_PROJECT_SELECTION_PROCESS")</f>
        <v>#NAME?</v>
      </c>
      <c r="P158" t="e">
        <f ca="1">BDP("861431DN Muni","ESG_FRAMEWORK_INDICATOR")</f>
        <v>#NAME?</v>
      </c>
      <c r="Q158" t="e">
        <f ca="1">BDP("861431DN Muni","BLOOMBERG_SECTOR_CODE")</f>
        <v>#NAME?</v>
      </c>
      <c r="R158" t="e">
        <f ca="1">BDP("861431DN Muni","ISSUER_TYPE")</f>
        <v>#NAME?</v>
      </c>
      <c r="S158" t="e">
        <f ca="1">BDS("861431DN Muni","ESG_PROJECT_CATEGORY", "aggregate=y")</f>
        <v>#NAME?</v>
      </c>
      <c r="T158" t="e">
        <f ca="1">BDS("861431DN Muni","ESG_PROJECT_SUBCATEGORY", "aggregate=y")</f>
        <v>#NAME?</v>
      </c>
    </row>
    <row r="159" spans="1:20" x14ac:dyDescent="0.25">
      <c r="A159" t="e">
        <f ca="1">BDP("861431DT Muni","ID_CUSIP")</f>
        <v>#NAME?</v>
      </c>
      <c r="B159" t="e">
        <f ca="1">BDP("861431DT Muni","STATE_CODE")</f>
        <v>#NAME?</v>
      </c>
      <c r="C159" t="s">
        <v>24</v>
      </c>
      <c r="D159" t="e">
        <f ca="1">BDP("861431DT Muni","YIELD_ON_ISSUE_DATE")</f>
        <v>#NAME?</v>
      </c>
      <c r="E159">
        <v>860000</v>
      </c>
      <c r="F159" t="e">
        <f ca="1">BDP("861431DT Muni","ISSUE_DT")</f>
        <v>#NAME?</v>
      </c>
      <c r="G159" t="e">
        <f ca="1">BDP("861431DT Muni","MATURITY")</f>
        <v>#NAME?</v>
      </c>
      <c r="H159" t="e">
        <f ca="1">BDP("861431DT Muni","MUNI_TAX_PROV")</f>
        <v>#NAME?</v>
      </c>
      <c r="I159" t="e">
        <f ca="1">BDP("861431DT Muni","FINANCING_TYPE")</f>
        <v>#NAME?</v>
      </c>
      <c r="J159" t="e">
        <f ca="1">BDP("861431DT Muni","BICS_LEVEL_2_INDUSTRY_GROUP_NAME")</f>
        <v>#NAME?</v>
      </c>
      <c r="K159" t="e">
        <f ca="1">BDP("861431DT Muni","SELF_REPRTD_GREEN_INSTR_INDCTR")</f>
        <v>#NAME?</v>
      </c>
      <c r="L159" t="e">
        <f ca="1">BDP("861431DT Muni","GB_MANAGEMENT_PROCEEDS")</f>
        <v>#NAME?</v>
      </c>
      <c r="M159" t="e">
        <f ca="1">BDP("861431DT Muni","GB_REPORTING")</f>
        <v>#NAME?</v>
      </c>
      <c r="N159" t="e">
        <f ca="1">BDP("861431DT Muni","GB_ASSURANCE_PROVIDERS")</f>
        <v>#NAME?</v>
      </c>
      <c r="O159" t="e">
        <f ca="1">BDP("861431DT Muni","GB_PROJECT_SELECTION_PROCESS")</f>
        <v>#NAME?</v>
      </c>
      <c r="P159" t="e">
        <f ca="1">BDP("861431DT Muni","ESG_FRAMEWORK_INDICATOR")</f>
        <v>#NAME?</v>
      </c>
      <c r="Q159" t="e">
        <f ca="1">BDP("861431DT Muni","BLOOMBERG_SECTOR_CODE")</f>
        <v>#NAME?</v>
      </c>
      <c r="R159" t="e">
        <f ca="1">BDP("861431DT Muni","ISSUER_TYPE")</f>
        <v>#NAME?</v>
      </c>
      <c r="S159" t="e">
        <f ca="1">BDS("861431DT Muni","ESG_PROJECT_CATEGORY", "aggregate=y")</f>
        <v>#NAME?</v>
      </c>
      <c r="T159" t="e">
        <f ca="1">BDS("861431DT Muni","ESG_PROJECT_SUBCATEGORY", "aggregate=y")</f>
        <v>#NAME?</v>
      </c>
    </row>
    <row r="160" spans="1:20" x14ac:dyDescent="0.25">
      <c r="A160" t="e">
        <f ca="1">BDP("88035THU Muni","ID_CUSIP")</f>
        <v>#NAME?</v>
      </c>
      <c r="B160" t="e">
        <f ca="1">BDP("88035THU Muni","STATE_CODE")</f>
        <v>#NAME?</v>
      </c>
      <c r="C160" t="s">
        <v>25</v>
      </c>
      <c r="D160" t="e">
        <f ca="1">BDP("88035THU Muni","YIELD_ON_ISSUE_DATE")</f>
        <v>#NAME?</v>
      </c>
      <c r="E160">
        <v>10000000</v>
      </c>
      <c r="F160" t="e">
        <f ca="1">BDP("88035THU Muni","ISSUE_DT")</f>
        <v>#NAME?</v>
      </c>
      <c r="G160" t="e">
        <f ca="1">BDP("88035THU Muni","MATURITY")</f>
        <v>#NAME?</v>
      </c>
      <c r="H160" t="e">
        <f ca="1">BDP("88035THU Muni","MUNI_TAX_PROV")</f>
        <v>#NAME?</v>
      </c>
      <c r="I160" t="e">
        <f ca="1">BDP("88035THU Muni","FINANCING_TYPE")</f>
        <v>#NAME?</v>
      </c>
      <c r="J160" t="e">
        <f ca="1">BDP("88035THU Muni","BICS_LEVEL_2_INDUSTRY_GROUP_NAME")</f>
        <v>#NAME?</v>
      </c>
      <c r="K160" t="e">
        <f ca="1">BDP("88035THU Muni","SELF_REPRTD_GREEN_INSTR_INDCTR")</f>
        <v>#NAME?</v>
      </c>
      <c r="L160" t="e">
        <f ca="1">BDP("88035THU Muni","GB_MANAGEMENT_PROCEEDS")</f>
        <v>#NAME?</v>
      </c>
      <c r="M160" t="e">
        <f ca="1">BDP("88035THU Muni","GB_REPORTING")</f>
        <v>#NAME?</v>
      </c>
      <c r="N160" t="e">
        <f ca="1">BDP("88035THU Muni","GB_ASSURANCE_PROVIDERS")</f>
        <v>#NAME?</v>
      </c>
      <c r="O160" t="e">
        <f ca="1">BDP("88035THU Muni","GB_PROJECT_SELECTION_PROCESS")</f>
        <v>#NAME?</v>
      </c>
      <c r="P160" t="e">
        <f ca="1">BDP("88035THU Muni","ESG_FRAMEWORK_INDICATOR")</f>
        <v>#NAME?</v>
      </c>
      <c r="Q160" t="e">
        <f ca="1">BDP("88035THU Muni","BLOOMBERG_SECTOR_CODE")</f>
        <v>#NAME?</v>
      </c>
      <c r="R160" t="e">
        <f ca="1">BDP("88035THU Muni","ISSUER_TYPE")</f>
        <v>#NAME?</v>
      </c>
      <c r="S160" t="e">
        <f ca="1">BDS("88035THU Muni","ESG_PROJECT_CATEGORY", "aggregate=y")</f>
        <v>#NAME?</v>
      </c>
      <c r="T160" t="e">
        <f ca="1">BDS("88035THU Muni","ESG_PROJECT_SUBCATEGORY", "aggregate=y")</f>
        <v>#NAME?</v>
      </c>
    </row>
    <row r="161" spans="1:20" x14ac:dyDescent="0.25">
      <c r="A161" t="e">
        <f ca="1">BDP("959215GX Muni","ID_CUSIP")</f>
        <v>#NAME?</v>
      </c>
      <c r="B161" t="e">
        <f ca="1">BDP("959215GX Muni","STATE_CODE")</f>
        <v>#NAME?</v>
      </c>
      <c r="C161" t="s">
        <v>26</v>
      </c>
      <c r="D161" t="e">
        <f ca="1">BDP("959215GX Muni","YIELD_ON_ISSUE_DATE")</f>
        <v>#NAME?</v>
      </c>
      <c r="E161">
        <v>1075000</v>
      </c>
      <c r="F161" t="e">
        <f ca="1">BDP("959215GX Muni","ISSUE_DT")</f>
        <v>#NAME?</v>
      </c>
      <c r="G161" t="e">
        <f ca="1">BDP("959215GX Muni","MATURITY")</f>
        <v>#NAME?</v>
      </c>
      <c r="H161" t="e">
        <f ca="1">BDP("959215GX Muni","MUNI_TAX_PROV")</f>
        <v>#NAME?</v>
      </c>
      <c r="I161" t="e">
        <f ca="1">BDP("959215GX Muni","FINANCING_TYPE")</f>
        <v>#NAME?</v>
      </c>
      <c r="J161" t="e">
        <f ca="1">BDP("959215GX Muni","BICS_LEVEL_2_INDUSTRY_GROUP_NAME")</f>
        <v>#NAME?</v>
      </c>
      <c r="K161" t="e">
        <f ca="1">BDP("959215GX Muni","SELF_REPRTD_GREEN_INSTR_INDCTR")</f>
        <v>#NAME?</v>
      </c>
      <c r="L161" t="e">
        <f ca="1">BDP("959215GX Muni","GB_MANAGEMENT_PROCEEDS")</f>
        <v>#NAME?</v>
      </c>
      <c r="M161" t="e">
        <f ca="1">BDP("959215GX Muni","GB_REPORTING")</f>
        <v>#NAME?</v>
      </c>
      <c r="N161" t="e">
        <f ca="1">BDP("959215GX Muni","GB_ASSURANCE_PROVIDERS")</f>
        <v>#NAME?</v>
      </c>
      <c r="O161" t="e">
        <f ca="1">BDP("959215GX Muni","GB_PROJECT_SELECTION_PROCESS")</f>
        <v>#NAME?</v>
      </c>
      <c r="P161" t="e">
        <f ca="1">BDP("959215GX Muni","ESG_FRAMEWORK_INDICATOR")</f>
        <v>#NAME?</v>
      </c>
      <c r="Q161" t="e">
        <f ca="1">BDP("959215GX Muni","BLOOMBERG_SECTOR_CODE")</f>
        <v>#NAME?</v>
      </c>
      <c r="R161" t="e">
        <f ca="1">BDP("959215GX Muni","ISSUER_TYPE")</f>
        <v>#NAME?</v>
      </c>
      <c r="S161" t="e">
        <f ca="1">BDS("959215GX Muni","ESG_PROJECT_CATEGORY", "aggregate=y")</f>
        <v>#NAME?</v>
      </c>
      <c r="T161" t="e">
        <f ca="1">BDS("959215GX Muni","ESG_PROJECT_SUBCATEGORY", "aggregate=y")</f>
        <v>#NAME?</v>
      </c>
    </row>
    <row r="162" spans="1:20" x14ac:dyDescent="0.25">
      <c r="A162" t="e">
        <f ca="1">BDP("13013JGT Muni","ID_CUSIP")</f>
        <v>#NAME?</v>
      </c>
      <c r="B162" t="e">
        <f ca="1">BDP("13013JGT Muni","STATE_CODE")</f>
        <v>#NAME?</v>
      </c>
      <c r="C162" t="s">
        <v>30</v>
      </c>
      <c r="D162" t="e">
        <f ca="1">BDP("13013JGT Muni","YIELD_ON_ISSUE_DATE")</f>
        <v>#NAME?</v>
      </c>
      <c r="E162">
        <v>2565000</v>
      </c>
      <c r="F162" t="e">
        <f ca="1">BDP("13013JGT Muni","ISSUE_DT")</f>
        <v>#NAME?</v>
      </c>
      <c r="G162" t="e">
        <f ca="1">BDP("13013JGT Muni","MATURITY")</f>
        <v>#NAME?</v>
      </c>
      <c r="H162" t="e">
        <f ca="1">BDP("13013JGT Muni","MUNI_TAX_PROV")</f>
        <v>#NAME?</v>
      </c>
      <c r="I162" t="e">
        <f ca="1">BDP("13013JGT Muni","FINANCING_TYPE")</f>
        <v>#NAME?</v>
      </c>
      <c r="J162" t="e">
        <f ca="1">BDP("13013JGT Muni","BICS_LEVEL_2_INDUSTRY_GROUP_NAME")</f>
        <v>#NAME?</v>
      </c>
      <c r="K162" t="e">
        <f ca="1">BDP("13013JGT Muni","SELF_REPRTD_GREEN_INSTR_INDCTR")</f>
        <v>#NAME?</v>
      </c>
      <c r="L162" t="e">
        <f ca="1">BDP("13013JGT Muni","GB_MANAGEMENT_PROCEEDS")</f>
        <v>#NAME?</v>
      </c>
      <c r="M162" t="e">
        <f ca="1">BDP("13013JGT Muni","GB_REPORTING")</f>
        <v>#NAME?</v>
      </c>
      <c r="N162" t="e">
        <f ca="1">BDP("13013JGT Muni","GB_ASSURANCE_PROVIDERS")</f>
        <v>#NAME?</v>
      </c>
      <c r="O162" t="e">
        <f ca="1">BDP("13013JGT Muni","GB_PROJECT_SELECTION_PROCESS")</f>
        <v>#NAME?</v>
      </c>
      <c r="P162" t="e">
        <f ca="1">BDP("13013JGT Muni","ESG_FRAMEWORK_INDICATOR")</f>
        <v>#NAME?</v>
      </c>
      <c r="Q162" t="e">
        <f ca="1">BDP("13013JGT Muni","BLOOMBERG_SECTOR_CODE")</f>
        <v>#NAME?</v>
      </c>
      <c r="R162" t="e">
        <f ca="1">BDP("13013JGT Muni","ISSUER_TYPE")</f>
        <v>#NAME?</v>
      </c>
      <c r="S162" t="e">
        <f ca="1">BDS("13013JGT Muni","ESG_PROJECT_CATEGORY", "aggregate=y")</f>
        <v>#NAME?</v>
      </c>
      <c r="T162" t="e">
        <f ca="1">BDS("13013JGT Muni","ESG_PROJECT_SUBCATEGORY", "aggregate=y")</f>
        <v>#NAME?</v>
      </c>
    </row>
    <row r="163" spans="1:20" x14ac:dyDescent="0.25">
      <c r="A163" t="e">
        <f ca="1">BDP("13013JGV Muni","ID_CUSIP")</f>
        <v>#NAME?</v>
      </c>
      <c r="B163" t="e">
        <f ca="1">BDP("13013JGV Muni","STATE_CODE")</f>
        <v>#NAME?</v>
      </c>
      <c r="C163" t="s">
        <v>30</v>
      </c>
      <c r="D163" t="e">
        <f ca="1">BDP("13013JGV Muni","YIELD_ON_ISSUE_DATE")</f>
        <v>#NAME?</v>
      </c>
      <c r="E163">
        <v>5885000</v>
      </c>
      <c r="F163" t="e">
        <f ca="1">BDP("13013JGV Muni","ISSUE_DT")</f>
        <v>#NAME?</v>
      </c>
      <c r="G163" t="e">
        <f ca="1">BDP("13013JGV Muni","MATURITY")</f>
        <v>#NAME?</v>
      </c>
      <c r="H163" t="e">
        <f ca="1">BDP("13013JGV Muni","MUNI_TAX_PROV")</f>
        <v>#NAME?</v>
      </c>
      <c r="I163" t="e">
        <f ca="1">BDP("13013JGV Muni","FINANCING_TYPE")</f>
        <v>#NAME?</v>
      </c>
      <c r="J163" t="e">
        <f ca="1">BDP("13013JGV Muni","BICS_LEVEL_2_INDUSTRY_GROUP_NAME")</f>
        <v>#NAME?</v>
      </c>
      <c r="K163" t="e">
        <f ca="1">BDP("13013JGV Muni","SELF_REPRTD_GREEN_INSTR_INDCTR")</f>
        <v>#NAME?</v>
      </c>
      <c r="L163" t="e">
        <f ca="1">BDP("13013JGV Muni","GB_MANAGEMENT_PROCEEDS")</f>
        <v>#NAME?</v>
      </c>
      <c r="M163" t="e">
        <f ca="1">BDP("13013JGV Muni","GB_REPORTING")</f>
        <v>#NAME?</v>
      </c>
      <c r="N163" t="e">
        <f ca="1">BDP("13013JGV Muni","GB_ASSURANCE_PROVIDERS")</f>
        <v>#NAME?</v>
      </c>
      <c r="O163" t="e">
        <f ca="1">BDP("13013JGV Muni","GB_PROJECT_SELECTION_PROCESS")</f>
        <v>#NAME?</v>
      </c>
      <c r="P163" t="e">
        <f ca="1">BDP("13013JGV Muni","ESG_FRAMEWORK_INDICATOR")</f>
        <v>#NAME?</v>
      </c>
      <c r="Q163" t="e">
        <f ca="1">BDP("13013JGV Muni","BLOOMBERG_SECTOR_CODE")</f>
        <v>#NAME?</v>
      </c>
      <c r="R163" t="e">
        <f ca="1">BDP("13013JGV Muni","ISSUER_TYPE")</f>
        <v>#NAME?</v>
      </c>
      <c r="S163" t="e">
        <f ca="1">BDS("13013JGV Muni","ESG_PROJECT_CATEGORY", "aggregate=y")</f>
        <v>#NAME?</v>
      </c>
      <c r="T163" t="e">
        <f ca="1">BDS("13013JGV Muni","ESG_PROJECT_SUBCATEGORY", "aggregate=y")</f>
        <v>#NAME?</v>
      </c>
    </row>
    <row r="164" spans="1:20" x14ac:dyDescent="0.25">
      <c r="A164" t="e">
        <f ca="1">BDP("13013JGX Muni","ID_CUSIP")</f>
        <v>#NAME?</v>
      </c>
      <c r="B164" t="e">
        <f ca="1">BDP("13013JGX Muni","STATE_CODE")</f>
        <v>#NAME?</v>
      </c>
      <c r="C164" t="s">
        <v>30</v>
      </c>
      <c r="D164" t="e">
        <f ca="1">BDP("13013JGX Muni","YIELD_ON_ISSUE_DATE")</f>
        <v>#NAME?</v>
      </c>
      <c r="E164">
        <v>6200000</v>
      </c>
      <c r="F164" t="e">
        <f ca="1">BDP("13013JGX Muni","ISSUE_DT")</f>
        <v>#NAME?</v>
      </c>
      <c r="G164" t="e">
        <f ca="1">BDP("13013JGX Muni","MATURITY")</f>
        <v>#NAME?</v>
      </c>
      <c r="H164" t="e">
        <f ca="1">BDP("13013JGX Muni","MUNI_TAX_PROV")</f>
        <v>#NAME?</v>
      </c>
      <c r="I164" t="e">
        <f ca="1">BDP("13013JGX Muni","FINANCING_TYPE")</f>
        <v>#NAME?</v>
      </c>
      <c r="J164" t="e">
        <f ca="1">BDP("13013JGX Muni","BICS_LEVEL_2_INDUSTRY_GROUP_NAME")</f>
        <v>#NAME?</v>
      </c>
      <c r="K164" t="e">
        <f ca="1">BDP("13013JGX Muni","SELF_REPRTD_GREEN_INSTR_INDCTR")</f>
        <v>#NAME?</v>
      </c>
      <c r="L164" t="e">
        <f ca="1">BDP("13013JGX Muni","GB_MANAGEMENT_PROCEEDS")</f>
        <v>#NAME?</v>
      </c>
      <c r="M164" t="e">
        <f ca="1">BDP("13013JGX Muni","GB_REPORTING")</f>
        <v>#NAME?</v>
      </c>
      <c r="N164" t="e">
        <f ca="1">BDP("13013JGX Muni","GB_ASSURANCE_PROVIDERS")</f>
        <v>#NAME?</v>
      </c>
      <c r="O164" t="e">
        <f ca="1">BDP("13013JGX Muni","GB_PROJECT_SELECTION_PROCESS")</f>
        <v>#NAME?</v>
      </c>
      <c r="P164" t="e">
        <f ca="1">BDP("13013JGX Muni","ESG_FRAMEWORK_INDICATOR")</f>
        <v>#NAME?</v>
      </c>
      <c r="Q164" t="e">
        <f ca="1">BDP("13013JGX Muni","BLOOMBERG_SECTOR_CODE")</f>
        <v>#NAME?</v>
      </c>
      <c r="R164" t="e">
        <f ca="1">BDP("13013JGX Muni","ISSUER_TYPE")</f>
        <v>#NAME?</v>
      </c>
      <c r="S164" t="e">
        <f ca="1">BDS("13013JGX Muni","ESG_PROJECT_CATEGORY", "aggregate=y")</f>
        <v>#NAME?</v>
      </c>
      <c r="T164" t="e">
        <f ca="1">BDS("13013JGX Muni","ESG_PROJECT_SUBCATEGORY", "aggregate=y")</f>
        <v>#NAME?</v>
      </c>
    </row>
    <row r="165" spans="1:20" x14ac:dyDescent="0.25">
      <c r="A165" t="e">
        <f ca="1">BDP("13013JGY Muni","ID_CUSIP")</f>
        <v>#NAME?</v>
      </c>
      <c r="B165" t="e">
        <f ca="1">BDP("13013JGY Muni","STATE_CODE")</f>
        <v>#NAME?</v>
      </c>
      <c r="C165" t="s">
        <v>30</v>
      </c>
      <c r="D165" t="e">
        <f ca="1">BDP("13013JGY Muni","YIELD_ON_ISSUE_DATE")</f>
        <v>#NAME?</v>
      </c>
      <c r="E165">
        <v>6905000</v>
      </c>
      <c r="F165" t="e">
        <f ca="1">BDP("13013JGY Muni","ISSUE_DT")</f>
        <v>#NAME?</v>
      </c>
      <c r="G165" t="e">
        <f ca="1">BDP("13013JGY Muni","MATURITY")</f>
        <v>#NAME?</v>
      </c>
      <c r="H165" t="e">
        <f ca="1">BDP("13013JGY Muni","MUNI_TAX_PROV")</f>
        <v>#NAME?</v>
      </c>
      <c r="I165" t="e">
        <f ca="1">BDP("13013JGY Muni","FINANCING_TYPE")</f>
        <v>#NAME?</v>
      </c>
      <c r="J165" t="e">
        <f ca="1">BDP("13013JGY Muni","BICS_LEVEL_2_INDUSTRY_GROUP_NAME")</f>
        <v>#NAME?</v>
      </c>
      <c r="K165" t="e">
        <f ca="1">BDP("13013JGY Muni","SELF_REPRTD_GREEN_INSTR_INDCTR")</f>
        <v>#NAME?</v>
      </c>
      <c r="L165" t="e">
        <f ca="1">BDP("13013JGY Muni","GB_MANAGEMENT_PROCEEDS")</f>
        <v>#NAME?</v>
      </c>
      <c r="M165" t="e">
        <f ca="1">BDP("13013JGY Muni","GB_REPORTING")</f>
        <v>#NAME?</v>
      </c>
      <c r="N165" t="e">
        <f ca="1">BDP("13013JGY Muni","GB_ASSURANCE_PROVIDERS")</f>
        <v>#NAME?</v>
      </c>
      <c r="O165" t="e">
        <f ca="1">BDP("13013JGY Muni","GB_PROJECT_SELECTION_PROCESS")</f>
        <v>#NAME?</v>
      </c>
      <c r="P165" t="e">
        <f ca="1">BDP("13013JGY Muni","ESG_FRAMEWORK_INDICATOR")</f>
        <v>#NAME?</v>
      </c>
      <c r="Q165" t="e">
        <f ca="1">BDP("13013JGY Muni","BLOOMBERG_SECTOR_CODE")</f>
        <v>#NAME?</v>
      </c>
      <c r="R165" t="e">
        <f ca="1">BDP("13013JGY Muni","ISSUER_TYPE")</f>
        <v>#NAME?</v>
      </c>
      <c r="S165" t="e">
        <f ca="1">BDS("13013JGY Muni","ESG_PROJECT_CATEGORY", "aggregate=y")</f>
        <v>#NAME?</v>
      </c>
      <c r="T165" t="e">
        <f ca="1">BDS("13013JGY Muni","ESG_PROJECT_SUBCATEGORY", "aggregate=y")</f>
        <v>#NAME?</v>
      </c>
    </row>
    <row r="166" spans="1:20" x14ac:dyDescent="0.25">
      <c r="A166" t="e">
        <f ca="1">BDP("13013JHA Muni","ID_CUSIP")</f>
        <v>#NAME?</v>
      </c>
      <c r="B166" t="e">
        <f ca="1">BDP("13013JHA Muni","STATE_CODE")</f>
        <v>#NAME?</v>
      </c>
      <c r="C166" t="s">
        <v>30</v>
      </c>
      <c r="D166" t="e">
        <f ca="1">BDP("13013JHA Muni","YIELD_ON_ISSUE_DATE")</f>
        <v>#NAME?</v>
      </c>
      <c r="E166">
        <v>7245000</v>
      </c>
      <c r="F166" t="e">
        <f ca="1">BDP("13013JHA Muni","ISSUE_DT")</f>
        <v>#NAME?</v>
      </c>
      <c r="G166" t="e">
        <f ca="1">BDP("13013JHA Muni","MATURITY")</f>
        <v>#NAME?</v>
      </c>
      <c r="H166" t="e">
        <f ca="1">BDP("13013JHA Muni","MUNI_TAX_PROV")</f>
        <v>#NAME?</v>
      </c>
      <c r="I166" t="e">
        <f ca="1">BDP("13013JHA Muni","FINANCING_TYPE")</f>
        <v>#NAME?</v>
      </c>
      <c r="J166" t="e">
        <f ca="1">BDP("13013JHA Muni","BICS_LEVEL_2_INDUSTRY_GROUP_NAME")</f>
        <v>#NAME?</v>
      </c>
      <c r="K166" t="e">
        <f ca="1">BDP("13013JHA Muni","SELF_REPRTD_GREEN_INSTR_INDCTR")</f>
        <v>#NAME?</v>
      </c>
      <c r="L166" t="e">
        <f ca="1">BDP("13013JHA Muni","GB_MANAGEMENT_PROCEEDS")</f>
        <v>#NAME?</v>
      </c>
      <c r="M166" t="e">
        <f ca="1">BDP("13013JHA Muni","GB_REPORTING")</f>
        <v>#NAME?</v>
      </c>
      <c r="N166" t="e">
        <f ca="1">BDP("13013JHA Muni","GB_ASSURANCE_PROVIDERS")</f>
        <v>#NAME?</v>
      </c>
      <c r="O166" t="e">
        <f ca="1">BDP("13013JHA Muni","GB_PROJECT_SELECTION_PROCESS")</f>
        <v>#NAME?</v>
      </c>
      <c r="P166" t="e">
        <f ca="1">BDP("13013JHA Muni","ESG_FRAMEWORK_INDICATOR")</f>
        <v>#NAME?</v>
      </c>
      <c r="Q166" t="e">
        <f ca="1">BDP("13013JHA Muni","BLOOMBERG_SECTOR_CODE")</f>
        <v>#NAME?</v>
      </c>
      <c r="R166" t="e">
        <f ca="1">BDP("13013JHA Muni","ISSUER_TYPE")</f>
        <v>#NAME?</v>
      </c>
      <c r="S166" t="e">
        <f ca="1">BDS("13013JHA Muni","ESG_PROJECT_CATEGORY", "aggregate=y")</f>
        <v>#NAME?</v>
      </c>
      <c r="T166" t="e">
        <f ca="1">BDS("13013JHA Muni","ESG_PROJECT_SUBCATEGORY", "aggregate=y")</f>
        <v>#NAME?</v>
      </c>
    </row>
    <row r="167" spans="1:20" x14ac:dyDescent="0.25">
      <c r="A167" t="e">
        <f ca="1">BDP("13013JHE Muni","ID_CUSIP")</f>
        <v>#NAME?</v>
      </c>
      <c r="B167" t="e">
        <f ca="1">BDP("13013JHE Muni","STATE_CODE")</f>
        <v>#NAME?</v>
      </c>
      <c r="C167" t="s">
        <v>30</v>
      </c>
      <c r="D167" t="e">
        <f ca="1">BDP("13013JHE Muni","YIELD_ON_ISSUE_DATE")</f>
        <v>#NAME?</v>
      </c>
      <c r="E167">
        <v>690000</v>
      </c>
      <c r="F167" t="e">
        <f ca="1">BDP("13013JHE Muni","ISSUE_DT")</f>
        <v>#NAME?</v>
      </c>
      <c r="G167" t="e">
        <f ca="1">BDP("13013JHE Muni","MATURITY")</f>
        <v>#NAME?</v>
      </c>
      <c r="H167" t="e">
        <f ca="1">BDP("13013JHE Muni","MUNI_TAX_PROV")</f>
        <v>#NAME?</v>
      </c>
      <c r="I167" t="e">
        <f ca="1">BDP("13013JHE Muni","FINANCING_TYPE")</f>
        <v>#NAME?</v>
      </c>
      <c r="J167" t="e">
        <f ca="1">BDP("13013JHE Muni","BICS_LEVEL_2_INDUSTRY_GROUP_NAME")</f>
        <v>#NAME?</v>
      </c>
      <c r="K167" t="e">
        <f ca="1">BDP("13013JHE Muni","SELF_REPRTD_GREEN_INSTR_INDCTR")</f>
        <v>#NAME?</v>
      </c>
      <c r="L167" t="e">
        <f ca="1">BDP("13013JHE Muni","GB_MANAGEMENT_PROCEEDS")</f>
        <v>#NAME?</v>
      </c>
      <c r="M167" t="e">
        <f ca="1">BDP("13013JHE Muni","GB_REPORTING")</f>
        <v>#NAME?</v>
      </c>
      <c r="N167" t="e">
        <f ca="1">BDP("13013JHE Muni","GB_ASSURANCE_PROVIDERS")</f>
        <v>#NAME?</v>
      </c>
      <c r="O167" t="e">
        <f ca="1">BDP("13013JHE Muni","GB_PROJECT_SELECTION_PROCESS")</f>
        <v>#NAME?</v>
      </c>
      <c r="P167" t="e">
        <f ca="1">BDP("13013JHE Muni","ESG_FRAMEWORK_INDICATOR")</f>
        <v>#NAME?</v>
      </c>
      <c r="Q167" t="e">
        <f ca="1">BDP("13013JHE Muni","BLOOMBERG_SECTOR_CODE")</f>
        <v>#NAME?</v>
      </c>
      <c r="R167" t="e">
        <f ca="1">BDP("13013JHE Muni","ISSUER_TYPE")</f>
        <v>#NAME?</v>
      </c>
      <c r="S167" t="e">
        <f ca="1">BDS("13013JHE Muni","ESG_PROJECT_CATEGORY", "aggregate=y")</f>
        <v>#NAME?</v>
      </c>
      <c r="T167" t="e">
        <f ca="1">BDS("13013JHE Muni","ESG_PROJECT_SUBCATEGORY", "aggregate=y")</f>
        <v>#NAME?</v>
      </c>
    </row>
    <row r="168" spans="1:20" x14ac:dyDescent="0.25">
      <c r="A168" t="e">
        <f ca="1">BDP("13034A7G Muni","ID_CUSIP")</f>
        <v>#NAME?</v>
      </c>
      <c r="B168" t="e">
        <f ca="1">BDP("13034A7G Muni","STATE_CODE")</f>
        <v>#NAME?</v>
      </c>
      <c r="C168" t="s">
        <v>27</v>
      </c>
      <c r="D168" t="e">
        <f ca="1">BDP("13034A7G Muni","YIELD_ON_ISSUE_DATE")</f>
        <v>#NAME?</v>
      </c>
      <c r="E168">
        <v>4000000</v>
      </c>
      <c r="F168" t="e">
        <f ca="1">BDP("13034A7G Muni","ISSUE_DT")</f>
        <v>#NAME?</v>
      </c>
      <c r="G168" t="e">
        <f ca="1">BDP("13034A7G Muni","MATURITY")</f>
        <v>#NAME?</v>
      </c>
      <c r="H168" t="e">
        <f ca="1">BDP("13034A7G Muni","MUNI_TAX_PROV")</f>
        <v>#NAME?</v>
      </c>
      <c r="I168" t="e">
        <f ca="1">BDP("13034A7G Muni","FINANCING_TYPE")</f>
        <v>#NAME?</v>
      </c>
      <c r="J168" t="e">
        <f ca="1">BDP("13034A7G Muni","BICS_LEVEL_2_INDUSTRY_GROUP_NAME")</f>
        <v>#NAME?</v>
      </c>
      <c r="K168" t="e">
        <f ca="1">BDP("13034A7G Muni","SELF_REPRTD_GREEN_INSTR_INDCTR")</f>
        <v>#NAME?</v>
      </c>
      <c r="L168" t="e">
        <f ca="1">BDP("13034A7G Muni","GB_MANAGEMENT_PROCEEDS")</f>
        <v>#NAME?</v>
      </c>
      <c r="M168" t="e">
        <f ca="1">BDP("13034A7G Muni","GB_REPORTING")</f>
        <v>#NAME?</v>
      </c>
      <c r="N168" t="e">
        <f ca="1">BDP("13034A7G Muni","GB_ASSURANCE_PROVIDERS")</f>
        <v>#NAME?</v>
      </c>
      <c r="O168" t="e">
        <f ca="1">BDP("13034A7G Muni","GB_PROJECT_SELECTION_PROCESS")</f>
        <v>#NAME?</v>
      </c>
      <c r="P168" t="e">
        <f ca="1">BDP("13034A7G Muni","ESG_FRAMEWORK_INDICATOR")</f>
        <v>#NAME?</v>
      </c>
      <c r="Q168" t="e">
        <f ca="1">BDP("13034A7G Muni","BLOOMBERG_SECTOR_CODE")</f>
        <v>#NAME?</v>
      </c>
      <c r="R168" t="e">
        <f ca="1">BDP("13034A7G Muni","ISSUER_TYPE")</f>
        <v>#NAME?</v>
      </c>
      <c r="S168" t="e">
        <f ca="1">BDS("13034A7G Muni","ESG_PROJECT_CATEGORY", "aggregate=y")</f>
        <v>#NAME?</v>
      </c>
      <c r="T168" t="e">
        <f ca="1">BDS("13034A7G Muni","ESG_PROJECT_SUBCATEGORY", "aggregate=y")</f>
        <v>#NAME?</v>
      </c>
    </row>
    <row r="169" spans="1:20" x14ac:dyDescent="0.25">
      <c r="A169" t="e">
        <f ca="1">BDP("13034A7L Muni","ID_CUSIP")</f>
        <v>#NAME?</v>
      </c>
      <c r="B169" t="e">
        <f ca="1">BDP("13034A7L Muni","STATE_CODE")</f>
        <v>#NAME?</v>
      </c>
      <c r="C169" t="s">
        <v>27</v>
      </c>
      <c r="D169" t="e">
        <f ca="1">BDP("13034A7L Muni","YIELD_ON_ISSUE_DATE")</f>
        <v>#NAME?</v>
      </c>
      <c r="E169">
        <v>14505000</v>
      </c>
      <c r="F169" t="e">
        <f ca="1">BDP("13034A7L Muni","ISSUE_DT")</f>
        <v>#NAME?</v>
      </c>
      <c r="G169" t="e">
        <f ca="1">BDP("13034A7L Muni","MATURITY")</f>
        <v>#NAME?</v>
      </c>
      <c r="H169" t="e">
        <f ca="1">BDP("13034A7L Muni","MUNI_TAX_PROV")</f>
        <v>#NAME?</v>
      </c>
      <c r="I169" t="e">
        <f ca="1">BDP("13034A7L Muni","FINANCING_TYPE")</f>
        <v>#NAME?</v>
      </c>
      <c r="J169" t="e">
        <f ca="1">BDP("13034A7L Muni","BICS_LEVEL_2_INDUSTRY_GROUP_NAME")</f>
        <v>#NAME?</v>
      </c>
      <c r="K169" t="e">
        <f ca="1">BDP("13034A7L Muni","SELF_REPRTD_GREEN_INSTR_INDCTR")</f>
        <v>#NAME?</v>
      </c>
      <c r="L169" t="e">
        <f ca="1">BDP("13034A7L Muni","GB_MANAGEMENT_PROCEEDS")</f>
        <v>#NAME?</v>
      </c>
      <c r="M169" t="e">
        <f ca="1">BDP("13034A7L Muni","GB_REPORTING")</f>
        <v>#NAME?</v>
      </c>
      <c r="N169" t="e">
        <f ca="1">BDP("13034A7L Muni","GB_ASSURANCE_PROVIDERS")</f>
        <v>#NAME?</v>
      </c>
      <c r="O169" t="e">
        <f ca="1">BDP("13034A7L Muni","GB_PROJECT_SELECTION_PROCESS")</f>
        <v>#NAME?</v>
      </c>
      <c r="P169" t="e">
        <f ca="1">BDP("13034A7L Muni","ESG_FRAMEWORK_INDICATOR")</f>
        <v>#NAME?</v>
      </c>
      <c r="Q169" t="e">
        <f ca="1">BDP("13034A7L Muni","BLOOMBERG_SECTOR_CODE")</f>
        <v>#NAME?</v>
      </c>
      <c r="R169" t="e">
        <f ca="1">BDP("13034A7L Muni","ISSUER_TYPE")</f>
        <v>#NAME?</v>
      </c>
      <c r="S169" t="e">
        <f ca="1">BDS("13034A7L Muni","ESG_PROJECT_CATEGORY", "aggregate=y")</f>
        <v>#NAME?</v>
      </c>
      <c r="T169" t="e">
        <f ca="1">BDS("13034A7L Muni","ESG_PROJECT_SUBCATEGORY", "aggregate=y")</f>
        <v>#NAME?</v>
      </c>
    </row>
    <row r="170" spans="1:20" x14ac:dyDescent="0.25">
      <c r="A170" t="e">
        <f ca="1">BDP("13034A7N Muni","ID_CUSIP")</f>
        <v>#NAME?</v>
      </c>
      <c r="B170" t="e">
        <f ca="1">BDP("13034A7N Muni","STATE_CODE")</f>
        <v>#NAME?</v>
      </c>
      <c r="C170" t="s">
        <v>27</v>
      </c>
      <c r="D170" t="e">
        <f ca="1">BDP("13034A7N Muni","YIELD_ON_ISSUE_DATE")</f>
        <v>#NAME?</v>
      </c>
      <c r="E170">
        <v>15990000</v>
      </c>
      <c r="F170" t="e">
        <f ca="1">BDP("13034A7N Muni","ISSUE_DT")</f>
        <v>#NAME?</v>
      </c>
      <c r="G170" t="e">
        <f ca="1">BDP("13034A7N Muni","MATURITY")</f>
        <v>#NAME?</v>
      </c>
      <c r="H170" t="e">
        <f ca="1">BDP("13034A7N Muni","MUNI_TAX_PROV")</f>
        <v>#NAME?</v>
      </c>
      <c r="I170" t="e">
        <f ca="1">BDP("13034A7N Muni","FINANCING_TYPE")</f>
        <v>#NAME?</v>
      </c>
      <c r="J170" t="e">
        <f ca="1">BDP("13034A7N Muni","BICS_LEVEL_2_INDUSTRY_GROUP_NAME")</f>
        <v>#NAME?</v>
      </c>
      <c r="K170" t="e">
        <f ca="1">BDP("13034A7N Muni","SELF_REPRTD_GREEN_INSTR_INDCTR")</f>
        <v>#NAME?</v>
      </c>
      <c r="L170" t="e">
        <f ca="1">BDP("13034A7N Muni","GB_MANAGEMENT_PROCEEDS")</f>
        <v>#NAME?</v>
      </c>
      <c r="M170" t="e">
        <f ca="1">BDP("13034A7N Muni","GB_REPORTING")</f>
        <v>#NAME?</v>
      </c>
      <c r="N170" t="e">
        <f ca="1">BDP("13034A7N Muni","GB_ASSURANCE_PROVIDERS")</f>
        <v>#NAME?</v>
      </c>
      <c r="O170" t="e">
        <f ca="1">BDP("13034A7N Muni","GB_PROJECT_SELECTION_PROCESS")</f>
        <v>#NAME?</v>
      </c>
      <c r="P170" t="e">
        <f ca="1">BDP("13034A7N Muni","ESG_FRAMEWORK_INDICATOR")</f>
        <v>#NAME?</v>
      </c>
      <c r="Q170" t="e">
        <f ca="1">BDP("13034A7N Muni","BLOOMBERG_SECTOR_CODE")</f>
        <v>#NAME?</v>
      </c>
      <c r="R170" t="e">
        <f ca="1">BDP("13034A7N Muni","ISSUER_TYPE")</f>
        <v>#NAME?</v>
      </c>
      <c r="S170" t="e">
        <f ca="1">BDS("13034A7N Muni","ESG_PROJECT_CATEGORY", "aggregate=y")</f>
        <v>#NAME?</v>
      </c>
      <c r="T170" t="e">
        <f ca="1">BDS("13034A7N Muni","ESG_PROJECT_SUBCATEGORY", "aggregate=y")</f>
        <v>#NAME?</v>
      </c>
    </row>
    <row r="171" spans="1:20" x14ac:dyDescent="0.25">
      <c r="A171" t="e">
        <f ca="1">BDP("13034A7Q Muni","ID_CUSIP")</f>
        <v>#NAME?</v>
      </c>
      <c r="B171" t="e">
        <f ca="1">BDP("13034A7Q Muni","STATE_CODE")</f>
        <v>#NAME?</v>
      </c>
      <c r="C171" t="s">
        <v>27</v>
      </c>
      <c r="D171" t="e">
        <f ca="1">BDP("13034A7Q Muni","YIELD_ON_ISSUE_DATE")</f>
        <v>#NAME?</v>
      </c>
      <c r="E171">
        <v>17630000</v>
      </c>
      <c r="F171" t="e">
        <f ca="1">BDP("13034A7Q Muni","ISSUE_DT")</f>
        <v>#NAME?</v>
      </c>
      <c r="G171" t="e">
        <f ca="1">BDP("13034A7Q Muni","MATURITY")</f>
        <v>#NAME?</v>
      </c>
      <c r="H171" t="e">
        <f ca="1">BDP("13034A7Q Muni","MUNI_TAX_PROV")</f>
        <v>#NAME?</v>
      </c>
      <c r="I171" t="e">
        <f ca="1">BDP("13034A7Q Muni","FINANCING_TYPE")</f>
        <v>#NAME?</v>
      </c>
      <c r="J171" t="e">
        <f ca="1">BDP("13034A7Q Muni","BICS_LEVEL_2_INDUSTRY_GROUP_NAME")</f>
        <v>#NAME?</v>
      </c>
      <c r="K171" t="e">
        <f ca="1">BDP("13034A7Q Muni","SELF_REPRTD_GREEN_INSTR_INDCTR")</f>
        <v>#NAME?</v>
      </c>
      <c r="L171" t="e">
        <f ca="1">BDP("13034A7Q Muni","GB_MANAGEMENT_PROCEEDS")</f>
        <v>#NAME?</v>
      </c>
      <c r="M171" t="e">
        <f ca="1">BDP("13034A7Q Muni","GB_REPORTING")</f>
        <v>#NAME?</v>
      </c>
      <c r="N171" t="e">
        <f ca="1">BDP("13034A7Q Muni","GB_ASSURANCE_PROVIDERS")</f>
        <v>#NAME?</v>
      </c>
      <c r="O171" t="e">
        <f ca="1">BDP("13034A7Q Muni","GB_PROJECT_SELECTION_PROCESS")</f>
        <v>#NAME?</v>
      </c>
      <c r="P171" t="e">
        <f ca="1">BDP("13034A7Q Muni","ESG_FRAMEWORK_INDICATOR")</f>
        <v>#NAME?</v>
      </c>
      <c r="Q171" t="e">
        <f ca="1">BDP("13034A7Q Muni","BLOOMBERG_SECTOR_CODE")</f>
        <v>#NAME?</v>
      </c>
      <c r="R171" t="e">
        <f ca="1">BDP("13034A7Q Muni","ISSUER_TYPE")</f>
        <v>#NAME?</v>
      </c>
      <c r="S171" t="e">
        <f ca="1">BDS("13034A7Q Muni","ESG_PROJECT_CATEGORY", "aggregate=y")</f>
        <v>#NAME?</v>
      </c>
      <c r="T171" t="e">
        <f ca="1">BDS("13034A7Q Muni","ESG_PROJECT_SUBCATEGORY", "aggregate=y")</f>
        <v>#NAME?</v>
      </c>
    </row>
    <row r="172" spans="1:20" x14ac:dyDescent="0.25">
      <c r="A172" t="e">
        <f ca="1">BDP("13034A7T Muni","ID_CUSIP")</f>
        <v>#NAME?</v>
      </c>
      <c r="B172" t="e">
        <f ca="1">BDP("13034A7T Muni","STATE_CODE")</f>
        <v>#NAME?</v>
      </c>
      <c r="C172" t="s">
        <v>27</v>
      </c>
      <c r="D172" t="e">
        <f ca="1">BDP("13034A7T Muni","YIELD_ON_ISSUE_DATE")</f>
        <v>#NAME?</v>
      </c>
      <c r="E172">
        <v>20410000</v>
      </c>
      <c r="F172" t="e">
        <f ca="1">BDP("13034A7T Muni","ISSUE_DT")</f>
        <v>#NAME?</v>
      </c>
      <c r="G172" t="e">
        <f ca="1">BDP("13034A7T Muni","MATURITY")</f>
        <v>#NAME?</v>
      </c>
      <c r="H172" t="e">
        <f ca="1">BDP("13034A7T Muni","MUNI_TAX_PROV")</f>
        <v>#NAME?</v>
      </c>
      <c r="I172" t="e">
        <f ca="1">BDP("13034A7T Muni","FINANCING_TYPE")</f>
        <v>#NAME?</v>
      </c>
      <c r="J172" t="e">
        <f ca="1">BDP("13034A7T Muni","BICS_LEVEL_2_INDUSTRY_GROUP_NAME")</f>
        <v>#NAME?</v>
      </c>
      <c r="K172" t="e">
        <f ca="1">BDP("13034A7T Muni","SELF_REPRTD_GREEN_INSTR_INDCTR")</f>
        <v>#NAME?</v>
      </c>
      <c r="L172" t="e">
        <f ca="1">BDP("13034A7T Muni","GB_MANAGEMENT_PROCEEDS")</f>
        <v>#NAME?</v>
      </c>
      <c r="M172" t="e">
        <f ca="1">BDP("13034A7T Muni","GB_REPORTING")</f>
        <v>#NAME?</v>
      </c>
      <c r="N172" t="e">
        <f ca="1">BDP("13034A7T Muni","GB_ASSURANCE_PROVIDERS")</f>
        <v>#NAME?</v>
      </c>
      <c r="O172" t="e">
        <f ca="1">BDP("13034A7T Muni","GB_PROJECT_SELECTION_PROCESS")</f>
        <v>#NAME?</v>
      </c>
      <c r="P172" t="e">
        <f ca="1">BDP("13034A7T Muni","ESG_FRAMEWORK_INDICATOR")</f>
        <v>#NAME?</v>
      </c>
      <c r="Q172" t="e">
        <f ca="1">BDP("13034A7T Muni","BLOOMBERG_SECTOR_CODE")</f>
        <v>#NAME?</v>
      </c>
      <c r="R172" t="e">
        <f ca="1">BDP("13034A7T Muni","ISSUER_TYPE")</f>
        <v>#NAME?</v>
      </c>
      <c r="S172" t="e">
        <f ca="1">BDS("13034A7T Muni","ESG_PROJECT_CATEGORY", "aggregate=y")</f>
        <v>#NAME?</v>
      </c>
      <c r="T172" t="e">
        <f ca="1">BDS("13034A7T Muni","ESG_PROJECT_SUBCATEGORY", "aggregate=y")</f>
        <v>#NAME?</v>
      </c>
    </row>
    <row r="173" spans="1:20" x14ac:dyDescent="0.25">
      <c r="A173" t="e">
        <f ca="1">BDP("13034A8G Muni","ID_CUSIP")</f>
        <v>#NAME?</v>
      </c>
      <c r="B173" t="e">
        <f ca="1">BDP("13034A8G Muni","STATE_CODE")</f>
        <v>#NAME?</v>
      </c>
      <c r="C173" t="s">
        <v>27</v>
      </c>
      <c r="D173" t="e">
        <f ca="1">BDP("13034A8G Muni","YIELD_ON_ISSUE_DATE")</f>
        <v>#NAME?</v>
      </c>
      <c r="E173">
        <v>104880000</v>
      </c>
      <c r="F173" t="e">
        <f ca="1">BDP("13034A8G Muni","ISSUE_DT")</f>
        <v>#NAME?</v>
      </c>
      <c r="G173" t="e">
        <f ca="1">BDP("13034A8G Muni","MATURITY")</f>
        <v>#NAME?</v>
      </c>
      <c r="H173" t="e">
        <f ca="1">BDP("13034A8G Muni","MUNI_TAX_PROV")</f>
        <v>#NAME?</v>
      </c>
      <c r="I173" t="e">
        <f ca="1">BDP("13034A8G Muni","FINANCING_TYPE")</f>
        <v>#NAME?</v>
      </c>
      <c r="J173" t="e">
        <f ca="1">BDP("13034A8G Muni","BICS_LEVEL_2_INDUSTRY_GROUP_NAME")</f>
        <v>#NAME?</v>
      </c>
      <c r="K173" t="e">
        <f ca="1">BDP("13034A8G Muni","SELF_REPRTD_GREEN_INSTR_INDCTR")</f>
        <v>#NAME?</v>
      </c>
      <c r="L173" t="e">
        <f ca="1">BDP("13034A8G Muni","GB_MANAGEMENT_PROCEEDS")</f>
        <v>#NAME?</v>
      </c>
      <c r="M173" t="e">
        <f ca="1">BDP("13034A8G Muni","GB_REPORTING")</f>
        <v>#NAME?</v>
      </c>
      <c r="N173" t="e">
        <f ca="1">BDP("13034A8G Muni","GB_ASSURANCE_PROVIDERS")</f>
        <v>#NAME?</v>
      </c>
      <c r="O173" t="e">
        <f ca="1">BDP("13034A8G Muni","GB_PROJECT_SELECTION_PROCESS")</f>
        <v>#NAME?</v>
      </c>
      <c r="P173" t="e">
        <f ca="1">BDP("13034A8G Muni","ESG_FRAMEWORK_INDICATOR")</f>
        <v>#NAME?</v>
      </c>
      <c r="Q173" t="e">
        <f ca="1">BDP("13034A8G Muni","BLOOMBERG_SECTOR_CODE")</f>
        <v>#NAME?</v>
      </c>
      <c r="R173" t="e">
        <f ca="1">BDP("13034A8G Muni","ISSUER_TYPE")</f>
        <v>#NAME?</v>
      </c>
      <c r="S173" t="e">
        <f ca="1">BDS("13034A8G Muni","ESG_PROJECT_CATEGORY", "aggregate=y")</f>
        <v>#NAME?</v>
      </c>
      <c r="T173" t="e">
        <f ca="1">BDS("13034A8G Muni","ESG_PROJECT_SUBCATEGORY", "aggregate=y")</f>
        <v>#NAME?</v>
      </c>
    </row>
    <row r="174" spans="1:20" x14ac:dyDescent="0.25">
      <c r="A174" t="e">
        <f ca="1">BDP("25156SHW Muni","ID_CUSIP")</f>
        <v>#NAME?</v>
      </c>
      <c r="B174" t="e">
        <f ca="1">BDP("25156SHW Muni","STATE_CODE")</f>
        <v>#NAME?</v>
      </c>
      <c r="C174" t="s">
        <v>31</v>
      </c>
      <c r="D174" t="e">
        <f ca="1">BDP("25156SHW Muni","YIELD_ON_ISSUE_DATE")</f>
        <v>#NAME?</v>
      </c>
      <c r="E174">
        <v>5000</v>
      </c>
      <c r="F174" t="e">
        <f ca="1">BDP("25156SHW Muni","ISSUE_DT")</f>
        <v>#NAME?</v>
      </c>
      <c r="G174" t="e">
        <f ca="1">BDP("25156SHW Muni","MATURITY")</f>
        <v>#NAME?</v>
      </c>
      <c r="H174" t="e">
        <f ca="1">BDP("25156SHW Muni","MUNI_TAX_PROV")</f>
        <v>#NAME?</v>
      </c>
      <c r="I174" t="e">
        <f ca="1">BDP("25156SHW Muni","FINANCING_TYPE")</f>
        <v>#NAME?</v>
      </c>
      <c r="J174" t="e">
        <f ca="1">BDP("25156SHW Muni","BICS_LEVEL_2_INDUSTRY_GROUP_NAME")</f>
        <v>#NAME?</v>
      </c>
      <c r="K174" t="e">
        <f ca="1">BDP("25156SHW Muni","SELF_REPRTD_GREEN_INSTR_INDCTR")</f>
        <v>#NAME?</v>
      </c>
      <c r="L174" t="e">
        <f ca="1">BDP("25156SHW Muni","GB_MANAGEMENT_PROCEEDS")</f>
        <v>#NAME?</v>
      </c>
      <c r="M174" t="e">
        <f ca="1">BDP("25156SHW Muni","GB_REPORTING")</f>
        <v>#NAME?</v>
      </c>
      <c r="N174" t="e">
        <f ca="1">BDP("25156SHW Muni","GB_ASSURANCE_PROVIDERS")</f>
        <v>#NAME?</v>
      </c>
      <c r="O174" t="e">
        <f ca="1">BDP("25156SHW Muni","GB_PROJECT_SELECTION_PROCESS")</f>
        <v>#NAME?</v>
      </c>
      <c r="P174" t="e">
        <f ca="1">BDP("25156SHW Muni","ESG_FRAMEWORK_INDICATOR")</f>
        <v>#NAME?</v>
      </c>
      <c r="Q174" t="e">
        <f ca="1">BDP("25156SHW Muni","BLOOMBERG_SECTOR_CODE")</f>
        <v>#NAME?</v>
      </c>
      <c r="R174" t="e">
        <f ca="1">BDP("25156SHW Muni","ISSUER_TYPE")</f>
        <v>#NAME?</v>
      </c>
      <c r="S174" t="e">
        <f ca="1">BDS("25156SHW Muni","ESG_PROJECT_CATEGORY", "aggregate=y")</f>
        <v>#NAME?</v>
      </c>
      <c r="T174" t="e">
        <f ca="1">BDS("25156SHW Muni","ESG_PROJECT_SUBCATEGORY", "aggregate=y")</f>
        <v>#NAME?</v>
      </c>
    </row>
    <row r="175" spans="1:20" x14ac:dyDescent="0.25">
      <c r="A175" t="e">
        <f ca="1">BDP("25156SHZ Muni","ID_CUSIP")</f>
        <v>#NAME?</v>
      </c>
      <c r="B175" t="e">
        <f ca="1">BDP("25156SHZ Muni","STATE_CODE")</f>
        <v>#NAME?</v>
      </c>
      <c r="C175" t="s">
        <v>31</v>
      </c>
      <c r="D175" t="e">
        <f ca="1">BDP("25156SHZ Muni","YIELD_ON_ISSUE_DATE")</f>
        <v>#NAME?</v>
      </c>
      <c r="E175">
        <v>5000</v>
      </c>
      <c r="F175" t="e">
        <f ca="1">BDP("25156SHZ Muni","ISSUE_DT")</f>
        <v>#NAME?</v>
      </c>
      <c r="G175" t="e">
        <f ca="1">BDP("25156SHZ Muni","MATURITY")</f>
        <v>#NAME?</v>
      </c>
      <c r="H175" t="e">
        <f ca="1">BDP("25156SHZ Muni","MUNI_TAX_PROV")</f>
        <v>#NAME?</v>
      </c>
      <c r="I175" t="e">
        <f ca="1">BDP("25156SHZ Muni","FINANCING_TYPE")</f>
        <v>#NAME?</v>
      </c>
      <c r="J175" t="e">
        <f ca="1">BDP("25156SHZ Muni","BICS_LEVEL_2_INDUSTRY_GROUP_NAME")</f>
        <v>#NAME?</v>
      </c>
      <c r="K175" t="e">
        <f ca="1">BDP("25156SHZ Muni","SELF_REPRTD_GREEN_INSTR_INDCTR")</f>
        <v>#NAME?</v>
      </c>
      <c r="L175" t="e">
        <f ca="1">BDP("25156SHZ Muni","GB_MANAGEMENT_PROCEEDS")</f>
        <v>#NAME?</v>
      </c>
      <c r="M175" t="e">
        <f ca="1">BDP("25156SHZ Muni","GB_REPORTING")</f>
        <v>#NAME?</v>
      </c>
      <c r="N175" t="e">
        <f ca="1">BDP("25156SHZ Muni","GB_ASSURANCE_PROVIDERS")</f>
        <v>#NAME?</v>
      </c>
      <c r="O175" t="e">
        <f ca="1">BDP("25156SHZ Muni","GB_PROJECT_SELECTION_PROCESS")</f>
        <v>#NAME?</v>
      </c>
      <c r="P175" t="e">
        <f ca="1">BDP("25156SHZ Muni","ESG_FRAMEWORK_INDICATOR")</f>
        <v>#NAME?</v>
      </c>
      <c r="Q175" t="e">
        <f ca="1">BDP("25156SHZ Muni","BLOOMBERG_SECTOR_CODE")</f>
        <v>#NAME?</v>
      </c>
      <c r="R175" t="e">
        <f ca="1">BDP("25156SHZ Muni","ISSUER_TYPE")</f>
        <v>#NAME?</v>
      </c>
      <c r="S175" t="e">
        <f ca="1">BDS("25156SHZ Muni","ESG_PROJECT_CATEGORY", "aggregate=y")</f>
        <v>#NAME?</v>
      </c>
      <c r="T175" t="e">
        <f ca="1">BDS("25156SHZ Muni","ESG_PROJECT_SUBCATEGORY", "aggregate=y")</f>
        <v>#NAME?</v>
      </c>
    </row>
    <row r="176" spans="1:20" x14ac:dyDescent="0.25">
      <c r="A176" t="e">
        <f ca="1">BDP("25156SKD Muni","ID_CUSIP")</f>
        <v>#NAME?</v>
      </c>
      <c r="B176" t="e">
        <f ca="1">BDP("25156SKD Muni","STATE_CODE")</f>
        <v>#NAME?</v>
      </c>
      <c r="C176" t="s">
        <v>31</v>
      </c>
      <c r="D176" t="e">
        <f ca="1">BDP("25156SKD Muni","YIELD_ON_ISSUE_DATE")</f>
        <v>#NAME?</v>
      </c>
      <c r="E176">
        <v>5000</v>
      </c>
      <c r="F176" t="e">
        <f ca="1">BDP("25156SKD Muni","ISSUE_DT")</f>
        <v>#NAME?</v>
      </c>
      <c r="G176" t="e">
        <f ca="1">BDP("25156SKD Muni","MATURITY")</f>
        <v>#NAME?</v>
      </c>
      <c r="H176" t="e">
        <f ca="1">BDP("25156SKD Muni","MUNI_TAX_PROV")</f>
        <v>#NAME?</v>
      </c>
      <c r="I176" t="e">
        <f ca="1">BDP("25156SKD Muni","FINANCING_TYPE")</f>
        <v>#NAME?</v>
      </c>
      <c r="J176" t="e">
        <f ca="1">BDP("25156SKD Muni","BICS_LEVEL_2_INDUSTRY_GROUP_NAME")</f>
        <v>#NAME?</v>
      </c>
      <c r="K176" t="e">
        <f ca="1">BDP("25156SKD Muni","SELF_REPRTD_GREEN_INSTR_INDCTR")</f>
        <v>#NAME?</v>
      </c>
      <c r="L176" t="e">
        <f ca="1">BDP("25156SKD Muni","GB_MANAGEMENT_PROCEEDS")</f>
        <v>#NAME?</v>
      </c>
      <c r="M176" t="e">
        <f ca="1">BDP("25156SKD Muni","GB_REPORTING")</f>
        <v>#NAME?</v>
      </c>
      <c r="N176" t="e">
        <f ca="1">BDP("25156SKD Muni","GB_ASSURANCE_PROVIDERS")</f>
        <v>#NAME?</v>
      </c>
      <c r="O176" t="e">
        <f ca="1">BDP("25156SKD Muni","GB_PROJECT_SELECTION_PROCESS")</f>
        <v>#NAME?</v>
      </c>
      <c r="P176" t="e">
        <f ca="1">BDP("25156SKD Muni","ESG_FRAMEWORK_INDICATOR")</f>
        <v>#NAME?</v>
      </c>
      <c r="Q176" t="e">
        <f ca="1">BDP("25156SKD Muni","BLOOMBERG_SECTOR_CODE")</f>
        <v>#NAME?</v>
      </c>
      <c r="R176" t="e">
        <f ca="1">BDP("25156SKD Muni","ISSUER_TYPE")</f>
        <v>#NAME?</v>
      </c>
      <c r="S176" t="e">
        <f ca="1">BDS("25156SKD Muni","ESG_PROJECT_CATEGORY", "aggregate=y")</f>
        <v>#NAME?</v>
      </c>
      <c r="T176" t="e">
        <f ca="1">BDS("25156SKD Muni","ESG_PROJECT_SUBCATEGORY", "aggregate=y")</f>
        <v>#NAME?</v>
      </c>
    </row>
    <row r="177" spans="1:20" x14ac:dyDescent="0.25">
      <c r="A177" t="e">
        <f ca="1">BDP("271012HH Muni","ID_CUSIP")</f>
        <v>#NAME?</v>
      </c>
      <c r="B177" t="e">
        <f ca="1">BDP("271012HH Muni","STATE_CODE")</f>
        <v>#NAME?</v>
      </c>
      <c r="C177" t="s">
        <v>32</v>
      </c>
      <c r="D177" t="e">
        <f ca="1">BDP("271012HH Muni","YIELD_ON_ISSUE_DATE")</f>
        <v>#NAME?</v>
      </c>
      <c r="E177">
        <v>1325000</v>
      </c>
      <c r="F177" t="e">
        <f ca="1">BDP("271012HH Muni","ISSUE_DT")</f>
        <v>#NAME?</v>
      </c>
      <c r="G177" t="e">
        <f ca="1">BDP("271012HH Muni","MATURITY")</f>
        <v>#NAME?</v>
      </c>
      <c r="H177" t="e">
        <f ca="1">BDP("271012HH Muni","MUNI_TAX_PROV")</f>
        <v>#NAME?</v>
      </c>
      <c r="I177" t="e">
        <f ca="1">BDP("271012HH Muni","FINANCING_TYPE")</f>
        <v>#NAME?</v>
      </c>
      <c r="J177" t="e">
        <f ca="1">BDP("271012HH Muni","BICS_LEVEL_2_INDUSTRY_GROUP_NAME")</f>
        <v>#NAME?</v>
      </c>
      <c r="K177" t="e">
        <f ca="1">BDP("271012HH Muni","SELF_REPRTD_GREEN_INSTR_INDCTR")</f>
        <v>#NAME?</v>
      </c>
      <c r="L177" t="e">
        <f ca="1">BDP("271012HH Muni","GB_MANAGEMENT_PROCEEDS")</f>
        <v>#NAME?</v>
      </c>
      <c r="M177" t="e">
        <f ca="1">BDP("271012HH Muni","GB_REPORTING")</f>
        <v>#NAME?</v>
      </c>
      <c r="N177" t="e">
        <f ca="1">BDP("271012HH Muni","GB_ASSURANCE_PROVIDERS")</f>
        <v>#NAME?</v>
      </c>
      <c r="O177" t="e">
        <f ca="1">BDP("271012HH Muni","GB_PROJECT_SELECTION_PROCESS")</f>
        <v>#NAME?</v>
      </c>
      <c r="P177" t="e">
        <f ca="1">BDP("271012HH Muni","ESG_FRAMEWORK_INDICATOR")</f>
        <v>#NAME?</v>
      </c>
      <c r="Q177" t="e">
        <f ca="1">BDP("271012HH Muni","BLOOMBERG_SECTOR_CODE")</f>
        <v>#NAME?</v>
      </c>
      <c r="R177" t="e">
        <f ca="1">BDP("271012HH Muni","ISSUER_TYPE")</f>
        <v>#NAME?</v>
      </c>
      <c r="S177" t="e">
        <f ca="1">BDS("271012HH Muni","ESG_PROJECT_CATEGORY", "aggregate=y")</f>
        <v>#NAME?</v>
      </c>
      <c r="T177" t="e">
        <f ca="1">BDS("271012HH Muni","ESG_PROJECT_SUBCATEGORY", "aggregate=y")</f>
        <v>#NAME?</v>
      </c>
    </row>
    <row r="178" spans="1:20" x14ac:dyDescent="0.25">
      <c r="A178" t="e">
        <f ca="1">BDP("271012HJ Muni","ID_CUSIP")</f>
        <v>#NAME?</v>
      </c>
      <c r="B178" t="e">
        <f ca="1">BDP("271012HJ Muni","STATE_CODE")</f>
        <v>#NAME?</v>
      </c>
      <c r="C178" t="s">
        <v>32</v>
      </c>
      <c r="D178" t="e">
        <f ca="1">BDP("271012HJ Muni","YIELD_ON_ISSUE_DATE")</f>
        <v>#NAME?</v>
      </c>
      <c r="E178">
        <v>1390000</v>
      </c>
      <c r="F178" t="e">
        <f ca="1">BDP("271012HJ Muni","ISSUE_DT")</f>
        <v>#NAME?</v>
      </c>
      <c r="G178" t="e">
        <f ca="1">BDP("271012HJ Muni","MATURITY")</f>
        <v>#NAME?</v>
      </c>
      <c r="H178" t="e">
        <f ca="1">BDP("271012HJ Muni","MUNI_TAX_PROV")</f>
        <v>#NAME?</v>
      </c>
      <c r="I178" t="e">
        <f ca="1">BDP("271012HJ Muni","FINANCING_TYPE")</f>
        <v>#NAME?</v>
      </c>
      <c r="J178" t="e">
        <f ca="1">BDP("271012HJ Muni","BICS_LEVEL_2_INDUSTRY_GROUP_NAME")</f>
        <v>#NAME?</v>
      </c>
      <c r="K178" t="e">
        <f ca="1">BDP("271012HJ Muni","SELF_REPRTD_GREEN_INSTR_INDCTR")</f>
        <v>#NAME?</v>
      </c>
      <c r="L178" t="e">
        <f ca="1">BDP("271012HJ Muni","GB_MANAGEMENT_PROCEEDS")</f>
        <v>#NAME?</v>
      </c>
      <c r="M178" t="e">
        <f ca="1">BDP("271012HJ Muni","GB_REPORTING")</f>
        <v>#NAME?</v>
      </c>
      <c r="N178" t="e">
        <f ca="1">BDP("271012HJ Muni","GB_ASSURANCE_PROVIDERS")</f>
        <v>#NAME?</v>
      </c>
      <c r="O178" t="e">
        <f ca="1">BDP("271012HJ Muni","GB_PROJECT_SELECTION_PROCESS")</f>
        <v>#NAME?</v>
      </c>
      <c r="P178" t="e">
        <f ca="1">BDP("271012HJ Muni","ESG_FRAMEWORK_INDICATOR")</f>
        <v>#NAME?</v>
      </c>
      <c r="Q178" t="e">
        <f ca="1">BDP("271012HJ Muni","BLOOMBERG_SECTOR_CODE")</f>
        <v>#NAME?</v>
      </c>
      <c r="R178" t="e">
        <f ca="1">BDP("271012HJ Muni","ISSUER_TYPE")</f>
        <v>#NAME?</v>
      </c>
      <c r="S178" t="e">
        <f ca="1">BDS("271012HJ Muni","ESG_PROJECT_CATEGORY", "aggregate=y")</f>
        <v>#NAME?</v>
      </c>
      <c r="T178" t="e">
        <f ca="1">BDS("271012HJ Muni","ESG_PROJECT_SUBCATEGORY", "aggregate=y")</f>
        <v>#NAME?</v>
      </c>
    </row>
    <row r="179" spans="1:20" x14ac:dyDescent="0.25">
      <c r="A179" t="e">
        <f ca="1">BDP("271012HK Muni","ID_CUSIP")</f>
        <v>#NAME?</v>
      </c>
      <c r="B179" t="e">
        <f ca="1">BDP("271012HK Muni","STATE_CODE")</f>
        <v>#NAME?</v>
      </c>
      <c r="C179" t="s">
        <v>32</v>
      </c>
      <c r="D179" t="e">
        <f ca="1">BDP("271012HK Muni","YIELD_ON_ISSUE_DATE")</f>
        <v>#NAME?</v>
      </c>
      <c r="E179">
        <v>1460000</v>
      </c>
      <c r="F179" t="e">
        <f ca="1">BDP("271012HK Muni","ISSUE_DT")</f>
        <v>#NAME?</v>
      </c>
      <c r="G179" t="e">
        <f ca="1">BDP("271012HK Muni","MATURITY")</f>
        <v>#NAME?</v>
      </c>
      <c r="H179" t="e">
        <f ca="1">BDP("271012HK Muni","MUNI_TAX_PROV")</f>
        <v>#NAME?</v>
      </c>
      <c r="I179" t="e">
        <f ca="1">BDP("271012HK Muni","FINANCING_TYPE")</f>
        <v>#NAME?</v>
      </c>
      <c r="J179" t="e">
        <f ca="1">BDP("271012HK Muni","BICS_LEVEL_2_INDUSTRY_GROUP_NAME")</f>
        <v>#NAME?</v>
      </c>
      <c r="K179" t="e">
        <f ca="1">BDP("271012HK Muni","SELF_REPRTD_GREEN_INSTR_INDCTR")</f>
        <v>#NAME?</v>
      </c>
      <c r="L179" t="e">
        <f ca="1">BDP("271012HK Muni","GB_MANAGEMENT_PROCEEDS")</f>
        <v>#NAME?</v>
      </c>
      <c r="M179" t="e">
        <f ca="1">BDP("271012HK Muni","GB_REPORTING")</f>
        <v>#NAME?</v>
      </c>
      <c r="N179" t="e">
        <f ca="1">BDP("271012HK Muni","GB_ASSURANCE_PROVIDERS")</f>
        <v>#NAME?</v>
      </c>
      <c r="O179" t="e">
        <f ca="1">BDP("271012HK Muni","GB_PROJECT_SELECTION_PROCESS")</f>
        <v>#NAME?</v>
      </c>
      <c r="P179" t="e">
        <f ca="1">BDP("271012HK Muni","ESG_FRAMEWORK_INDICATOR")</f>
        <v>#NAME?</v>
      </c>
      <c r="Q179" t="e">
        <f ca="1">BDP("271012HK Muni","BLOOMBERG_SECTOR_CODE")</f>
        <v>#NAME?</v>
      </c>
      <c r="R179" t="e">
        <f ca="1">BDP("271012HK Muni","ISSUER_TYPE")</f>
        <v>#NAME?</v>
      </c>
      <c r="S179" t="e">
        <f ca="1">BDS("271012HK Muni","ESG_PROJECT_CATEGORY", "aggregate=y")</f>
        <v>#NAME?</v>
      </c>
      <c r="T179" t="e">
        <f ca="1">BDS("271012HK Muni","ESG_PROJECT_SUBCATEGORY", "aggregate=y")</f>
        <v>#NAME?</v>
      </c>
    </row>
    <row r="180" spans="1:20" x14ac:dyDescent="0.25">
      <c r="A180" t="e">
        <f ca="1">BDP("271012HP Muni","ID_CUSIP")</f>
        <v>#NAME?</v>
      </c>
      <c r="B180" t="e">
        <f ca="1">BDP("271012HP Muni","STATE_CODE")</f>
        <v>#NAME?</v>
      </c>
      <c r="C180" t="s">
        <v>32</v>
      </c>
      <c r="D180" t="e">
        <f ca="1">BDP("271012HP Muni","YIELD_ON_ISSUE_DATE")</f>
        <v>#NAME?</v>
      </c>
      <c r="E180">
        <v>11920000</v>
      </c>
      <c r="F180" t="e">
        <f ca="1">BDP("271012HP Muni","ISSUE_DT")</f>
        <v>#NAME?</v>
      </c>
      <c r="G180" t="e">
        <f ca="1">BDP("271012HP Muni","MATURITY")</f>
        <v>#NAME?</v>
      </c>
      <c r="H180" t="e">
        <f ca="1">BDP("271012HP Muni","MUNI_TAX_PROV")</f>
        <v>#NAME?</v>
      </c>
      <c r="I180" t="e">
        <f ca="1">BDP("271012HP Muni","FINANCING_TYPE")</f>
        <v>#NAME?</v>
      </c>
      <c r="J180" t="e">
        <f ca="1">BDP("271012HP Muni","BICS_LEVEL_2_INDUSTRY_GROUP_NAME")</f>
        <v>#NAME?</v>
      </c>
      <c r="K180" t="e">
        <f ca="1">BDP("271012HP Muni","SELF_REPRTD_GREEN_INSTR_INDCTR")</f>
        <v>#NAME?</v>
      </c>
      <c r="L180" t="e">
        <f ca="1">BDP("271012HP Muni","GB_MANAGEMENT_PROCEEDS")</f>
        <v>#NAME?</v>
      </c>
      <c r="M180" t="e">
        <f ca="1">BDP("271012HP Muni","GB_REPORTING")</f>
        <v>#NAME?</v>
      </c>
      <c r="N180" t="e">
        <f ca="1">BDP("271012HP Muni","GB_ASSURANCE_PROVIDERS")</f>
        <v>#NAME?</v>
      </c>
      <c r="O180" t="e">
        <f ca="1">BDP("271012HP Muni","GB_PROJECT_SELECTION_PROCESS")</f>
        <v>#NAME?</v>
      </c>
      <c r="P180" t="e">
        <f ca="1">BDP("271012HP Muni","ESG_FRAMEWORK_INDICATOR")</f>
        <v>#NAME?</v>
      </c>
      <c r="Q180" t="e">
        <f ca="1">BDP("271012HP Muni","BLOOMBERG_SECTOR_CODE")</f>
        <v>#NAME?</v>
      </c>
      <c r="R180" t="e">
        <f ca="1">BDP("271012HP Muni","ISSUER_TYPE")</f>
        <v>#NAME?</v>
      </c>
      <c r="S180" t="e">
        <f ca="1">BDS("271012HP Muni","ESG_PROJECT_CATEGORY", "aggregate=y")</f>
        <v>#NAME?</v>
      </c>
      <c r="T180" t="e">
        <f ca="1">BDS("271012HP Muni","ESG_PROJECT_SUBCATEGORY", "aggregate=y")</f>
        <v>#NAME?</v>
      </c>
    </row>
    <row r="181" spans="1:20" x14ac:dyDescent="0.25">
      <c r="A181" t="e">
        <f ca="1">BDP("271014S7 Muni","ID_CUSIP")</f>
        <v>#NAME?</v>
      </c>
      <c r="B181" t="e">
        <f ca="1">BDP("271014S7 Muni","STATE_CODE")</f>
        <v>#NAME?</v>
      </c>
      <c r="C181" t="s">
        <v>33</v>
      </c>
      <c r="D181" t="e">
        <f ca="1">BDP("271014S7 Muni","YIELD_ON_ISSUE_DATE")</f>
        <v>#NAME?</v>
      </c>
      <c r="E181">
        <v>12090000</v>
      </c>
      <c r="F181" t="e">
        <f ca="1">BDP("271014S7 Muni","ISSUE_DT")</f>
        <v>#NAME?</v>
      </c>
      <c r="G181" t="e">
        <f ca="1">BDP("271014S7 Muni","MATURITY")</f>
        <v>#NAME?</v>
      </c>
      <c r="H181" t="e">
        <f ca="1">BDP("271014S7 Muni","MUNI_TAX_PROV")</f>
        <v>#NAME?</v>
      </c>
      <c r="I181" t="e">
        <f ca="1">BDP("271014S7 Muni","FINANCING_TYPE")</f>
        <v>#NAME?</v>
      </c>
      <c r="J181" t="e">
        <f ca="1">BDP("271014S7 Muni","BICS_LEVEL_2_INDUSTRY_GROUP_NAME")</f>
        <v>#NAME?</v>
      </c>
      <c r="K181" t="e">
        <f ca="1">BDP("271014S7 Muni","SELF_REPRTD_GREEN_INSTR_INDCTR")</f>
        <v>#NAME?</v>
      </c>
      <c r="L181" t="e">
        <f ca="1">BDP("271014S7 Muni","GB_MANAGEMENT_PROCEEDS")</f>
        <v>#NAME?</v>
      </c>
      <c r="M181" t="e">
        <f ca="1">BDP("271014S7 Muni","GB_REPORTING")</f>
        <v>#NAME?</v>
      </c>
      <c r="N181" t="e">
        <f ca="1">BDP("271014S7 Muni","GB_ASSURANCE_PROVIDERS")</f>
        <v>#NAME?</v>
      </c>
      <c r="O181" t="e">
        <f ca="1">BDP("271014S7 Muni","GB_PROJECT_SELECTION_PROCESS")</f>
        <v>#NAME?</v>
      </c>
      <c r="P181" t="e">
        <f ca="1">BDP("271014S7 Muni","ESG_FRAMEWORK_INDICATOR")</f>
        <v>#NAME?</v>
      </c>
      <c r="Q181" t="e">
        <f ca="1">BDP("271014S7 Muni","BLOOMBERG_SECTOR_CODE")</f>
        <v>#NAME?</v>
      </c>
      <c r="R181" t="e">
        <f ca="1">BDP("271014S7 Muni","ISSUER_TYPE")</f>
        <v>#NAME?</v>
      </c>
      <c r="S181" t="e">
        <f ca="1">BDS("271014S7 Muni","ESG_PROJECT_CATEGORY", "aggregate=y")</f>
        <v>#NAME?</v>
      </c>
      <c r="T181" t="e">
        <f ca="1">BDS("271014S7 Muni","ESG_PROJECT_SUBCATEGORY", "aggregate=y")</f>
        <v>#NAME?</v>
      </c>
    </row>
    <row r="182" spans="1:20" x14ac:dyDescent="0.25">
      <c r="A182" t="e">
        <f ca="1">BDP("271014S9 Muni","ID_CUSIP")</f>
        <v>#NAME?</v>
      </c>
      <c r="B182" t="e">
        <f ca="1">BDP("271014S9 Muni","STATE_CODE")</f>
        <v>#NAME?</v>
      </c>
      <c r="C182" t="s">
        <v>33</v>
      </c>
      <c r="D182" t="e">
        <f ca="1">BDP("271014S9 Muni","YIELD_ON_ISSUE_DATE")</f>
        <v>#NAME?</v>
      </c>
      <c r="E182">
        <v>13330000</v>
      </c>
      <c r="F182" t="e">
        <f ca="1">BDP("271014S9 Muni","ISSUE_DT")</f>
        <v>#NAME?</v>
      </c>
      <c r="G182" t="e">
        <f ca="1">BDP("271014S9 Muni","MATURITY")</f>
        <v>#NAME?</v>
      </c>
      <c r="H182" t="e">
        <f ca="1">BDP("271014S9 Muni","MUNI_TAX_PROV")</f>
        <v>#NAME?</v>
      </c>
      <c r="I182" t="e">
        <f ca="1">BDP("271014S9 Muni","FINANCING_TYPE")</f>
        <v>#NAME?</v>
      </c>
      <c r="J182" t="e">
        <f ca="1">BDP("271014S9 Muni","BICS_LEVEL_2_INDUSTRY_GROUP_NAME")</f>
        <v>#NAME?</v>
      </c>
      <c r="K182" t="e">
        <f ca="1">BDP("271014S9 Muni","SELF_REPRTD_GREEN_INSTR_INDCTR")</f>
        <v>#NAME?</v>
      </c>
      <c r="L182" t="e">
        <f ca="1">BDP("271014S9 Muni","GB_MANAGEMENT_PROCEEDS")</f>
        <v>#NAME?</v>
      </c>
      <c r="M182" t="e">
        <f ca="1">BDP("271014S9 Muni","GB_REPORTING")</f>
        <v>#NAME?</v>
      </c>
      <c r="N182" t="e">
        <f ca="1">BDP("271014S9 Muni","GB_ASSURANCE_PROVIDERS")</f>
        <v>#NAME?</v>
      </c>
      <c r="O182" t="e">
        <f ca="1">BDP("271014S9 Muni","GB_PROJECT_SELECTION_PROCESS")</f>
        <v>#NAME?</v>
      </c>
      <c r="P182" t="e">
        <f ca="1">BDP("271014S9 Muni","ESG_FRAMEWORK_INDICATOR")</f>
        <v>#NAME?</v>
      </c>
      <c r="Q182" t="e">
        <f ca="1">BDP("271014S9 Muni","BLOOMBERG_SECTOR_CODE")</f>
        <v>#NAME?</v>
      </c>
      <c r="R182" t="e">
        <f ca="1">BDP("271014S9 Muni","ISSUER_TYPE")</f>
        <v>#NAME?</v>
      </c>
      <c r="S182" t="e">
        <f ca="1">BDS("271014S9 Muni","ESG_PROJECT_CATEGORY", "aggregate=y")</f>
        <v>#NAME?</v>
      </c>
      <c r="T182" t="e">
        <f ca="1">BDS("271014S9 Muni","ESG_PROJECT_SUBCATEGORY", "aggregate=y")</f>
        <v>#NAME?</v>
      </c>
    </row>
    <row r="183" spans="1:20" x14ac:dyDescent="0.25">
      <c r="A183" t="e">
        <f ca="1">BDP("5444452G Muni","ID_CUSIP")</f>
        <v>#NAME?</v>
      </c>
      <c r="B183" t="e">
        <f ca="1">BDP("5444452G Muni","STATE_CODE")</f>
        <v>#NAME?</v>
      </c>
      <c r="C183" t="s">
        <v>34</v>
      </c>
      <c r="D183" t="e">
        <f ca="1">BDP("5444452G Muni","YIELD_ON_ISSUE_DATE")</f>
        <v>#NAME?</v>
      </c>
      <c r="E183">
        <v>21770000</v>
      </c>
      <c r="F183" t="e">
        <f ca="1">BDP("5444452G Muni","ISSUE_DT")</f>
        <v>#NAME?</v>
      </c>
      <c r="G183" t="e">
        <f ca="1">BDP("5444452G Muni","MATURITY")</f>
        <v>#NAME?</v>
      </c>
      <c r="H183" t="e">
        <f ca="1">BDP("5444452G Muni","MUNI_TAX_PROV")</f>
        <v>#NAME?</v>
      </c>
      <c r="I183" t="e">
        <f ca="1">BDP("5444452G Muni","FINANCING_TYPE")</f>
        <v>#NAME?</v>
      </c>
      <c r="J183" t="e">
        <f ca="1">BDP("5444452G Muni","BICS_LEVEL_2_INDUSTRY_GROUP_NAME")</f>
        <v>#NAME?</v>
      </c>
      <c r="K183" t="e">
        <f ca="1">BDP("5444452G Muni","SELF_REPRTD_GREEN_INSTR_INDCTR")</f>
        <v>#NAME?</v>
      </c>
      <c r="L183" t="e">
        <f ca="1">BDP("5444452G Muni","GB_MANAGEMENT_PROCEEDS")</f>
        <v>#NAME?</v>
      </c>
      <c r="M183" t="e">
        <f ca="1">BDP("5444452G Muni","GB_REPORTING")</f>
        <v>#NAME?</v>
      </c>
      <c r="N183" t="e">
        <f ca="1">BDP("5444452G Muni","GB_ASSURANCE_PROVIDERS")</f>
        <v>#NAME?</v>
      </c>
      <c r="O183" t="e">
        <f ca="1">BDP("5444452G Muni","GB_PROJECT_SELECTION_PROCESS")</f>
        <v>#NAME?</v>
      </c>
      <c r="P183" t="e">
        <f ca="1">BDP("5444452G Muni","ESG_FRAMEWORK_INDICATOR")</f>
        <v>#NAME?</v>
      </c>
      <c r="Q183" t="e">
        <f ca="1">BDP("5444452G Muni","BLOOMBERG_SECTOR_CODE")</f>
        <v>#NAME?</v>
      </c>
      <c r="R183" t="e">
        <f ca="1">BDP("5444452G Muni","ISSUER_TYPE")</f>
        <v>#NAME?</v>
      </c>
      <c r="S183" t="e">
        <f ca="1">BDS("5444452G Muni","ESG_PROJECT_CATEGORY", "aggregate=y")</f>
        <v>#NAME?</v>
      </c>
      <c r="T183" t="e">
        <f ca="1">BDS("5444452G Muni","ESG_PROJECT_SUBCATEGORY", "aggregate=y")</f>
        <v>#NAME?</v>
      </c>
    </row>
    <row r="184" spans="1:20" x14ac:dyDescent="0.25">
      <c r="A184" t="e">
        <f ca="1">BDP("5444452H Muni","ID_CUSIP")</f>
        <v>#NAME?</v>
      </c>
      <c r="B184" t="e">
        <f ca="1">BDP("5444452H Muni","STATE_CODE")</f>
        <v>#NAME?</v>
      </c>
      <c r="C184" t="s">
        <v>34</v>
      </c>
      <c r="D184" t="e">
        <f ca="1">BDP("5444452H Muni","YIELD_ON_ISSUE_DATE")</f>
        <v>#NAME?</v>
      </c>
      <c r="E184">
        <v>28595000</v>
      </c>
      <c r="F184" t="e">
        <f ca="1">BDP("5444452H Muni","ISSUE_DT")</f>
        <v>#NAME?</v>
      </c>
      <c r="G184" t="e">
        <f ca="1">BDP("5444452H Muni","MATURITY")</f>
        <v>#NAME?</v>
      </c>
      <c r="H184" t="e">
        <f ca="1">BDP("5444452H Muni","MUNI_TAX_PROV")</f>
        <v>#NAME?</v>
      </c>
      <c r="I184" t="e">
        <f ca="1">BDP("5444452H Muni","FINANCING_TYPE")</f>
        <v>#NAME?</v>
      </c>
      <c r="J184" t="e">
        <f ca="1">BDP("5444452H Muni","BICS_LEVEL_2_INDUSTRY_GROUP_NAME")</f>
        <v>#NAME?</v>
      </c>
      <c r="K184" t="e">
        <f ca="1">BDP("5444452H Muni","SELF_REPRTD_GREEN_INSTR_INDCTR")</f>
        <v>#NAME?</v>
      </c>
      <c r="L184" t="e">
        <f ca="1">BDP("5444452H Muni","GB_MANAGEMENT_PROCEEDS")</f>
        <v>#NAME?</v>
      </c>
      <c r="M184" t="e">
        <f ca="1">BDP("5444452H Muni","GB_REPORTING")</f>
        <v>#NAME?</v>
      </c>
      <c r="N184" t="e">
        <f ca="1">BDP("5444452H Muni","GB_ASSURANCE_PROVIDERS")</f>
        <v>#NAME?</v>
      </c>
      <c r="O184" t="e">
        <f ca="1">BDP("5444452H Muni","GB_PROJECT_SELECTION_PROCESS")</f>
        <v>#NAME?</v>
      </c>
      <c r="P184" t="e">
        <f ca="1">BDP("5444452H Muni","ESG_FRAMEWORK_INDICATOR")</f>
        <v>#NAME?</v>
      </c>
      <c r="Q184" t="e">
        <f ca="1">BDP("5444452H Muni","BLOOMBERG_SECTOR_CODE")</f>
        <v>#NAME?</v>
      </c>
      <c r="R184" t="e">
        <f ca="1">BDP("5444452H Muni","ISSUER_TYPE")</f>
        <v>#NAME?</v>
      </c>
      <c r="S184" t="e">
        <f ca="1">BDS("5444452H Muni","ESG_PROJECT_CATEGORY", "aggregate=y")</f>
        <v>#NAME?</v>
      </c>
      <c r="T184" t="e">
        <f ca="1">BDS("5444452H Muni","ESG_PROJECT_SUBCATEGORY", "aggregate=y")</f>
        <v>#NAME?</v>
      </c>
    </row>
    <row r="185" spans="1:20" x14ac:dyDescent="0.25">
      <c r="A185" t="e">
        <f ca="1">BDP("5444452J Muni","ID_CUSIP")</f>
        <v>#NAME?</v>
      </c>
      <c r="B185" t="e">
        <f ca="1">BDP("5444452J Muni","STATE_CODE")</f>
        <v>#NAME?</v>
      </c>
      <c r="C185" t="s">
        <v>34</v>
      </c>
      <c r="D185" t="e">
        <f ca="1">BDP("5444452J Muni","YIELD_ON_ISSUE_DATE")</f>
        <v>#NAME?</v>
      </c>
      <c r="E185">
        <v>30875000</v>
      </c>
      <c r="F185" t="e">
        <f ca="1">BDP("5444452J Muni","ISSUE_DT")</f>
        <v>#NAME?</v>
      </c>
      <c r="G185" t="e">
        <f ca="1">BDP("5444452J Muni","MATURITY")</f>
        <v>#NAME?</v>
      </c>
      <c r="H185" t="e">
        <f ca="1">BDP("5444452J Muni","MUNI_TAX_PROV")</f>
        <v>#NAME?</v>
      </c>
      <c r="I185" t="e">
        <f ca="1">BDP("5444452J Muni","FINANCING_TYPE")</f>
        <v>#NAME?</v>
      </c>
      <c r="J185" t="e">
        <f ca="1">BDP("5444452J Muni","BICS_LEVEL_2_INDUSTRY_GROUP_NAME")</f>
        <v>#NAME?</v>
      </c>
      <c r="K185" t="e">
        <f ca="1">BDP("5444452J Muni","SELF_REPRTD_GREEN_INSTR_INDCTR")</f>
        <v>#NAME?</v>
      </c>
      <c r="L185" t="e">
        <f ca="1">BDP("5444452J Muni","GB_MANAGEMENT_PROCEEDS")</f>
        <v>#NAME?</v>
      </c>
      <c r="M185" t="e">
        <f ca="1">BDP("5444452J Muni","GB_REPORTING")</f>
        <v>#NAME?</v>
      </c>
      <c r="N185" t="e">
        <f ca="1">BDP("5444452J Muni","GB_ASSURANCE_PROVIDERS")</f>
        <v>#NAME?</v>
      </c>
      <c r="O185" t="e">
        <f ca="1">BDP("5444452J Muni","GB_PROJECT_SELECTION_PROCESS")</f>
        <v>#NAME?</v>
      </c>
      <c r="P185" t="e">
        <f ca="1">BDP("5444452J Muni","ESG_FRAMEWORK_INDICATOR")</f>
        <v>#NAME?</v>
      </c>
      <c r="Q185" t="e">
        <f ca="1">BDP("5444452J Muni","BLOOMBERG_SECTOR_CODE")</f>
        <v>#NAME?</v>
      </c>
      <c r="R185" t="e">
        <f ca="1">BDP("5444452J Muni","ISSUER_TYPE")</f>
        <v>#NAME?</v>
      </c>
      <c r="S185" t="e">
        <f ca="1">BDS("5444452J Muni","ESG_PROJECT_CATEGORY", "aggregate=y")</f>
        <v>#NAME?</v>
      </c>
      <c r="T185" t="e">
        <f ca="1">BDS("5444452J Muni","ESG_PROJECT_SUBCATEGORY", "aggregate=y")</f>
        <v>#NAME?</v>
      </c>
    </row>
    <row r="186" spans="1:20" x14ac:dyDescent="0.25">
      <c r="A186" t="e">
        <f ca="1">BDP("5444452L Muni","ID_CUSIP")</f>
        <v>#NAME?</v>
      </c>
      <c r="B186" t="e">
        <f ca="1">BDP("5444452L Muni","STATE_CODE")</f>
        <v>#NAME?</v>
      </c>
      <c r="C186" t="s">
        <v>34</v>
      </c>
      <c r="D186" t="e">
        <f ca="1">BDP("5444452L Muni","YIELD_ON_ISSUE_DATE")</f>
        <v>#NAME?</v>
      </c>
      <c r="E186">
        <v>22500000</v>
      </c>
      <c r="F186" t="e">
        <f ca="1">BDP("5444452L Muni","ISSUE_DT")</f>
        <v>#NAME?</v>
      </c>
      <c r="G186" t="e">
        <f ca="1">BDP("5444452L Muni","MATURITY")</f>
        <v>#NAME?</v>
      </c>
      <c r="H186" t="e">
        <f ca="1">BDP("5444452L Muni","MUNI_TAX_PROV")</f>
        <v>#NAME?</v>
      </c>
      <c r="I186" t="e">
        <f ca="1">BDP("5444452L Muni","FINANCING_TYPE")</f>
        <v>#NAME?</v>
      </c>
      <c r="J186" t="e">
        <f ca="1">BDP("5444452L Muni","BICS_LEVEL_2_INDUSTRY_GROUP_NAME")</f>
        <v>#NAME?</v>
      </c>
      <c r="K186" t="e">
        <f ca="1">BDP("5444452L Muni","SELF_REPRTD_GREEN_INSTR_INDCTR")</f>
        <v>#NAME?</v>
      </c>
      <c r="L186" t="e">
        <f ca="1">BDP("5444452L Muni","GB_MANAGEMENT_PROCEEDS")</f>
        <v>#NAME?</v>
      </c>
      <c r="M186" t="e">
        <f ca="1">BDP("5444452L Muni","GB_REPORTING")</f>
        <v>#NAME?</v>
      </c>
      <c r="N186" t="e">
        <f ca="1">BDP("5444452L Muni","GB_ASSURANCE_PROVIDERS")</f>
        <v>#NAME?</v>
      </c>
      <c r="O186" t="e">
        <f ca="1">BDP("5444452L Muni","GB_PROJECT_SELECTION_PROCESS")</f>
        <v>#NAME?</v>
      </c>
      <c r="P186" t="e">
        <f ca="1">BDP("5444452L Muni","ESG_FRAMEWORK_INDICATOR")</f>
        <v>#NAME?</v>
      </c>
      <c r="Q186" t="e">
        <f ca="1">BDP("5444452L Muni","BLOOMBERG_SECTOR_CODE")</f>
        <v>#NAME?</v>
      </c>
      <c r="R186" t="e">
        <f ca="1">BDP("5444452L Muni","ISSUER_TYPE")</f>
        <v>#NAME?</v>
      </c>
      <c r="S186" t="e">
        <f ca="1">BDS("5444452L Muni","ESG_PROJECT_CATEGORY", "aggregate=y")</f>
        <v>#NAME?</v>
      </c>
      <c r="T186" t="e">
        <f ca="1">BDS("5444452L Muni","ESG_PROJECT_SUBCATEGORY", "aggregate=y")</f>
        <v>#NAME?</v>
      </c>
    </row>
    <row r="187" spans="1:20" x14ac:dyDescent="0.25">
      <c r="A187" t="e">
        <f ca="1">BDP("5444452M Muni","ID_CUSIP")</f>
        <v>#NAME?</v>
      </c>
      <c r="B187" t="e">
        <f ca="1">BDP("5444452M Muni","STATE_CODE")</f>
        <v>#NAME?</v>
      </c>
      <c r="C187" t="s">
        <v>34</v>
      </c>
      <c r="D187" t="e">
        <f ca="1">BDP("5444452M Muni","YIELD_ON_ISSUE_DATE")</f>
        <v>#NAME?</v>
      </c>
      <c r="E187">
        <v>4565000</v>
      </c>
      <c r="F187" t="e">
        <f ca="1">BDP("5444452M Muni","ISSUE_DT")</f>
        <v>#NAME?</v>
      </c>
      <c r="G187" t="e">
        <f ca="1">BDP("5444452M Muni","MATURITY")</f>
        <v>#NAME?</v>
      </c>
      <c r="H187" t="e">
        <f ca="1">BDP("5444452M Muni","MUNI_TAX_PROV")</f>
        <v>#NAME?</v>
      </c>
      <c r="I187" t="e">
        <f ca="1">BDP("5444452M Muni","FINANCING_TYPE")</f>
        <v>#NAME?</v>
      </c>
      <c r="J187" t="e">
        <f ca="1">BDP("5444452M Muni","BICS_LEVEL_2_INDUSTRY_GROUP_NAME")</f>
        <v>#NAME?</v>
      </c>
      <c r="K187" t="e">
        <f ca="1">BDP("5444452M Muni","SELF_REPRTD_GREEN_INSTR_INDCTR")</f>
        <v>#NAME?</v>
      </c>
      <c r="L187" t="e">
        <f ca="1">BDP("5444452M Muni","GB_MANAGEMENT_PROCEEDS")</f>
        <v>#NAME?</v>
      </c>
      <c r="M187" t="e">
        <f ca="1">BDP("5444452M Muni","GB_REPORTING")</f>
        <v>#NAME?</v>
      </c>
      <c r="N187" t="e">
        <f ca="1">BDP("5444452M Muni","GB_ASSURANCE_PROVIDERS")</f>
        <v>#NAME?</v>
      </c>
      <c r="O187" t="e">
        <f ca="1">BDP("5444452M Muni","GB_PROJECT_SELECTION_PROCESS")</f>
        <v>#NAME?</v>
      </c>
      <c r="P187" t="e">
        <f ca="1">BDP("5444452M Muni","ESG_FRAMEWORK_INDICATOR")</f>
        <v>#NAME?</v>
      </c>
      <c r="Q187" t="e">
        <f ca="1">BDP("5444452M Muni","BLOOMBERG_SECTOR_CODE")</f>
        <v>#NAME?</v>
      </c>
      <c r="R187" t="e">
        <f ca="1">BDP("5444452M Muni","ISSUER_TYPE")</f>
        <v>#NAME?</v>
      </c>
      <c r="S187" t="e">
        <f ca="1">BDS("5444452M Muni","ESG_PROJECT_CATEGORY", "aggregate=y")</f>
        <v>#NAME?</v>
      </c>
      <c r="T187" t="e">
        <f ca="1">BDS("5444452M Muni","ESG_PROJECT_SUBCATEGORY", "aggregate=y")</f>
        <v>#NAME?</v>
      </c>
    </row>
    <row r="188" spans="1:20" x14ac:dyDescent="0.25">
      <c r="A188" t="e">
        <f ca="1">BDP("5444452P Muni","ID_CUSIP")</f>
        <v>#NAME?</v>
      </c>
      <c r="B188" t="e">
        <f ca="1">BDP("5444452P Muni","STATE_CODE")</f>
        <v>#NAME?</v>
      </c>
      <c r="C188" t="s">
        <v>34</v>
      </c>
      <c r="D188" t="e">
        <f ca="1">BDP("5444452P Muni","YIELD_ON_ISSUE_DATE")</f>
        <v>#NAME?</v>
      </c>
      <c r="E188">
        <v>37630000</v>
      </c>
      <c r="F188" t="e">
        <f ca="1">BDP("5444452P Muni","ISSUE_DT")</f>
        <v>#NAME?</v>
      </c>
      <c r="G188" t="e">
        <f ca="1">BDP("5444452P Muni","MATURITY")</f>
        <v>#NAME?</v>
      </c>
      <c r="H188" t="e">
        <f ca="1">BDP("5444452P Muni","MUNI_TAX_PROV")</f>
        <v>#NAME?</v>
      </c>
      <c r="I188" t="e">
        <f ca="1">BDP("5444452P Muni","FINANCING_TYPE")</f>
        <v>#NAME?</v>
      </c>
      <c r="J188" t="e">
        <f ca="1">BDP("5444452P Muni","BICS_LEVEL_2_INDUSTRY_GROUP_NAME")</f>
        <v>#NAME?</v>
      </c>
      <c r="K188" t="e">
        <f ca="1">BDP("5444452P Muni","SELF_REPRTD_GREEN_INSTR_INDCTR")</f>
        <v>#NAME?</v>
      </c>
      <c r="L188" t="e">
        <f ca="1">BDP("5444452P Muni","GB_MANAGEMENT_PROCEEDS")</f>
        <v>#NAME?</v>
      </c>
      <c r="M188" t="e">
        <f ca="1">BDP("5444452P Muni","GB_REPORTING")</f>
        <v>#NAME?</v>
      </c>
      <c r="N188" t="e">
        <f ca="1">BDP("5444452P Muni","GB_ASSURANCE_PROVIDERS")</f>
        <v>#NAME?</v>
      </c>
      <c r="O188" t="e">
        <f ca="1">BDP("5444452P Muni","GB_PROJECT_SELECTION_PROCESS")</f>
        <v>#NAME?</v>
      </c>
      <c r="P188" t="e">
        <f ca="1">BDP("5444452P Muni","ESG_FRAMEWORK_INDICATOR")</f>
        <v>#NAME?</v>
      </c>
      <c r="Q188" t="e">
        <f ca="1">BDP("5444452P Muni","BLOOMBERG_SECTOR_CODE")</f>
        <v>#NAME?</v>
      </c>
      <c r="R188" t="e">
        <f ca="1">BDP("5444452P Muni","ISSUER_TYPE")</f>
        <v>#NAME?</v>
      </c>
      <c r="S188" t="e">
        <f ca="1">BDS("5444452P Muni","ESG_PROJECT_CATEGORY", "aggregate=y")</f>
        <v>#NAME?</v>
      </c>
      <c r="T188" t="e">
        <f ca="1">BDS("5444452P Muni","ESG_PROJECT_SUBCATEGORY", "aggregate=y")</f>
        <v>#NAME?</v>
      </c>
    </row>
    <row r="189" spans="1:20" x14ac:dyDescent="0.25">
      <c r="A189" t="e">
        <f ca="1">BDP("5444452Q Muni","ID_CUSIP")</f>
        <v>#NAME?</v>
      </c>
      <c r="B189" t="e">
        <f ca="1">BDP("5444452Q Muni","STATE_CODE")</f>
        <v>#NAME?</v>
      </c>
      <c r="C189" t="s">
        <v>34</v>
      </c>
      <c r="D189" t="e">
        <f ca="1">BDP("5444452Q Muni","YIELD_ON_ISSUE_DATE")</f>
        <v>#NAME?</v>
      </c>
      <c r="E189">
        <v>39505000</v>
      </c>
      <c r="F189" t="e">
        <f ca="1">BDP("5444452Q Muni","ISSUE_DT")</f>
        <v>#NAME?</v>
      </c>
      <c r="G189" t="e">
        <f ca="1">BDP("5444452Q Muni","MATURITY")</f>
        <v>#NAME?</v>
      </c>
      <c r="H189" t="e">
        <f ca="1">BDP("5444452Q Muni","MUNI_TAX_PROV")</f>
        <v>#NAME?</v>
      </c>
      <c r="I189" t="e">
        <f ca="1">BDP("5444452Q Muni","FINANCING_TYPE")</f>
        <v>#NAME?</v>
      </c>
      <c r="J189" t="e">
        <f ca="1">BDP("5444452Q Muni","BICS_LEVEL_2_INDUSTRY_GROUP_NAME")</f>
        <v>#NAME?</v>
      </c>
      <c r="K189" t="e">
        <f ca="1">BDP("5444452Q Muni","SELF_REPRTD_GREEN_INSTR_INDCTR")</f>
        <v>#NAME?</v>
      </c>
      <c r="L189" t="e">
        <f ca="1">BDP("5444452Q Muni","GB_MANAGEMENT_PROCEEDS")</f>
        <v>#NAME?</v>
      </c>
      <c r="M189" t="e">
        <f ca="1">BDP("5444452Q Muni","GB_REPORTING")</f>
        <v>#NAME?</v>
      </c>
      <c r="N189" t="e">
        <f ca="1">BDP("5444452Q Muni","GB_ASSURANCE_PROVIDERS")</f>
        <v>#NAME?</v>
      </c>
      <c r="O189" t="e">
        <f ca="1">BDP("5444452Q Muni","GB_PROJECT_SELECTION_PROCESS")</f>
        <v>#NAME?</v>
      </c>
      <c r="P189" t="e">
        <f ca="1">BDP("5444452Q Muni","ESG_FRAMEWORK_INDICATOR")</f>
        <v>#NAME?</v>
      </c>
      <c r="Q189" t="e">
        <f ca="1">BDP("5444452Q Muni","BLOOMBERG_SECTOR_CODE")</f>
        <v>#NAME?</v>
      </c>
      <c r="R189" t="e">
        <f ca="1">BDP("5444452Q Muni","ISSUER_TYPE")</f>
        <v>#NAME?</v>
      </c>
      <c r="S189" t="e">
        <f ca="1">BDS("5444452Q Muni","ESG_PROJECT_CATEGORY", "aggregate=y")</f>
        <v>#NAME?</v>
      </c>
      <c r="T189" t="e">
        <f ca="1">BDS("5444452Q Muni","ESG_PROJECT_SUBCATEGORY", "aggregate=y")</f>
        <v>#NAME?</v>
      </c>
    </row>
    <row r="190" spans="1:20" x14ac:dyDescent="0.25">
      <c r="A190" t="e">
        <f ca="1">BDP("5444452T Muni","ID_CUSIP")</f>
        <v>#NAME?</v>
      </c>
      <c r="B190" t="e">
        <f ca="1">BDP("5444452T Muni","STATE_CODE")</f>
        <v>#NAME?</v>
      </c>
      <c r="C190" t="s">
        <v>34</v>
      </c>
      <c r="D190" t="e">
        <f ca="1">BDP("5444452T Muni","YIELD_ON_ISSUE_DATE")</f>
        <v>#NAME?</v>
      </c>
      <c r="E190">
        <v>25000000</v>
      </c>
      <c r="F190" t="e">
        <f ca="1">BDP("5444452T Muni","ISSUE_DT")</f>
        <v>#NAME?</v>
      </c>
      <c r="G190" t="e">
        <f ca="1">BDP("5444452T Muni","MATURITY")</f>
        <v>#NAME?</v>
      </c>
      <c r="H190" t="e">
        <f ca="1">BDP("5444452T Muni","MUNI_TAX_PROV")</f>
        <v>#NAME?</v>
      </c>
      <c r="I190" t="e">
        <f ca="1">BDP("5444452T Muni","FINANCING_TYPE")</f>
        <v>#NAME?</v>
      </c>
      <c r="J190" t="e">
        <f ca="1">BDP("5444452T Muni","BICS_LEVEL_2_INDUSTRY_GROUP_NAME")</f>
        <v>#NAME?</v>
      </c>
      <c r="K190" t="e">
        <f ca="1">BDP("5444452T Muni","SELF_REPRTD_GREEN_INSTR_INDCTR")</f>
        <v>#NAME?</v>
      </c>
      <c r="L190" t="e">
        <f ca="1">BDP("5444452T Muni","GB_MANAGEMENT_PROCEEDS")</f>
        <v>#NAME?</v>
      </c>
      <c r="M190" t="e">
        <f ca="1">BDP("5444452T Muni","GB_REPORTING")</f>
        <v>#NAME?</v>
      </c>
      <c r="N190" t="e">
        <f ca="1">BDP("5444452T Muni","GB_ASSURANCE_PROVIDERS")</f>
        <v>#NAME?</v>
      </c>
      <c r="O190" t="e">
        <f ca="1">BDP("5444452T Muni","GB_PROJECT_SELECTION_PROCESS")</f>
        <v>#NAME?</v>
      </c>
      <c r="P190" t="e">
        <f ca="1">BDP("5444452T Muni","ESG_FRAMEWORK_INDICATOR")</f>
        <v>#NAME?</v>
      </c>
      <c r="Q190" t="e">
        <f ca="1">BDP("5444452T Muni","BLOOMBERG_SECTOR_CODE")</f>
        <v>#NAME?</v>
      </c>
      <c r="R190" t="e">
        <f ca="1">BDP("5444452T Muni","ISSUER_TYPE")</f>
        <v>#NAME?</v>
      </c>
      <c r="S190" t="e">
        <f ca="1">BDS("5444452T Muni","ESG_PROJECT_CATEGORY", "aggregate=y")</f>
        <v>#NAME?</v>
      </c>
      <c r="T190" t="e">
        <f ca="1">BDS("5444452T Muni","ESG_PROJECT_SUBCATEGORY", "aggregate=y")</f>
        <v>#NAME?</v>
      </c>
    </row>
    <row r="191" spans="1:20" x14ac:dyDescent="0.25">
      <c r="A191" t="e">
        <f ca="1">BDP("5444452U Muni","ID_CUSIP")</f>
        <v>#NAME?</v>
      </c>
      <c r="B191" t="e">
        <f ca="1">BDP("5444452U Muni","STATE_CODE")</f>
        <v>#NAME?</v>
      </c>
      <c r="C191" t="s">
        <v>34</v>
      </c>
      <c r="D191" t="e">
        <f ca="1">BDP("5444452U Muni","YIELD_ON_ISSUE_DATE")</f>
        <v>#NAME?</v>
      </c>
      <c r="E191">
        <v>15200000</v>
      </c>
      <c r="F191" t="e">
        <f ca="1">BDP("5444452U Muni","ISSUE_DT")</f>
        <v>#NAME?</v>
      </c>
      <c r="G191" t="e">
        <f ca="1">BDP("5444452U Muni","MATURITY")</f>
        <v>#NAME?</v>
      </c>
      <c r="H191" t="e">
        <f ca="1">BDP("5444452U Muni","MUNI_TAX_PROV")</f>
        <v>#NAME?</v>
      </c>
      <c r="I191" t="e">
        <f ca="1">BDP("5444452U Muni","FINANCING_TYPE")</f>
        <v>#NAME?</v>
      </c>
      <c r="J191" t="e">
        <f ca="1">BDP("5444452U Muni","BICS_LEVEL_2_INDUSTRY_GROUP_NAME")</f>
        <v>#NAME?</v>
      </c>
      <c r="K191" t="e">
        <f ca="1">BDP("5444452U Muni","SELF_REPRTD_GREEN_INSTR_INDCTR")</f>
        <v>#NAME?</v>
      </c>
      <c r="L191" t="e">
        <f ca="1">BDP("5444452U Muni","GB_MANAGEMENT_PROCEEDS")</f>
        <v>#NAME?</v>
      </c>
      <c r="M191" t="e">
        <f ca="1">BDP("5444452U Muni","GB_REPORTING")</f>
        <v>#NAME?</v>
      </c>
      <c r="N191" t="e">
        <f ca="1">BDP("5444452U Muni","GB_ASSURANCE_PROVIDERS")</f>
        <v>#NAME?</v>
      </c>
      <c r="O191" t="e">
        <f ca="1">BDP("5444452U Muni","GB_PROJECT_SELECTION_PROCESS")</f>
        <v>#NAME?</v>
      </c>
      <c r="P191" t="e">
        <f ca="1">BDP("5444452U Muni","ESG_FRAMEWORK_INDICATOR")</f>
        <v>#NAME?</v>
      </c>
      <c r="Q191" t="e">
        <f ca="1">BDP("5444452U Muni","BLOOMBERG_SECTOR_CODE")</f>
        <v>#NAME?</v>
      </c>
      <c r="R191" t="e">
        <f ca="1">BDP("5444452U Muni","ISSUER_TYPE")</f>
        <v>#NAME?</v>
      </c>
      <c r="S191" t="e">
        <f ca="1">BDS("5444452U Muni","ESG_PROJECT_CATEGORY", "aggregate=y")</f>
        <v>#NAME?</v>
      </c>
      <c r="T191" t="e">
        <f ca="1">BDS("5444452U Muni","ESG_PROJECT_SUBCATEGORY", "aggregate=y")</f>
        <v>#NAME?</v>
      </c>
    </row>
    <row r="192" spans="1:20" x14ac:dyDescent="0.25">
      <c r="A192" t="e">
        <f ca="1">BDP("5444452W Muni","ID_CUSIP")</f>
        <v>#NAME?</v>
      </c>
      <c r="B192" t="e">
        <f ca="1">BDP("5444452W Muni","STATE_CODE")</f>
        <v>#NAME?</v>
      </c>
      <c r="C192" t="s">
        <v>34</v>
      </c>
      <c r="D192" t="e">
        <f ca="1">BDP("5444452W Muni","YIELD_ON_ISSUE_DATE")</f>
        <v>#NAME?</v>
      </c>
      <c r="E192">
        <v>62525000</v>
      </c>
      <c r="F192" t="e">
        <f ca="1">BDP("5444452W Muni","ISSUE_DT")</f>
        <v>#NAME?</v>
      </c>
      <c r="G192" t="e">
        <f ca="1">BDP("5444452W Muni","MATURITY")</f>
        <v>#NAME?</v>
      </c>
      <c r="H192" t="e">
        <f ca="1">BDP("5444452W Muni","MUNI_TAX_PROV")</f>
        <v>#NAME?</v>
      </c>
      <c r="I192" t="e">
        <f ca="1">BDP("5444452W Muni","FINANCING_TYPE")</f>
        <v>#NAME?</v>
      </c>
      <c r="J192" t="e">
        <f ca="1">BDP("5444452W Muni","BICS_LEVEL_2_INDUSTRY_GROUP_NAME")</f>
        <v>#NAME?</v>
      </c>
      <c r="K192" t="e">
        <f ca="1">BDP("5444452W Muni","SELF_REPRTD_GREEN_INSTR_INDCTR")</f>
        <v>#NAME?</v>
      </c>
      <c r="L192" t="e">
        <f ca="1">BDP("5444452W Muni","GB_MANAGEMENT_PROCEEDS")</f>
        <v>#NAME?</v>
      </c>
      <c r="M192" t="e">
        <f ca="1">BDP("5444452W Muni","GB_REPORTING")</f>
        <v>#NAME?</v>
      </c>
      <c r="N192" t="e">
        <f ca="1">BDP("5444452W Muni","GB_ASSURANCE_PROVIDERS")</f>
        <v>#NAME?</v>
      </c>
      <c r="O192" t="e">
        <f ca="1">BDP("5444452W Muni","GB_PROJECT_SELECTION_PROCESS")</f>
        <v>#NAME?</v>
      </c>
      <c r="P192" t="e">
        <f ca="1">BDP("5444452W Muni","ESG_FRAMEWORK_INDICATOR")</f>
        <v>#NAME?</v>
      </c>
      <c r="Q192" t="e">
        <f ca="1">BDP("5444452W Muni","BLOOMBERG_SECTOR_CODE")</f>
        <v>#NAME?</v>
      </c>
      <c r="R192" t="e">
        <f ca="1">BDP("5444452W Muni","ISSUER_TYPE")</f>
        <v>#NAME?</v>
      </c>
      <c r="S192" t="e">
        <f ca="1">BDS("5444452W Muni","ESG_PROJECT_CATEGORY", "aggregate=y")</f>
        <v>#NAME?</v>
      </c>
      <c r="T192" t="e">
        <f ca="1">BDS("5444452W Muni","ESG_PROJECT_SUBCATEGORY", "aggregate=y")</f>
        <v>#NAME?</v>
      </c>
    </row>
    <row r="193" spans="1:20" x14ac:dyDescent="0.25">
      <c r="A193" t="e">
        <f ca="1">BDP("5444452Y Muni","ID_CUSIP")</f>
        <v>#NAME?</v>
      </c>
      <c r="B193" t="e">
        <f ca="1">BDP("5444452Y Muni","STATE_CODE")</f>
        <v>#NAME?</v>
      </c>
      <c r="C193" t="s">
        <v>34</v>
      </c>
      <c r="D193" t="e">
        <f ca="1">BDP("5444452Y Muni","YIELD_ON_ISSUE_DATE")</f>
        <v>#NAME?</v>
      </c>
      <c r="E193">
        <v>42840000</v>
      </c>
      <c r="F193" t="e">
        <f ca="1">BDP("5444452Y Muni","ISSUE_DT")</f>
        <v>#NAME?</v>
      </c>
      <c r="G193" t="e">
        <f ca="1">BDP("5444452Y Muni","MATURITY")</f>
        <v>#NAME?</v>
      </c>
      <c r="H193" t="e">
        <f ca="1">BDP("5444452Y Muni","MUNI_TAX_PROV")</f>
        <v>#NAME?</v>
      </c>
      <c r="I193" t="e">
        <f ca="1">BDP("5444452Y Muni","FINANCING_TYPE")</f>
        <v>#NAME?</v>
      </c>
      <c r="J193" t="e">
        <f ca="1">BDP("5444452Y Muni","BICS_LEVEL_2_INDUSTRY_GROUP_NAME")</f>
        <v>#NAME?</v>
      </c>
      <c r="K193" t="e">
        <f ca="1">BDP("5444452Y Muni","SELF_REPRTD_GREEN_INSTR_INDCTR")</f>
        <v>#NAME?</v>
      </c>
      <c r="L193" t="e">
        <f ca="1">BDP("5444452Y Muni","GB_MANAGEMENT_PROCEEDS")</f>
        <v>#NAME?</v>
      </c>
      <c r="M193" t="e">
        <f ca="1">BDP("5444452Y Muni","GB_REPORTING")</f>
        <v>#NAME?</v>
      </c>
      <c r="N193" t="e">
        <f ca="1">BDP("5444452Y Muni","GB_ASSURANCE_PROVIDERS")</f>
        <v>#NAME?</v>
      </c>
      <c r="O193" t="e">
        <f ca="1">BDP("5444452Y Muni","GB_PROJECT_SELECTION_PROCESS")</f>
        <v>#NAME?</v>
      </c>
      <c r="P193" t="e">
        <f ca="1">BDP("5444452Y Muni","ESG_FRAMEWORK_INDICATOR")</f>
        <v>#NAME?</v>
      </c>
      <c r="Q193" t="e">
        <f ca="1">BDP("5444452Y Muni","BLOOMBERG_SECTOR_CODE")</f>
        <v>#NAME?</v>
      </c>
      <c r="R193" t="e">
        <f ca="1">BDP("5444452Y Muni","ISSUER_TYPE")</f>
        <v>#NAME?</v>
      </c>
      <c r="S193" t="e">
        <f ca="1">BDS("5444452Y Muni","ESG_PROJECT_CATEGORY", "aggregate=y")</f>
        <v>#NAME?</v>
      </c>
      <c r="T193" t="e">
        <f ca="1">BDS("5444452Y Muni","ESG_PROJECT_SUBCATEGORY", "aggregate=y")</f>
        <v>#NAME?</v>
      </c>
    </row>
    <row r="194" spans="1:20" x14ac:dyDescent="0.25">
      <c r="A194" t="e">
        <f ca="1">BDP("5444455X Muni","ID_CUSIP")</f>
        <v>#NAME?</v>
      </c>
      <c r="B194" t="e">
        <f ca="1">BDP("5444455X Muni","STATE_CODE")</f>
        <v>#NAME?</v>
      </c>
      <c r="C194" t="s">
        <v>34</v>
      </c>
      <c r="D194" t="e">
        <f ca="1">BDP("5444455X Muni","YIELD_ON_ISSUE_DATE")</f>
        <v>#NAME?</v>
      </c>
      <c r="E194">
        <v>31545000</v>
      </c>
      <c r="F194" t="e">
        <f ca="1">BDP("5444455X Muni","ISSUE_DT")</f>
        <v>#NAME?</v>
      </c>
      <c r="G194" t="e">
        <f ca="1">BDP("5444455X Muni","MATURITY")</f>
        <v>#NAME?</v>
      </c>
      <c r="H194" t="e">
        <f ca="1">BDP("5444455X Muni","MUNI_TAX_PROV")</f>
        <v>#NAME?</v>
      </c>
      <c r="I194" t="e">
        <f ca="1">BDP("5444455X Muni","FINANCING_TYPE")</f>
        <v>#NAME?</v>
      </c>
      <c r="J194" t="e">
        <f ca="1">BDP("5444455X Muni","BICS_LEVEL_2_INDUSTRY_GROUP_NAME")</f>
        <v>#NAME?</v>
      </c>
      <c r="K194" t="e">
        <f ca="1">BDP("5444455X Muni","SELF_REPRTD_GREEN_INSTR_INDCTR")</f>
        <v>#NAME?</v>
      </c>
      <c r="L194" t="e">
        <f ca="1">BDP("5444455X Muni","GB_MANAGEMENT_PROCEEDS")</f>
        <v>#NAME?</v>
      </c>
      <c r="M194" t="e">
        <f ca="1">BDP("5444455X Muni","GB_REPORTING")</f>
        <v>#NAME?</v>
      </c>
      <c r="N194" t="e">
        <f ca="1">BDP("5444455X Muni","GB_ASSURANCE_PROVIDERS")</f>
        <v>#NAME?</v>
      </c>
      <c r="O194" t="e">
        <f ca="1">BDP("5444455X Muni","GB_PROJECT_SELECTION_PROCESS")</f>
        <v>#NAME?</v>
      </c>
      <c r="P194" t="e">
        <f ca="1">BDP("5444455X Muni","ESG_FRAMEWORK_INDICATOR")</f>
        <v>#NAME?</v>
      </c>
      <c r="Q194" t="e">
        <f ca="1">BDP("5444455X Muni","BLOOMBERG_SECTOR_CODE")</f>
        <v>#NAME?</v>
      </c>
      <c r="R194" t="e">
        <f ca="1">BDP("5444455X Muni","ISSUER_TYPE")</f>
        <v>#NAME?</v>
      </c>
      <c r="S194" t="e">
        <f ca="1">BDS("5444455X Muni","ESG_PROJECT_CATEGORY", "aggregate=y")</f>
        <v>#NAME?</v>
      </c>
      <c r="T194" t="e">
        <f ca="1">BDS("5444455X Muni","ESG_PROJECT_SUBCATEGORY", "aggregate=y")</f>
        <v>#NAME?</v>
      </c>
    </row>
    <row r="195" spans="1:20" x14ac:dyDescent="0.25">
      <c r="A195" t="e">
        <f ca="1">BDP("786005M2 Muni","ID_CUSIP")</f>
        <v>#NAME?</v>
      </c>
      <c r="B195" t="e">
        <f ca="1">BDP("786005M2 Muni","STATE_CODE")</f>
        <v>#NAME?</v>
      </c>
      <c r="C195" t="s">
        <v>35</v>
      </c>
      <c r="D195" t="e">
        <f ca="1">BDP("786005M2 Muni","YIELD_ON_ISSUE_DATE")</f>
        <v>#NAME?</v>
      </c>
      <c r="E195">
        <v>14180000</v>
      </c>
      <c r="F195" t="e">
        <f ca="1">BDP("786005M2 Muni","ISSUE_DT")</f>
        <v>#NAME?</v>
      </c>
      <c r="G195" t="e">
        <f ca="1">BDP("786005M2 Muni","MATURITY")</f>
        <v>#NAME?</v>
      </c>
      <c r="H195" t="e">
        <f ca="1">BDP("786005M2 Muni","MUNI_TAX_PROV")</f>
        <v>#NAME?</v>
      </c>
      <c r="I195" t="e">
        <f ca="1">BDP("786005M2 Muni","FINANCING_TYPE")</f>
        <v>#NAME?</v>
      </c>
      <c r="J195" t="e">
        <f ca="1">BDP("786005M2 Muni","BICS_LEVEL_2_INDUSTRY_GROUP_NAME")</f>
        <v>#NAME?</v>
      </c>
      <c r="K195" t="e">
        <f ca="1">BDP("786005M2 Muni","SELF_REPRTD_GREEN_INSTR_INDCTR")</f>
        <v>#NAME?</v>
      </c>
      <c r="L195" t="e">
        <f ca="1">BDP("786005M2 Muni","GB_MANAGEMENT_PROCEEDS")</f>
        <v>#NAME?</v>
      </c>
      <c r="M195" t="e">
        <f ca="1">BDP("786005M2 Muni","GB_REPORTING")</f>
        <v>#NAME?</v>
      </c>
      <c r="N195" t="e">
        <f ca="1">BDP("786005M2 Muni","GB_ASSURANCE_PROVIDERS")</f>
        <v>#NAME?</v>
      </c>
      <c r="O195" t="e">
        <f ca="1">BDP("786005M2 Muni","GB_PROJECT_SELECTION_PROCESS")</f>
        <v>#NAME?</v>
      </c>
      <c r="P195" t="e">
        <f ca="1">BDP("786005M2 Muni","ESG_FRAMEWORK_INDICATOR")</f>
        <v>#NAME?</v>
      </c>
      <c r="Q195" t="e">
        <f ca="1">BDP("786005M2 Muni","BLOOMBERG_SECTOR_CODE")</f>
        <v>#NAME?</v>
      </c>
      <c r="R195" t="e">
        <f ca="1">BDP("786005M2 Muni","ISSUER_TYPE")</f>
        <v>#NAME?</v>
      </c>
      <c r="S195" t="e">
        <f ca="1">BDS("786005M2 Muni","ESG_PROJECT_CATEGORY", "aggregate=y")</f>
        <v>#NAME?</v>
      </c>
      <c r="T195" t="e">
        <f ca="1">BDS("786005M2 Muni","ESG_PROJECT_SUBCATEGORY", "aggregate=y")</f>
        <v>#NAME?</v>
      </c>
    </row>
    <row r="196" spans="1:20" x14ac:dyDescent="0.25">
      <c r="A196" t="e">
        <f ca="1">BDP("786005M3 Muni","ID_CUSIP")</f>
        <v>#NAME?</v>
      </c>
      <c r="B196" t="e">
        <f ca="1">BDP("786005M3 Muni","STATE_CODE")</f>
        <v>#NAME?</v>
      </c>
      <c r="C196" t="s">
        <v>35</v>
      </c>
      <c r="D196" t="e">
        <f ca="1">BDP("786005M3 Muni","YIELD_ON_ISSUE_DATE")</f>
        <v>#NAME?</v>
      </c>
      <c r="E196">
        <v>3695000</v>
      </c>
      <c r="F196" t="e">
        <f ca="1">BDP("786005M3 Muni","ISSUE_DT")</f>
        <v>#NAME?</v>
      </c>
      <c r="G196" t="e">
        <f ca="1">BDP("786005M3 Muni","MATURITY")</f>
        <v>#NAME?</v>
      </c>
      <c r="H196" t="e">
        <f ca="1">BDP("786005M3 Muni","MUNI_TAX_PROV")</f>
        <v>#NAME?</v>
      </c>
      <c r="I196" t="e">
        <f ca="1">BDP("786005M3 Muni","FINANCING_TYPE")</f>
        <v>#NAME?</v>
      </c>
      <c r="J196" t="e">
        <f ca="1">BDP("786005M3 Muni","BICS_LEVEL_2_INDUSTRY_GROUP_NAME")</f>
        <v>#NAME?</v>
      </c>
      <c r="K196" t="e">
        <f ca="1">BDP("786005M3 Muni","SELF_REPRTD_GREEN_INSTR_INDCTR")</f>
        <v>#NAME?</v>
      </c>
      <c r="L196" t="e">
        <f ca="1">BDP("786005M3 Muni","GB_MANAGEMENT_PROCEEDS")</f>
        <v>#NAME?</v>
      </c>
      <c r="M196" t="e">
        <f ca="1">BDP("786005M3 Muni","GB_REPORTING")</f>
        <v>#NAME?</v>
      </c>
      <c r="N196" t="e">
        <f ca="1">BDP("786005M3 Muni","GB_ASSURANCE_PROVIDERS")</f>
        <v>#NAME?</v>
      </c>
      <c r="O196" t="e">
        <f ca="1">BDP("786005M3 Muni","GB_PROJECT_SELECTION_PROCESS")</f>
        <v>#NAME?</v>
      </c>
      <c r="P196" t="e">
        <f ca="1">BDP("786005M3 Muni","ESG_FRAMEWORK_INDICATOR")</f>
        <v>#NAME?</v>
      </c>
      <c r="Q196" t="e">
        <f ca="1">BDP("786005M3 Muni","BLOOMBERG_SECTOR_CODE")</f>
        <v>#NAME?</v>
      </c>
      <c r="R196" t="e">
        <f ca="1">BDP("786005M3 Muni","ISSUER_TYPE")</f>
        <v>#NAME?</v>
      </c>
      <c r="S196" t="e">
        <f ca="1">BDS("786005M3 Muni","ESG_PROJECT_CATEGORY", "aggregate=y")</f>
        <v>#NAME?</v>
      </c>
      <c r="T196" t="e">
        <f ca="1">BDS("786005M3 Muni","ESG_PROJECT_SUBCATEGORY", "aggregate=y")</f>
        <v>#NAME?</v>
      </c>
    </row>
    <row r="197" spans="1:20" x14ac:dyDescent="0.25">
      <c r="A197" t="e">
        <f ca="1">BDP("786005M4 Muni","ID_CUSIP")</f>
        <v>#NAME?</v>
      </c>
      <c r="B197" t="e">
        <f ca="1">BDP("786005M4 Muni","STATE_CODE")</f>
        <v>#NAME?</v>
      </c>
      <c r="C197" t="s">
        <v>35</v>
      </c>
      <c r="D197" t="e">
        <f ca="1">BDP("786005M4 Muni","YIELD_ON_ISSUE_DATE")</f>
        <v>#NAME?</v>
      </c>
      <c r="E197">
        <v>4185000</v>
      </c>
      <c r="F197" t="e">
        <f ca="1">BDP("786005M4 Muni","ISSUE_DT")</f>
        <v>#NAME?</v>
      </c>
      <c r="G197" t="e">
        <f ca="1">BDP("786005M4 Muni","MATURITY")</f>
        <v>#NAME?</v>
      </c>
      <c r="H197" t="e">
        <f ca="1">BDP("786005M4 Muni","MUNI_TAX_PROV")</f>
        <v>#NAME?</v>
      </c>
      <c r="I197" t="e">
        <f ca="1">BDP("786005M4 Muni","FINANCING_TYPE")</f>
        <v>#NAME?</v>
      </c>
      <c r="J197" t="e">
        <f ca="1">BDP("786005M4 Muni","BICS_LEVEL_2_INDUSTRY_GROUP_NAME")</f>
        <v>#NAME?</v>
      </c>
      <c r="K197" t="e">
        <f ca="1">BDP("786005M4 Muni","SELF_REPRTD_GREEN_INSTR_INDCTR")</f>
        <v>#NAME?</v>
      </c>
      <c r="L197" t="e">
        <f ca="1">BDP("786005M4 Muni","GB_MANAGEMENT_PROCEEDS")</f>
        <v>#NAME?</v>
      </c>
      <c r="M197" t="e">
        <f ca="1">BDP("786005M4 Muni","GB_REPORTING")</f>
        <v>#NAME?</v>
      </c>
      <c r="N197" t="e">
        <f ca="1">BDP("786005M4 Muni","GB_ASSURANCE_PROVIDERS")</f>
        <v>#NAME?</v>
      </c>
      <c r="O197" t="e">
        <f ca="1">BDP("786005M4 Muni","GB_PROJECT_SELECTION_PROCESS")</f>
        <v>#NAME?</v>
      </c>
      <c r="P197" t="e">
        <f ca="1">BDP("786005M4 Muni","ESG_FRAMEWORK_INDICATOR")</f>
        <v>#NAME?</v>
      </c>
      <c r="Q197" t="e">
        <f ca="1">BDP("786005M4 Muni","BLOOMBERG_SECTOR_CODE")</f>
        <v>#NAME?</v>
      </c>
      <c r="R197" t="e">
        <f ca="1">BDP("786005M4 Muni","ISSUER_TYPE")</f>
        <v>#NAME?</v>
      </c>
      <c r="S197" t="e">
        <f ca="1">BDS("786005M4 Muni","ESG_PROJECT_CATEGORY", "aggregate=y")</f>
        <v>#NAME?</v>
      </c>
      <c r="T197" t="e">
        <f ca="1">BDS("786005M4 Muni","ESG_PROJECT_SUBCATEGORY", "aggregate=y")</f>
        <v>#NAME?</v>
      </c>
    </row>
    <row r="198" spans="1:20" x14ac:dyDescent="0.25">
      <c r="A198" t="e">
        <f ca="1">BDP("786005M5 Muni","ID_CUSIP")</f>
        <v>#NAME?</v>
      </c>
      <c r="B198" t="e">
        <f ca="1">BDP("786005M5 Muni","STATE_CODE")</f>
        <v>#NAME?</v>
      </c>
      <c r="C198" t="s">
        <v>35</v>
      </c>
      <c r="D198" t="e">
        <f ca="1">BDP("786005M5 Muni","YIELD_ON_ISSUE_DATE")</f>
        <v>#NAME?</v>
      </c>
      <c r="E198">
        <v>2855000</v>
      </c>
      <c r="F198" t="e">
        <f ca="1">BDP("786005M5 Muni","ISSUE_DT")</f>
        <v>#NAME?</v>
      </c>
      <c r="G198" t="e">
        <f ca="1">BDP("786005M5 Muni","MATURITY")</f>
        <v>#NAME?</v>
      </c>
      <c r="H198" t="e">
        <f ca="1">BDP("786005M5 Muni","MUNI_TAX_PROV")</f>
        <v>#NAME?</v>
      </c>
      <c r="I198" t="e">
        <f ca="1">BDP("786005M5 Muni","FINANCING_TYPE")</f>
        <v>#NAME?</v>
      </c>
      <c r="J198" t="e">
        <f ca="1">BDP("786005M5 Muni","BICS_LEVEL_2_INDUSTRY_GROUP_NAME")</f>
        <v>#NAME?</v>
      </c>
      <c r="K198" t="e">
        <f ca="1">BDP("786005M5 Muni","SELF_REPRTD_GREEN_INSTR_INDCTR")</f>
        <v>#NAME?</v>
      </c>
      <c r="L198" t="e">
        <f ca="1">BDP("786005M5 Muni","GB_MANAGEMENT_PROCEEDS")</f>
        <v>#NAME?</v>
      </c>
      <c r="M198" t="e">
        <f ca="1">BDP("786005M5 Muni","GB_REPORTING")</f>
        <v>#NAME?</v>
      </c>
      <c r="N198" t="e">
        <f ca="1">BDP("786005M5 Muni","GB_ASSURANCE_PROVIDERS")</f>
        <v>#NAME?</v>
      </c>
      <c r="O198" t="e">
        <f ca="1">BDP("786005M5 Muni","GB_PROJECT_SELECTION_PROCESS")</f>
        <v>#NAME?</v>
      </c>
      <c r="P198" t="e">
        <f ca="1">BDP("786005M5 Muni","ESG_FRAMEWORK_INDICATOR")</f>
        <v>#NAME?</v>
      </c>
      <c r="Q198" t="e">
        <f ca="1">BDP("786005M5 Muni","BLOOMBERG_SECTOR_CODE")</f>
        <v>#NAME?</v>
      </c>
      <c r="R198" t="e">
        <f ca="1">BDP("786005M5 Muni","ISSUER_TYPE")</f>
        <v>#NAME?</v>
      </c>
      <c r="S198" t="e">
        <f ca="1">BDS("786005M5 Muni","ESG_PROJECT_CATEGORY", "aggregate=y")</f>
        <v>#NAME?</v>
      </c>
      <c r="T198" t="e">
        <f ca="1">BDS("786005M5 Muni","ESG_PROJECT_SUBCATEGORY", "aggregate=y")</f>
        <v>#NAME?</v>
      </c>
    </row>
    <row r="199" spans="1:20" x14ac:dyDescent="0.25">
      <c r="A199" t="e">
        <f ca="1">BDP("786005M6 Muni","ID_CUSIP")</f>
        <v>#NAME?</v>
      </c>
      <c r="B199" t="e">
        <f ca="1">BDP("786005M6 Muni","STATE_CODE")</f>
        <v>#NAME?</v>
      </c>
      <c r="C199" t="s">
        <v>35</v>
      </c>
      <c r="D199" t="e">
        <f ca="1">BDP("786005M6 Muni","YIELD_ON_ISSUE_DATE")</f>
        <v>#NAME?</v>
      </c>
      <c r="E199">
        <v>1885000</v>
      </c>
      <c r="F199" t="e">
        <f ca="1">BDP("786005M6 Muni","ISSUE_DT")</f>
        <v>#NAME?</v>
      </c>
      <c r="G199" t="e">
        <f ca="1">BDP("786005M6 Muni","MATURITY")</f>
        <v>#NAME?</v>
      </c>
      <c r="H199" t="e">
        <f ca="1">BDP("786005M6 Muni","MUNI_TAX_PROV")</f>
        <v>#NAME?</v>
      </c>
      <c r="I199" t="e">
        <f ca="1">BDP("786005M6 Muni","FINANCING_TYPE")</f>
        <v>#NAME?</v>
      </c>
      <c r="J199" t="e">
        <f ca="1">BDP("786005M6 Muni","BICS_LEVEL_2_INDUSTRY_GROUP_NAME")</f>
        <v>#NAME?</v>
      </c>
      <c r="K199" t="e">
        <f ca="1">BDP("786005M6 Muni","SELF_REPRTD_GREEN_INSTR_INDCTR")</f>
        <v>#NAME?</v>
      </c>
      <c r="L199" t="e">
        <f ca="1">BDP("786005M6 Muni","GB_MANAGEMENT_PROCEEDS")</f>
        <v>#NAME?</v>
      </c>
      <c r="M199" t="e">
        <f ca="1">BDP("786005M6 Muni","GB_REPORTING")</f>
        <v>#NAME?</v>
      </c>
      <c r="N199" t="e">
        <f ca="1">BDP("786005M6 Muni","GB_ASSURANCE_PROVIDERS")</f>
        <v>#NAME?</v>
      </c>
      <c r="O199" t="e">
        <f ca="1">BDP("786005M6 Muni","GB_PROJECT_SELECTION_PROCESS")</f>
        <v>#NAME?</v>
      </c>
      <c r="P199" t="e">
        <f ca="1">BDP("786005M6 Muni","ESG_FRAMEWORK_INDICATOR")</f>
        <v>#NAME?</v>
      </c>
      <c r="Q199" t="e">
        <f ca="1">BDP("786005M6 Muni","BLOOMBERG_SECTOR_CODE")</f>
        <v>#NAME?</v>
      </c>
      <c r="R199" t="e">
        <f ca="1">BDP("786005M6 Muni","ISSUER_TYPE")</f>
        <v>#NAME?</v>
      </c>
      <c r="S199" t="e">
        <f ca="1">BDS("786005M6 Muni","ESG_PROJECT_CATEGORY", "aggregate=y")</f>
        <v>#NAME?</v>
      </c>
      <c r="T199" t="e">
        <f ca="1">BDS("786005M6 Muni","ESG_PROJECT_SUBCATEGORY", "aggregate=y")</f>
        <v>#NAME?</v>
      </c>
    </row>
    <row r="200" spans="1:20" x14ac:dyDescent="0.25">
      <c r="A200" t="e">
        <f ca="1">BDP("786005M8 Muni","ID_CUSIP")</f>
        <v>#NAME?</v>
      </c>
      <c r="B200" t="e">
        <f ca="1">BDP("786005M8 Muni","STATE_CODE")</f>
        <v>#NAME?</v>
      </c>
      <c r="C200" t="s">
        <v>35</v>
      </c>
      <c r="D200" t="e">
        <f ca="1">BDP("786005M8 Muni","YIELD_ON_ISSUE_DATE")</f>
        <v>#NAME?</v>
      </c>
      <c r="E200">
        <v>4740000</v>
      </c>
      <c r="F200" t="e">
        <f ca="1">BDP("786005M8 Muni","ISSUE_DT")</f>
        <v>#NAME?</v>
      </c>
      <c r="G200" t="e">
        <f ca="1">BDP("786005M8 Muni","MATURITY")</f>
        <v>#NAME?</v>
      </c>
      <c r="H200" t="e">
        <f ca="1">BDP("786005M8 Muni","MUNI_TAX_PROV")</f>
        <v>#NAME?</v>
      </c>
      <c r="I200" t="e">
        <f ca="1">BDP("786005M8 Muni","FINANCING_TYPE")</f>
        <v>#NAME?</v>
      </c>
      <c r="J200" t="e">
        <f ca="1">BDP("786005M8 Muni","BICS_LEVEL_2_INDUSTRY_GROUP_NAME")</f>
        <v>#NAME?</v>
      </c>
      <c r="K200" t="e">
        <f ca="1">BDP("786005M8 Muni","SELF_REPRTD_GREEN_INSTR_INDCTR")</f>
        <v>#NAME?</v>
      </c>
      <c r="L200" t="e">
        <f ca="1">BDP("786005M8 Muni","GB_MANAGEMENT_PROCEEDS")</f>
        <v>#NAME?</v>
      </c>
      <c r="M200" t="e">
        <f ca="1">BDP("786005M8 Muni","GB_REPORTING")</f>
        <v>#NAME?</v>
      </c>
      <c r="N200" t="e">
        <f ca="1">BDP("786005M8 Muni","GB_ASSURANCE_PROVIDERS")</f>
        <v>#NAME?</v>
      </c>
      <c r="O200" t="e">
        <f ca="1">BDP("786005M8 Muni","GB_PROJECT_SELECTION_PROCESS")</f>
        <v>#NAME?</v>
      </c>
      <c r="P200" t="e">
        <f ca="1">BDP("786005M8 Muni","ESG_FRAMEWORK_INDICATOR")</f>
        <v>#NAME?</v>
      </c>
      <c r="Q200" t="e">
        <f ca="1">BDP("786005M8 Muni","BLOOMBERG_SECTOR_CODE")</f>
        <v>#NAME?</v>
      </c>
      <c r="R200" t="e">
        <f ca="1">BDP("786005M8 Muni","ISSUER_TYPE")</f>
        <v>#NAME?</v>
      </c>
      <c r="S200" t="e">
        <f ca="1">BDS("786005M8 Muni","ESG_PROJECT_CATEGORY", "aggregate=y")</f>
        <v>#NAME?</v>
      </c>
      <c r="T200" t="e">
        <f ca="1">BDS("786005M8 Muni","ESG_PROJECT_SUBCATEGORY", "aggregate=y")</f>
        <v>#NAME?</v>
      </c>
    </row>
    <row r="201" spans="1:20" x14ac:dyDescent="0.25">
      <c r="A201" t="e">
        <f ca="1">BDP("786005M9 Muni","ID_CUSIP")</f>
        <v>#NAME?</v>
      </c>
      <c r="B201" t="e">
        <f ca="1">BDP("786005M9 Muni","STATE_CODE")</f>
        <v>#NAME?</v>
      </c>
      <c r="C201" t="s">
        <v>35</v>
      </c>
      <c r="D201" t="e">
        <f ca="1">BDP("786005M9 Muni","YIELD_ON_ISSUE_DATE")</f>
        <v>#NAME?</v>
      </c>
      <c r="E201">
        <v>3250000</v>
      </c>
      <c r="F201" t="e">
        <f ca="1">BDP("786005M9 Muni","ISSUE_DT")</f>
        <v>#NAME?</v>
      </c>
      <c r="G201" t="e">
        <f ca="1">BDP("786005M9 Muni","MATURITY")</f>
        <v>#NAME?</v>
      </c>
      <c r="H201" t="e">
        <f ca="1">BDP("786005M9 Muni","MUNI_TAX_PROV")</f>
        <v>#NAME?</v>
      </c>
      <c r="I201" t="e">
        <f ca="1">BDP("786005M9 Muni","FINANCING_TYPE")</f>
        <v>#NAME?</v>
      </c>
      <c r="J201" t="e">
        <f ca="1">BDP("786005M9 Muni","BICS_LEVEL_2_INDUSTRY_GROUP_NAME")</f>
        <v>#NAME?</v>
      </c>
      <c r="K201" t="e">
        <f ca="1">BDP("786005M9 Muni","SELF_REPRTD_GREEN_INSTR_INDCTR")</f>
        <v>#NAME?</v>
      </c>
      <c r="L201" t="e">
        <f ca="1">BDP("786005M9 Muni","GB_MANAGEMENT_PROCEEDS")</f>
        <v>#NAME?</v>
      </c>
      <c r="M201" t="e">
        <f ca="1">BDP("786005M9 Muni","GB_REPORTING")</f>
        <v>#NAME?</v>
      </c>
      <c r="N201" t="e">
        <f ca="1">BDP("786005M9 Muni","GB_ASSURANCE_PROVIDERS")</f>
        <v>#NAME?</v>
      </c>
      <c r="O201" t="e">
        <f ca="1">BDP("786005M9 Muni","GB_PROJECT_SELECTION_PROCESS")</f>
        <v>#NAME?</v>
      </c>
      <c r="P201" t="e">
        <f ca="1">BDP("786005M9 Muni","ESG_FRAMEWORK_INDICATOR")</f>
        <v>#NAME?</v>
      </c>
      <c r="Q201" t="e">
        <f ca="1">BDP("786005M9 Muni","BLOOMBERG_SECTOR_CODE")</f>
        <v>#NAME?</v>
      </c>
      <c r="R201" t="e">
        <f ca="1">BDP("786005M9 Muni","ISSUER_TYPE")</f>
        <v>#NAME?</v>
      </c>
      <c r="S201" t="e">
        <f ca="1">BDS("786005M9 Muni","ESG_PROJECT_CATEGORY", "aggregate=y")</f>
        <v>#NAME?</v>
      </c>
      <c r="T201" t="e">
        <f ca="1">BDS("786005M9 Muni","ESG_PROJECT_SUBCATEGORY", "aggregate=y")</f>
        <v>#NAME?</v>
      </c>
    </row>
    <row r="202" spans="1:20" x14ac:dyDescent="0.25">
      <c r="A202" t="e">
        <f ca="1">BDP("786005N2 Muni","ID_CUSIP")</f>
        <v>#NAME?</v>
      </c>
      <c r="B202" t="e">
        <f ca="1">BDP("786005N2 Muni","STATE_CODE")</f>
        <v>#NAME?</v>
      </c>
      <c r="C202" t="s">
        <v>35</v>
      </c>
      <c r="D202" t="e">
        <f ca="1">BDP("786005N2 Muni","YIELD_ON_ISSUE_DATE")</f>
        <v>#NAME?</v>
      </c>
      <c r="E202">
        <v>12270000</v>
      </c>
      <c r="F202" t="e">
        <f ca="1">BDP("786005N2 Muni","ISSUE_DT")</f>
        <v>#NAME?</v>
      </c>
      <c r="G202" t="e">
        <f ca="1">BDP("786005N2 Muni","MATURITY")</f>
        <v>#NAME?</v>
      </c>
      <c r="H202" t="e">
        <f ca="1">BDP("786005N2 Muni","MUNI_TAX_PROV")</f>
        <v>#NAME?</v>
      </c>
      <c r="I202" t="e">
        <f ca="1">BDP("786005N2 Muni","FINANCING_TYPE")</f>
        <v>#NAME?</v>
      </c>
      <c r="J202" t="e">
        <f ca="1">BDP("786005N2 Muni","BICS_LEVEL_2_INDUSTRY_GROUP_NAME")</f>
        <v>#NAME?</v>
      </c>
      <c r="K202" t="e">
        <f ca="1">BDP("786005N2 Muni","SELF_REPRTD_GREEN_INSTR_INDCTR")</f>
        <v>#NAME?</v>
      </c>
      <c r="L202" t="e">
        <f ca="1">BDP("786005N2 Muni","GB_MANAGEMENT_PROCEEDS")</f>
        <v>#NAME?</v>
      </c>
      <c r="M202" t="e">
        <f ca="1">BDP("786005N2 Muni","GB_REPORTING")</f>
        <v>#NAME?</v>
      </c>
      <c r="N202" t="e">
        <f ca="1">BDP("786005N2 Muni","GB_ASSURANCE_PROVIDERS")</f>
        <v>#NAME?</v>
      </c>
      <c r="O202" t="e">
        <f ca="1">BDP("786005N2 Muni","GB_PROJECT_SELECTION_PROCESS")</f>
        <v>#NAME?</v>
      </c>
      <c r="P202" t="e">
        <f ca="1">BDP("786005N2 Muni","ESG_FRAMEWORK_INDICATOR")</f>
        <v>#NAME?</v>
      </c>
      <c r="Q202" t="e">
        <f ca="1">BDP("786005N2 Muni","BLOOMBERG_SECTOR_CODE")</f>
        <v>#NAME?</v>
      </c>
      <c r="R202" t="e">
        <f ca="1">BDP("786005N2 Muni","ISSUER_TYPE")</f>
        <v>#NAME?</v>
      </c>
      <c r="S202" t="e">
        <f ca="1">BDS("786005N2 Muni","ESG_PROJECT_CATEGORY", "aggregate=y")</f>
        <v>#NAME?</v>
      </c>
      <c r="T202" t="e">
        <f ca="1">BDS("786005N2 Muni","ESG_PROJECT_SUBCATEGORY", "aggregate=y")</f>
        <v>#NAME?</v>
      </c>
    </row>
    <row r="203" spans="1:20" x14ac:dyDescent="0.25">
      <c r="A203" t="e">
        <f ca="1">BDP("786005N5 Muni","ID_CUSIP")</f>
        <v>#NAME?</v>
      </c>
      <c r="B203" t="e">
        <f ca="1">BDP("786005N5 Muni","STATE_CODE")</f>
        <v>#NAME?</v>
      </c>
      <c r="C203" t="s">
        <v>35</v>
      </c>
      <c r="D203" t="e">
        <f ca="1">BDP("786005N5 Muni","YIELD_ON_ISSUE_DATE")</f>
        <v>#NAME?</v>
      </c>
      <c r="E203">
        <v>17325000</v>
      </c>
      <c r="F203" t="e">
        <f ca="1">BDP("786005N5 Muni","ISSUE_DT")</f>
        <v>#NAME?</v>
      </c>
      <c r="G203" t="e">
        <f ca="1">BDP("786005N5 Muni","MATURITY")</f>
        <v>#NAME?</v>
      </c>
      <c r="H203" t="e">
        <f ca="1">BDP("786005N5 Muni","MUNI_TAX_PROV")</f>
        <v>#NAME?</v>
      </c>
      <c r="I203" t="e">
        <f ca="1">BDP("786005N5 Muni","FINANCING_TYPE")</f>
        <v>#NAME?</v>
      </c>
      <c r="J203" t="e">
        <f ca="1">BDP("786005N5 Muni","BICS_LEVEL_2_INDUSTRY_GROUP_NAME")</f>
        <v>#NAME?</v>
      </c>
      <c r="K203" t="e">
        <f ca="1">BDP("786005N5 Muni","SELF_REPRTD_GREEN_INSTR_INDCTR")</f>
        <v>#NAME?</v>
      </c>
      <c r="L203" t="e">
        <f ca="1">BDP("786005N5 Muni","GB_MANAGEMENT_PROCEEDS")</f>
        <v>#NAME?</v>
      </c>
      <c r="M203" t="e">
        <f ca="1">BDP("786005N5 Muni","GB_REPORTING")</f>
        <v>#NAME?</v>
      </c>
      <c r="N203" t="e">
        <f ca="1">BDP("786005N5 Muni","GB_ASSURANCE_PROVIDERS")</f>
        <v>#NAME?</v>
      </c>
      <c r="O203" t="e">
        <f ca="1">BDP("786005N5 Muni","GB_PROJECT_SELECTION_PROCESS")</f>
        <v>#NAME?</v>
      </c>
      <c r="P203" t="e">
        <f ca="1">BDP("786005N5 Muni","ESG_FRAMEWORK_INDICATOR")</f>
        <v>#NAME?</v>
      </c>
      <c r="Q203" t="e">
        <f ca="1">BDP("786005N5 Muni","BLOOMBERG_SECTOR_CODE")</f>
        <v>#NAME?</v>
      </c>
      <c r="R203" t="e">
        <f ca="1">BDP("786005N5 Muni","ISSUER_TYPE")</f>
        <v>#NAME?</v>
      </c>
      <c r="S203" t="e">
        <f ca="1">BDS("786005N5 Muni","ESG_PROJECT_CATEGORY", "aggregate=y")</f>
        <v>#NAME?</v>
      </c>
      <c r="T203" t="e">
        <f ca="1">BDS("786005N5 Muni","ESG_PROJECT_SUBCATEGORY", "aggregate=y")</f>
        <v>#NAME?</v>
      </c>
    </row>
    <row r="204" spans="1:20" x14ac:dyDescent="0.25">
      <c r="A204" t="e">
        <f ca="1">BDP("797661D3 Muni","ID_CUSIP")</f>
        <v>#NAME?</v>
      </c>
      <c r="B204" t="e">
        <f ca="1">BDP("797661D3 Muni","STATE_CODE")</f>
        <v>#NAME?</v>
      </c>
      <c r="C204" t="s">
        <v>36</v>
      </c>
      <c r="D204" t="e">
        <f ca="1">BDP("797661D3 Muni","YIELD_ON_ISSUE_DATE")</f>
        <v>#NAME?</v>
      </c>
      <c r="E204">
        <v>17405000</v>
      </c>
      <c r="F204" t="e">
        <f ca="1">BDP("797661D3 Muni","ISSUE_DT")</f>
        <v>#NAME?</v>
      </c>
      <c r="G204" t="e">
        <f ca="1">BDP("797661D3 Muni","MATURITY")</f>
        <v>#NAME?</v>
      </c>
      <c r="H204" t="e">
        <f ca="1">BDP("797661D3 Muni","MUNI_TAX_PROV")</f>
        <v>#NAME?</v>
      </c>
      <c r="I204" t="e">
        <f ca="1">BDP("797661D3 Muni","FINANCING_TYPE")</f>
        <v>#NAME?</v>
      </c>
      <c r="J204" t="e">
        <f ca="1">BDP("797661D3 Muni","BICS_LEVEL_2_INDUSTRY_GROUP_NAME")</f>
        <v>#NAME?</v>
      </c>
      <c r="K204" t="e">
        <f ca="1">BDP("797661D3 Muni","SELF_REPRTD_GREEN_INSTR_INDCTR")</f>
        <v>#NAME?</v>
      </c>
      <c r="L204" t="e">
        <f ca="1">BDP("797661D3 Muni","GB_MANAGEMENT_PROCEEDS")</f>
        <v>#NAME?</v>
      </c>
      <c r="M204" t="e">
        <f ca="1">BDP("797661D3 Muni","GB_REPORTING")</f>
        <v>#NAME?</v>
      </c>
      <c r="N204" t="e">
        <f ca="1">BDP("797661D3 Muni","GB_ASSURANCE_PROVIDERS")</f>
        <v>#NAME?</v>
      </c>
      <c r="O204" t="e">
        <f ca="1">BDP("797661D3 Muni","GB_PROJECT_SELECTION_PROCESS")</f>
        <v>#NAME?</v>
      </c>
      <c r="P204" t="e">
        <f ca="1">BDP("797661D3 Muni","ESG_FRAMEWORK_INDICATOR")</f>
        <v>#NAME?</v>
      </c>
      <c r="Q204" t="e">
        <f ca="1">BDP("797661D3 Muni","BLOOMBERG_SECTOR_CODE")</f>
        <v>#NAME?</v>
      </c>
      <c r="R204" t="e">
        <f ca="1">BDP("797661D3 Muni","ISSUER_TYPE")</f>
        <v>#NAME?</v>
      </c>
      <c r="S204" t="e">
        <f ca="1">BDS("797661D3 Muni","ESG_PROJECT_CATEGORY", "aggregate=y")</f>
        <v>#NAME?</v>
      </c>
      <c r="T204" t="e">
        <f ca="1">BDS("797661D3 Muni","ESG_PROJECT_SUBCATEGORY", "aggregate=y")</f>
        <v>#NAME?</v>
      </c>
    </row>
    <row r="205" spans="1:20" x14ac:dyDescent="0.25">
      <c r="A205" t="e">
        <f ca="1">BDP("797661E4 Muni","ID_CUSIP")</f>
        <v>#NAME?</v>
      </c>
      <c r="B205" t="e">
        <f ca="1">BDP("797661E4 Muni","STATE_CODE")</f>
        <v>#NAME?</v>
      </c>
      <c r="C205" t="s">
        <v>36</v>
      </c>
      <c r="D205" t="e">
        <f ca="1">BDP("797661E4 Muni","YIELD_ON_ISSUE_DATE")</f>
        <v>#NAME?</v>
      </c>
      <c r="E205">
        <v>30030000</v>
      </c>
      <c r="F205" t="e">
        <f ca="1">BDP("797661E4 Muni","ISSUE_DT")</f>
        <v>#NAME?</v>
      </c>
      <c r="G205" t="e">
        <f ca="1">BDP("797661E4 Muni","MATURITY")</f>
        <v>#NAME?</v>
      </c>
      <c r="H205" t="e">
        <f ca="1">BDP("797661E4 Muni","MUNI_TAX_PROV")</f>
        <v>#NAME?</v>
      </c>
      <c r="I205" t="e">
        <f ca="1">BDP("797661E4 Muni","FINANCING_TYPE")</f>
        <v>#NAME?</v>
      </c>
      <c r="J205" t="e">
        <f ca="1">BDP("797661E4 Muni","BICS_LEVEL_2_INDUSTRY_GROUP_NAME")</f>
        <v>#NAME?</v>
      </c>
      <c r="K205" t="e">
        <f ca="1">BDP("797661E4 Muni","SELF_REPRTD_GREEN_INSTR_INDCTR")</f>
        <v>#NAME?</v>
      </c>
      <c r="L205" t="e">
        <f ca="1">BDP("797661E4 Muni","GB_MANAGEMENT_PROCEEDS")</f>
        <v>#NAME?</v>
      </c>
      <c r="M205" t="e">
        <f ca="1">BDP("797661E4 Muni","GB_REPORTING")</f>
        <v>#NAME?</v>
      </c>
      <c r="N205" t="e">
        <f ca="1">BDP("797661E4 Muni","GB_ASSURANCE_PROVIDERS")</f>
        <v>#NAME?</v>
      </c>
      <c r="O205" t="e">
        <f ca="1">BDP("797661E4 Muni","GB_PROJECT_SELECTION_PROCESS")</f>
        <v>#NAME?</v>
      </c>
      <c r="P205" t="e">
        <f ca="1">BDP("797661E4 Muni","ESG_FRAMEWORK_INDICATOR")</f>
        <v>#NAME?</v>
      </c>
      <c r="Q205" t="e">
        <f ca="1">BDP("797661E4 Muni","BLOOMBERG_SECTOR_CODE")</f>
        <v>#NAME?</v>
      </c>
      <c r="R205" t="e">
        <f ca="1">BDP("797661E4 Muni","ISSUER_TYPE")</f>
        <v>#NAME?</v>
      </c>
      <c r="S205" t="e">
        <f ca="1">BDS("797661E4 Muni","ESG_PROJECT_CATEGORY", "aggregate=y")</f>
        <v>#NAME?</v>
      </c>
      <c r="T205" t="e">
        <f ca="1">BDS("797661E4 Muni","ESG_PROJECT_SUBCATEGORY", "aggregate=y")</f>
        <v>#NAME?</v>
      </c>
    </row>
    <row r="206" spans="1:20" x14ac:dyDescent="0.25">
      <c r="A206" t="e">
        <f ca="1">BDP("797661F6 Muni","ID_CUSIP")</f>
        <v>#NAME?</v>
      </c>
      <c r="B206" t="e">
        <f ca="1">BDP("797661F6 Muni","STATE_CODE")</f>
        <v>#NAME?</v>
      </c>
      <c r="C206" t="s">
        <v>36</v>
      </c>
      <c r="D206" t="e">
        <f ca="1">BDP("797661F6 Muni","YIELD_ON_ISSUE_DATE")</f>
        <v>#NAME?</v>
      </c>
      <c r="E206">
        <v>48915000</v>
      </c>
      <c r="F206" t="e">
        <f ca="1">BDP("797661F6 Muni","ISSUE_DT")</f>
        <v>#NAME?</v>
      </c>
      <c r="G206" t="e">
        <f ca="1">BDP("797661F6 Muni","MATURITY")</f>
        <v>#NAME?</v>
      </c>
      <c r="H206" t="e">
        <f ca="1">BDP("797661F6 Muni","MUNI_TAX_PROV")</f>
        <v>#NAME?</v>
      </c>
      <c r="I206" t="e">
        <f ca="1">BDP("797661F6 Muni","FINANCING_TYPE")</f>
        <v>#NAME?</v>
      </c>
      <c r="J206" t="e">
        <f ca="1">BDP("797661F6 Muni","BICS_LEVEL_2_INDUSTRY_GROUP_NAME")</f>
        <v>#NAME?</v>
      </c>
      <c r="K206" t="e">
        <f ca="1">BDP("797661F6 Muni","SELF_REPRTD_GREEN_INSTR_INDCTR")</f>
        <v>#NAME?</v>
      </c>
      <c r="L206" t="e">
        <f ca="1">BDP("797661F6 Muni","GB_MANAGEMENT_PROCEEDS")</f>
        <v>#NAME?</v>
      </c>
      <c r="M206" t="e">
        <f ca="1">BDP("797661F6 Muni","GB_REPORTING")</f>
        <v>#NAME?</v>
      </c>
      <c r="N206" t="e">
        <f ca="1">BDP("797661F6 Muni","GB_ASSURANCE_PROVIDERS")</f>
        <v>#NAME?</v>
      </c>
      <c r="O206" t="e">
        <f ca="1">BDP("797661F6 Muni","GB_PROJECT_SELECTION_PROCESS")</f>
        <v>#NAME?</v>
      </c>
      <c r="P206" t="e">
        <f ca="1">BDP("797661F6 Muni","ESG_FRAMEWORK_INDICATOR")</f>
        <v>#NAME?</v>
      </c>
      <c r="Q206" t="e">
        <f ca="1">BDP("797661F6 Muni","BLOOMBERG_SECTOR_CODE")</f>
        <v>#NAME?</v>
      </c>
      <c r="R206" t="e">
        <f ca="1">BDP("797661F6 Muni","ISSUER_TYPE")</f>
        <v>#NAME?</v>
      </c>
      <c r="S206" t="e">
        <f ca="1">BDS("797661F6 Muni","ESG_PROJECT_CATEGORY", "aggregate=y")</f>
        <v>#NAME?</v>
      </c>
      <c r="T206" t="e">
        <f ca="1">BDS("797661F6 Muni","ESG_PROJECT_SUBCATEGORY", "aggregate=y")</f>
        <v>#NAME?</v>
      </c>
    </row>
    <row r="207" spans="1:20" x14ac:dyDescent="0.25">
      <c r="A207" t="e">
        <f ca="1">BDP("797661F7 Muni","ID_CUSIP")</f>
        <v>#NAME?</v>
      </c>
      <c r="B207" t="e">
        <f ca="1">BDP("797661F7 Muni","STATE_CODE")</f>
        <v>#NAME?</v>
      </c>
      <c r="C207" t="s">
        <v>36</v>
      </c>
      <c r="D207" t="e">
        <f ca="1">BDP("797661F7 Muni","YIELD_ON_ISSUE_DATE")</f>
        <v>#NAME?</v>
      </c>
      <c r="E207">
        <v>61870000</v>
      </c>
      <c r="F207" t="e">
        <f ca="1">BDP("797661F7 Muni","ISSUE_DT")</f>
        <v>#NAME?</v>
      </c>
      <c r="G207" t="e">
        <f ca="1">BDP("797661F7 Muni","MATURITY")</f>
        <v>#NAME?</v>
      </c>
      <c r="H207" t="e">
        <f ca="1">BDP("797661F7 Muni","MUNI_TAX_PROV")</f>
        <v>#NAME?</v>
      </c>
      <c r="I207" t="e">
        <f ca="1">BDP("797661F7 Muni","FINANCING_TYPE")</f>
        <v>#NAME?</v>
      </c>
      <c r="J207" t="e">
        <f ca="1">BDP("797661F7 Muni","BICS_LEVEL_2_INDUSTRY_GROUP_NAME")</f>
        <v>#NAME?</v>
      </c>
      <c r="K207" t="e">
        <f ca="1">BDP("797661F7 Muni","SELF_REPRTD_GREEN_INSTR_INDCTR")</f>
        <v>#NAME?</v>
      </c>
      <c r="L207" t="e">
        <f ca="1">BDP("797661F7 Muni","GB_MANAGEMENT_PROCEEDS")</f>
        <v>#NAME?</v>
      </c>
      <c r="M207" t="e">
        <f ca="1">BDP("797661F7 Muni","GB_REPORTING")</f>
        <v>#NAME?</v>
      </c>
      <c r="N207" t="e">
        <f ca="1">BDP("797661F7 Muni","GB_ASSURANCE_PROVIDERS")</f>
        <v>#NAME?</v>
      </c>
      <c r="O207" t="e">
        <f ca="1">BDP("797661F7 Muni","GB_PROJECT_SELECTION_PROCESS")</f>
        <v>#NAME?</v>
      </c>
      <c r="P207" t="e">
        <f ca="1">BDP("797661F7 Muni","ESG_FRAMEWORK_INDICATOR")</f>
        <v>#NAME?</v>
      </c>
      <c r="Q207" t="e">
        <f ca="1">BDP("797661F7 Muni","BLOOMBERG_SECTOR_CODE")</f>
        <v>#NAME?</v>
      </c>
      <c r="R207" t="e">
        <f ca="1">BDP("797661F7 Muni","ISSUER_TYPE")</f>
        <v>#NAME?</v>
      </c>
      <c r="S207" t="e">
        <f ca="1">BDS("797661F7 Muni","ESG_PROJECT_CATEGORY", "aggregate=y")</f>
        <v>#NAME?</v>
      </c>
      <c r="T207" t="e">
        <f ca="1">BDS("797661F7 Muni","ESG_PROJECT_SUBCATEGORY", "aggregate=y")</f>
        <v>#NAME?</v>
      </c>
    </row>
    <row r="208" spans="1:20" x14ac:dyDescent="0.25">
      <c r="A208" t="e">
        <f ca="1">BDP("797661G6 Muni","ID_CUSIP")</f>
        <v>#NAME?</v>
      </c>
      <c r="B208" t="e">
        <f ca="1">BDP("797661G6 Muni","STATE_CODE")</f>
        <v>#NAME?</v>
      </c>
      <c r="C208" t="s">
        <v>36</v>
      </c>
      <c r="D208" t="e">
        <f ca="1">BDP("797661G6 Muni","YIELD_ON_ISSUE_DATE")</f>
        <v>#NAME?</v>
      </c>
      <c r="E208">
        <v>21470000</v>
      </c>
      <c r="F208" t="e">
        <f ca="1">BDP("797661G6 Muni","ISSUE_DT")</f>
        <v>#NAME?</v>
      </c>
      <c r="G208" t="e">
        <f ca="1">BDP("797661G6 Muni","MATURITY")</f>
        <v>#NAME?</v>
      </c>
      <c r="H208" t="e">
        <f ca="1">BDP("797661G6 Muni","MUNI_TAX_PROV")</f>
        <v>#NAME?</v>
      </c>
      <c r="I208" t="e">
        <f ca="1">BDP("797661G6 Muni","FINANCING_TYPE")</f>
        <v>#NAME?</v>
      </c>
      <c r="J208" t="e">
        <f ca="1">BDP("797661G6 Muni","BICS_LEVEL_2_INDUSTRY_GROUP_NAME")</f>
        <v>#NAME?</v>
      </c>
      <c r="K208" t="e">
        <f ca="1">BDP("797661G6 Muni","SELF_REPRTD_GREEN_INSTR_INDCTR")</f>
        <v>#NAME?</v>
      </c>
      <c r="L208" t="e">
        <f ca="1">BDP("797661G6 Muni","GB_MANAGEMENT_PROCEEDS")</f>
        <v>#NAME?</v>
      </c>
      <c r="M208" t="e">
        <f ca="1">BDP("797661G6 Muni","GB_REPORTING")</f>
        <v>#NAME?</v>
      </c>
      <c r="N208" t="e">
        <f ca="1">BDP("797661G6 Muni","GB_ASSURANCE_PROVIDERS")</f>
        <v>#NAME?</v>
      </c>
      <c r="O208" t="e">
        <f ca="1">BDP("797661G6 Muni","GB_PROJECT_SELECTION_PROCESS")</f>
        <v>#NAME?</v>
      </c>
      <c r="P208" t="e">
        <f ca="1">BDP("797661G6 Muni","ESG_FRAMEWORK_INDICATOR")</f>
        <v>#NAME?</v>
      </c>
      <c r="Q208" t="e">
        <f ca="1">BDP("797661G6 Muni","BLOOMBERG_SECTOR_CODE")</f>
        <v>#NAME?</v>
      </c>
      <c r="R208" t="e">
        <f ca="1">BDP("797661G6 Muni","ISSUER_TYPE")</f>
        <v>#NAME?</v>
      </c>
      <c r="S208" t="e">
        <f ca="1">BDS("797661G6 Muni","ESG_PROJECT_CATEGORY", "aggregate=y")</f>
        <v>#NAME?</v>
      </c>
      <c r="T208" t="e">
        <f ca="1">BDS("797661G6 Muni","ESG_PROJECT_SUBCATEGORY", "aggregate=y")</f>
        <v>#NAME?</v>
      </c>
    </row>
    <row r="209" spans="1:20" x14ac:dyDescent="0.25">
      <c r="A209" t="e">
        <f ca="1">BDP("797661G9 Muni","ID_CUSIP")</f>
        <v>#NAME?</v>
      </c>
      <c r="B209" t="e">
        <f ca="1">BDP("797661G9 Muni","STATE_CODE")</f>
        <v>#NAME?</v>
      </c>
      <c r="C209" t="s">
        <v>36</v>
      </c>
      <c r="D209" t="e">
        <f ca="1">BDP("797661G9 Muni","YIELD_ON_ISSUE_DATE")</f>
        <v>#NAME?</v>
      </c>
      <c r="E209">
        <v>28170000</v>
      </c>
      <c r="F209" t="e">
        <f ca="1">BDP("797661G9 Muni","ISSUE_DT")</f>
        <v>#NAME?</v>
      </c>
      <c r="G209" t="e">
        <f ca="1">BDP("797661G9 Muni","MATURITY")</f>
        <v>#NAME?</v>
      </c>
      <c r="H209" t="e">
        <f ca="1">BDP("797661G9 Muni","MUNI_TAX_PROV")</f>
        <v>#NAME?</v>
      </c>
      <c r="I209" t="e">
        <f ca="1">BDP("797661G9 Muni","FINANCING_TYPE")</f>
        <v>#NAME?</v>
      </c>
      <c r="J209" t="e">
        <f ca="1">BDP("797661G9 Muni","BICS_LEVEL_2_INDUSTRY_GROUP_NAME")</f>
        <v>#NAME?</v>
      </c>
      <c r="K209" t="e">
        <f ca="1">BDP("797661G9 Muni","SELF_REPRTD_GREEN_INSTR_INDCTR")</f>
        <v>#NAME?</v>
      </c>
      <c r="L209" t="e">
        <f ca="1">BDP("797661G9 Muni","GB_MANAGEMENT_PROCEEDS")</f>
        <v>#NAME?</v>
      </c>
      <c r="M209" t="e">
        <f ca="1">BDP("797661G9 Muni","GB_REPORTING")</f>
        <v>#NAME?</v>
      </c>
      <c r="N209" t="e">
        <f ca="1">BDP("797661G9 Muni","GB_ASSURANCE_PROVIDERS")</f>
        <v>#NAME?</v>
      </c>
      <c r="O209" t="e">
        <f ca="1">BDP("797661G9 Muni","GB_PROJECT_SELECTION_PROCESS")</f>
        <v>#NAME?</v>
      </c>
      <c r="P209" t="e">
        <f ca="1">BDP("797661G9 Muni","ESG_FRAMEWORK_INDICATOR")</f>
        <v>#NAME?</v>
      </c>
      <c r="Q209" t="e">
        <f ca="1">BDP("797661G9 Muni","BLOOMBERG_SECTOR_CODE")</f>
        <v>#NAME?</v>
      </c>
      <c r="R209" t="e">
        <f ca="1">BDP("797661G9 Muni","ISSUER_TYPE")</f>
        <v>#NAME?</v>
      </c>
      <c r="S209" t="e">
        <f ca="1">BDS("797661G9 Muni","ESG_PROJECT_CATEGORY", "aggregate=y")</f>
        <v>#NAME?</v>
      </c>
      <c r="T209" t="e">
        <f ca="1">BDS("797661G9 Muni","ESG_PROJECT_SUBCATEGORY", "aggregate=y")</f>
        <v>#NAME?</v>
      </c>
    </row>
    <row r="210" spans="1:20" x14ac:dyDescent="0.25">
      <c r="A210" t="e">
        <f ca="1">BDP("797669A3 Muni","ID_CUSIP")</f>
        <v>#NAME?</v>
      </c>
      <c r="B210" t="e">
        <f ca="1">BDP("797669A3 Muni","STATE_CODE")</f>
        <v>#NAME?</v>
      </c>
      <c r="C210" t="s">
        <v>28</v>
      </c>
      <c r="D210" t="e">
        <f ca="1">BDP("797669A3 Muni","YIELD_ON_ISSUE_DATE")</f>
        <v>#NAME?</v>
      </c>
      <c r="E210">
        <v>4115000</v>
      </c>
      <c r="F210" t="e">
        <f ca="1">BDP("797669A3 Muni","ISSUE_DT")</f>
        <v>#NAME?</v>
      </c>
      <c r="G210" t="e">
        <f ca="1">BDP("797669A3 Muni","MATURITY")</f>
        <v>#NAME?</v>
      </c>
      <c r="H210" t="e">
        <f ca="1">BDP("797669A3 Muni","MUNI_TAX_PROV")</f>
        <v>#NAME?</v>
      </c>
      <c r="I210" t="e">
        <f ca="1">BDP("797669A3 Muni","FINANCING_TYPE")</f>
        <v>#NAME?</v>
      </c>
      <c r="J210" t="e">
        <f ca="1">BDP("797669A3 Muni","BICS_LEVEL_2_INDUSTRY_GROUP_NAME")</f>
        <v>#NAME?</v>
      </c>
      <c r="K210" t="e">
        <f ca="1">BDP("797669A3 Muni","SELF_REPRTD_GREEN_INSTR_INDCTR")</f>
        <v>#NAME?</v>
      </c>
      <c r="L210" t="e">
        <f ca="1">BDP("797669A3 Muni","GB_MANAGEMENT_PROCEEDS")</f>
        <v>#NAME?</v>
      </c>
      <c r="M210" t="e">
        <f ca="1">BDP("797669A3 Muni","GB_REPORTING")</f>
        <v>#NAME?</v>
      </c>
      <c r="N210" t="e">
        <f ca="1">BDP("797669A3 Muni","GB_ASSURANCE_PROVIDERS")</f>
        <v>#NAME?</v>
      </c>
      <c r="O210" t="e">
        <f ca="1">BDP("797669A3 Muni","GB_PROJECT_SELECTION_PROCESS")</f>
        <v>#NAME?</v>
      </c>
      <c r="P210" t="e">
        <f ca="1">BDP("797669A3 Muni","ESG_FRAMEWORK_INDICATOR")</f>
        <v>#NAME?</v>
      </c>
      <c r="Q210" t="e">
        <f ca="1">BDP("797669A3 Muni","BLOOMBERG_SECTOR_CODE")</f>
        <v>#NAME?</v>
      </c>
      <c r="R210" t="e">
        <f ca="1">BDP("797669A3 Muni","ISSUER_TYPE")</f>
        <v>#NAME?</v>
      </c>
      <c r="S210" t="e">
        <f ca="1">BDS("797669A3 Muni","ESG_PROJECT_CATEGORY", "aggregate=y")</f>
        <v>#NAME?</v>
      </c>
      <c r="T210" t="e">
        <f ca="1">BDS("797669A3 Muni","ESG_PROJECT_SUBCATEGORY", "aggregate=y")</f>
        <v>#NAME?</v>
      </c>
    </row>
    <row r="211" spans="1:20" x14ac:dyDescent="0.25">
      <c r="A211" t="e">
        <f ca="1">BDP("797669A4 Muni","ID_CUSIP")</f>
        <v>#NAME?</v>
      </c>
      <c r="B211" t="e">
        <f ca="1">BDP("797669A4 Muni","STATE_CODE")</f>
        <v>#NAME?</v>
      </c>
      <c r="C211" t="s">
        <v>28</v>
      </c>
      <c r="D211" t="e">
        <f ca="1">BDP("797669A4 Muni","YIELD_ON_ISSUE_DATE")</f>
        <v>#NAME?</v>
      </c>
      <c r="E211">
        <v>4315000</v>
      </c>
      <c r="F211" t="e">
        <f ca="1">BDP("797669A4 Muni","ISSUE_DT")</f>
        <v>#NAME?</v>
      </c>
      <c r="G211" t="e">
        <f ca="1">BDP("797669A4 Muni","MATURITY")</f>
        <v>#NAME?</v>
      </c>
      <c r="H211" t="e">
        <f ca="1">BDP("797669A4 Muni","MUNI_TAX_PROV")</f>
        <v>#NAME?</v>
      </c>
      <c r="I211" t="e">
        <f ca="1">BDP("797669A4 Muni","FINANCING_TYPE")</f>
        <v>#NAME?</v>
      </c>
      <c r="J211" t="e">
        <f ca="1">BDP("797669A4 Muni","BICS_LEVEL_2_INDUSTRY_GROUP_NAME")</f>
        <v>#NAME?</v>
      </c>
      <c r="K211" t="e">
        <f ca="1">BDP("797669A4 Muni","SELF_REPRTD_GREEN_INSTR_INDCTR")</f>
        <v>#NAME?</v>
      </c>
      <c r="L211" t="e">
        <f ca="1">BDP("797669A4 Muni","GB_MANAGEMENT_PROCEEDS")</f>
        <v>#NAME?</v>
      </c>
      <c r="M211" t="e">
        <f ca="1">BDP("797669A4 Muni","GB_REPORTING")</f>
        <v>#NAME?</v>
      </c>
      <c r="N211" t="e">
        <f ca="1">BDP("797669A4 Muni","GB_ASSURANCE_PROVIDERS")</f>
        <v>#NAME?</v>
      </c>
      <c r="O211" t="e">
        <f ca="1">BDP("797669A4 Muni","GB_PROJECT_SELECTION_PROCESS")</f>
        <v>#NAME?</v>
      </c>
      <c r="P211" t="e">
        <f ca="1">BDP("797669A4 Muni","ESG_FRAMEWORK_INDICATOR")</f>
        <v>#NAME?</v>
      </c>
      <c r="Q211" t="e">
        <f ca="1">BDP("797669A4 Muni","BLOOMBERG_SECTOR_CODE")</f>
        <v>#NAME?</v>
      </c>
      <c r="R211" t="e">
        <f ca="1">BDP("797669A4 Muni","ISSUER_TYPE")</f>
        <v>#NAME?</v>
      </c>
      <c r="S211" t="e">
        <f ca="1">BDS("797669A4 Muni","ESG_PROJECT_CATEGORY", "aggregate=y")</f>
        <v>#NAME?</v>
      </c>
      <c r="T211" t="e">
        <f ca="1">BDS("797669A4 Muni","ESG_PROJECT_SUBCATEGORY", "aggregate=y")</f>
        <v>#NAME?</v>
      </c>
    </row>
    <row r="212" spans="1:20" x14ac:dyDescent="0.25">
      <c r="A212" t="e">
        <f ca="1">BDP("79771FFR Muni","ID_CUSIP")</f>
        <v>#NAME?</v>
      </c>
      <c r="B212" t="e">
        <f ca="1">BDP("79771FFR Muni","STATE_CODE")</f>
        <v>#NAME?</v>
      </c>
      <c r="C212" t="s">
        <v>37</v>
      </c>
      <c r="D212" t="e">
        <f ca="1">BDP("79771FFR Muni","YIELD_ON_ISSUE_DATE")</f>
        <v>#NAME?</v>
      </c>
      <c r="E212">
        <v>33260000</v>
      </c>
      <c r="F212" t="e">
        <f ca="1">BDP("79771FFR Muni","ISSUE_DT")</f>
        <v>#NAME?</v>
      </c>
      <c r="G212" t="e">
        <f ca="1">BDP("79771FFR Muni","MATURITY")</f>
        <v>#NAME?</v>
      </c>
      <c r="H212" t="e">
        <f ca="1">BDP("79771FFR Muni","MUNI_TAX_PROV")</f>
        <v>#NAME?</v>
      </c>
      <c r="I212" t="e">
        <f ca="1">BDP("79771FFR Muni","FINANCING_TYPE")</f>
        <v>#NAME?</v>
      </c>
      <c r="J212" t="e">
        <f ca="1">BDP("79771FFR Muni","BICS_LEVEL_2_INDUSTRY_GROUP_NAME")</f>
        <v>#NAME?</v>
      </c>
      <c r="K212" t="e">
        <f ca="1">BDP("79771FFR Muni","SELF_REPRTD_GREEN_INSTR_INDCTR")</f>
        <v>#NAME?</v>
      </c>
      <c r="L212" t="e">
        <f ca="1">BDP("79771FFR Muni","GB_MANAGEMENT_PROCEEDS")</f>
        <v>#NAME?</v>
      </c>
      <c r="M212" t="e">
        <f ca="1">BDP("79771FFR Muni","GB_REPORTING")</f>
        <v>#NAME?</v>
      </c>
      <c r="N212" t="e">
        <f ca="1">BDP("79771FFR Muni","GB_ASSURANCE_PROVIDERS")</f>
        <v>#NAME?</v>
      </c>
      <c r="O212" t="e">
        <f ca="1">BDP("79771FFR Muni","GB_PROJECT_SELECTION_PROCESS")</f>
        <v>#NAME?</v>
      </c>
      <c r="P212" t="e">
        <f ca="1">BDP("79771FFR Muni","ESG_FRAMEWORK_INDICATOR")</f>
        <v>#NAME?</v>
      </c>
      <c r="Q212" t="e">
        <f ca="1">BDP("79771FFR Muni","BLOOMBERG_SECTOR_CODE")</f>
        <v>#NAME?</v>
      </c>
      <c r="R212" t="e">
        <f ca="1">BDP("79771FFR Muni","ISSUER_TYPE")</f>
        <v>#NAME?</v>
      </c>
      <c r="S212" t="e">
        <f ca="1">BDS("79771FFR Muni","ESG_PROJECT_CATEGORY", "aggregate=y")</f>
        <v>#NAME?</v>
      </c>
      <c r="T212" t="e">
        <f ca="1">BDS("79771FFR Muni","ESG_PROJECT_SUBCATEGORY", "aggregate=y")</f>
        <v>#NAME?</v>
      </c>
    </row>
    <row r="213" spans="1:20" x14ac:dyDescent="0.25">
      <c r="A213" t="e">
        <f ca="1">BDP("79771FFT Muni","ID_CUSIP")</f>
        <v>#NAME?</v>
      </c>
      <c r="B213" t="e">
        <f ca="1">BDP("79771FFT Muni","STATE_CODE")</f>
        <v>#NAME?</v>
      </c>
      <c r="C213" t="s">
        <v>37</v>
      </c>
      <c r="D213" t="e">
        <f ca="1">BDP("79771FFT Muni","YIELD_ON_ISSUE_DATE")</f>
        <v>#NAME?</v>
      </c>
      <c r="E213">
        <v>23540000</v>
      </c>
      <c r="F213" t="e">
        <f ca="1">BDP("79771FFT Muni","ISSUE_DT")</f>
        <v>#NAME?</v>
      </c>
      <c r="G213" t="e">
        <f ca="1">BDP("79771FFT Muni","MATURITY")</f>
        <v>#NAME?</v>
      </c>
      <c r="H213" t="e">
        <f ca="1">BDP("79771FFT Muni","MUNI_TAX_PROV")</f>
        <v>#NAME?</v>
      </c>
      <c r="I213" t="e">
        <f ca="1">BDP("79771FFT Muni","FINANCING_TYPE")</f>
        <v>#NAME?</v>
      </c>
      <c r="J213" t="e">
        <f ca="1">BDP("79771FFT Muni","BICS_LEVEL_2_INDUSTRY_GROUP_NAME")</f>
        <v>#NAME?</v>
      </c>
      <c r="K213" t="e">
        <f ca="1">BDP("79771FFT Muni","SELF_REPRTD_GREEN_INSTR_INDCTR")</f>
        <v>#NAME?</v>
      </c>
      <c r="L213" t="e">
        <f ca="1">BDP("79771FFT Muni","GB_MANAGEMENT_PROCEEDS")</f>
        <v>#NAME?</v>
      </c>
      <c r="M213" t="e">
        <f ca="1">BDP("79771FFT Muni","GB_REPORTING")</f>
        <v>#NAME?</v>
      </c>
      <c r="N213" t="e">
        <f ca="1">BDP("79771FFT Muni","GB_ASSURANCE_PROVIDERS")</f>
        <v>#NAME?</v>
      </c>
      <c r="O213" t="e">
        <f ca="1">BDP("79771FFT Muni","GB_PROJECT_SELECTION_PROCESS")</f>
        <v>#NAME?</v>
      </c>
      <c r="P213" t="e">
        <f ca="1">BDP("79771FFT Muni","ESG_FRAMEWORK_INDICATOR")</f>
        <v>#NAME?</v>
      </c>
      <c r="Q213" t="e">
        <f ca="1">BDP("79771FFT Muni","BLOOMBERG_SECTOR_CODE")</f>
        <v>#NAME?</v>
      </c>
      <c r="R213" t="e">
        <f ca="1">BDP("79771FFT Muni","ISSUER_TYPE")</f>
        <v>#NAME?</v>
      </c>
      <c r="S213" t="e">
        <f ca="1">BDS("79771FFT Muni","ESG_PROJECT_CATEGORY", "aggregate=y")</f>
        <v>#NAME?</v>
      </c>
      <c r="T213" t="e">
        <f ca="1">BDS("79771FFT Muni","ESG_PROJECT_SUBCATEGORY", "aggregate=y")</f>
        <v>#NAME?</v>
      </c>
    </row>
    <row r="214" spans="1:20" x14ac:dyDescent="0.25">
      <c r="A214" t="e">
        <f ca="1">BDP("79771FFV Muni","ID_CUSIP")</f>
        <v>#NAME?</v>
      </c>
      <c r="B214" t="e">
        <f ca="1">BDP("79771FFV Muni","STATE_CODE")</f>
        <v>#NAME?</v>
      </c>
      <c r="C214" t="s">
        <v>37</v>
      </c>
      <c r="D214" t="e">
        <f ca="1">BDP("79771FFV Muni","YIELD_ON_ISSUE_DATE")</f>
        <v>#NAME?</v>
      </c>
      <c r="E214">
        <v>32015000</v>
      </c>
      <c r="F214" t="e">
        <f ca="1">BDP("79771FFV Muni","ISSUE_DT")</f>
        <v>#NAME?</v>
      </c>
      <c r="G214" t="e">
        <f ca="1">BDP("79771FFV Muni","MATURITY")</f>
        <v>#NAME?</v>
      </c>
      <c r="H214" t="e">
        <f ca="1">BDP("79771FFV Muni","MUNI_TAX_PROV")</f>
        <v>#NAME?</v>
      </c>
      <c r="I214" t="e">
        <f ca="1">BDP("79771FFV Muni","FINANCING_TYPE")</f>
        <v>#NAME?</v>
      </c>
      <c r="J214" t="e">
        <f ca="1">BDP("79771FFV Muni","BICS_LEVEL_2_INDUSTRY_GROUP_NAME")</f>
        <v>#NAME?</v>
      </c>
      <c r="K214" t="e">
        <f ca="1">BDP("79771FFV Muni","SELF_REPRTD_GREEN_INSTR_INDCTR")</f>
        <v>#NAME?</v>
      </c>
      <c r="L214" t="e">
        <f ca="1">BDP("79771FFV Muni","GB_MANAGEMENT_PROCEEDS")</f>
        <v>#NAME?</v>
      </c>
      <c r="M214" t="e">
        <f ca="1">BDP("79771FFV Muni","GB_REPORTING")</f>
        <v>#NAME?</v>
      </c>
      <c r="N214" t="e">
        <f ca="1">BDP("79771FFV Muni","GB_ASSURANCE_PROVIDERS")</f>
        <v>#NAME?</v>
      </c>
      <c r="O214" t="e">
        <f ca="1">BDP("79771FFV Muni","GB_PROJECT_SELECTION_PROCESS")</f>
        <v>#NAME?</v>
      </c>
      <c r="P214" t="e">
        <f ca="1">BDP("79771FFV Muni","ESG_FRAMEWORK_INDICATOR")</f>
        <v>#NAME?</v>
      </c>
      <c r="Q214" t="e">
        <f ca="1">BDP("79771FFV Muni","BLOOMBERG_SECTOR_CODE")</f>
        <v>#NAME?</v>
      </c>
      <c r="R214" t="e">
        <f ca="1">BDP("79771FFV Muni","ISSUER_TYPE")</f>
        <v>#NAME?</v>
      </c>
      <c r="S214" t="e">
        <f ca="1">BDS("79771FFV Muni","ESG_PROJECT_CATEGORY", "aggregate=y")</f>
        <v>#NAME?</v>
      </c>
      <c r="T214" t="e">
        <f ca="1">BDS("79771FFV Muni","ESG_PROJECT_SUBCATEGORY", "aggregate=y")</f>
        <v>#NAME?</v>
      </c>
    </row>
    <row r="215" spans="1:20" x14ac:dyDescent="0.25">
      <c r="A215" t="e">
        <f ca="1">BDP("79771FFW Muni","ID_CUSIP")</f>
        <v>#NAME?</v>
      </c>
      <c r="B215" t="e">
        <f ca="1">BDP("79771FFW Muni","STATE_CODE")</f>
        <v>#NAME?</v>
      </c>
      <c r="C215" t="s">
        <v>37</v>
      </c>
      <c r="D215" t="e">
        <f ca="1">BDP("79771FFW Muni","YIELD_ON_ISSUE_DATE")</f>
        <v>#NAME?</v>
      </c>
      <c r="E215">
        <v>3000000</v>
      </c>
      <c r="F215" t="e">
        <f ca="1">BDP("79771FFW Muni","ISSUE_DT")</f>
        <v>#NAME?</v>
      </c>
      <c r="G215" t="e">
        <f ca="1">BDP("79771FFW Muni","MATURITY")</f>
        <v>#NAME?</v>
      </c>
      <c r="H215" t="e">
        <f ca="1">BDP("79771FFW Muni","MUNI_TAX_PROV")</f>
        <v>#NAME?</v>
      </c>
      <c r="I215" t="e">
        <f ca="1">BDP("79771FFW Muni","FINANCING_TYPE")</f>
        <v>#NAME?</v>
      </c>
      <c r="J215" t="e">
        <f ca="1">BDP("79771FFW Muni","BICS_LEVEL_2_INDUSTRY_GROUP_NAME")</f>
        <v>#NAME?</v>
      </c>
      <c r="K215" t="e">
        <f ca="1">BDP("79771FFW Muni","SELF_REPRTD_GREEN_INSTR_INDCTR")</f>
        <v>#NAME?</v>
      </c>
      <c r="L215" t="e">
        <f ca="1">BDP("79771FFW Muni","GB_MANAGEMENT_PROCEEDS")</f>
        <v>#NAME?</v>
      </c>
      <c r="M215" t="e">
        <f ca="1">BDP("79771FFW Muni","GB_REPORTING")</f>
        <v>#NAME?</v>
      </c>
      <c r="N215" t="e">
        <f ca="1">BDP("79771FFW Muni","GB_ASSURANCE_PROVIDERS")</f>
        <v>#NAME?</v>
      </c>
      <c r="O215" t="e">
        <f ca="1">BDP("79771FFW Muni","GB_PROJECT_SELECTION_PROCESS")</f>
        <v>#NAME?</v>
      </c>
      <c r="P215" t="e">
        <f ca="1">BDP("79771FFW Muni","ESG_FRAMEWORK_INDICATOR")</f>
        <v>#NAME?</v>
      </c>
      <c r="Q215" t="e">
        <f ca="1">BDP("79771FFW Muni","BLOOMBERG_SECTOR_CODE")</f>
        <v>#NAME?</v>
      </c>
      <c r="R215" t="e">
        <f ca="1">BDP("79771FFW Muni","ISSUER_TYPE")</f>
        <v>#NAME?</v>
      </c>
      <c r="S215" t="e">
        <f ca="1">BDS("79771FFW Muni","ESG_PROJECT_CATEGORY", "aggregate=y")</f>
        <v>#NAME?</v>
      </c>
      <c r="T215" t="e">
        <f ca="1">BDS("79771FFW Muni","ESG_PROJECT_SUBCATEGORY", "aggregate=y")</f>
        <v>#NAME?</v>
      </c>
    </row>
    <row r="216" spans="1:20" x14ac:dyDescent="0.25">
      <c r="A216" t="e">
        <f ca="1">BDP("79771FFX Muni","ID_CUSIP")</f>
        <v>#NAME?</v>
      </c>
      <c r="B216" t="e">
        <f ca="1">BDP("79771FFX Muni","STATE_CODE")</f>
        <v>#NAME?</v>
      </c>
      <c r="C216" t="s">
        <v>37</v>
      </c>
      <c r="D216" t="e">
        <f ca="1">BDP("79771FFX Muni","YIELD_ON_ISSUE_DATE")</f>
        <v>#NAME?</v>
      </c>
      <c r="E216">
        <v>57990000</v>
      </c>
      <c r="F216" t="e">
        <f ca="1">BDP("79771FFX Muni","ISSUE_DT")</f>
        <v>#NAME?</v>
      </c>
      <c r="G216" t="e">
        <f ca="1">BDP("79771FFX Muni","MATURITY")</f>
        <v>#NAME?</v>
      </c>
      <c r="H216" t="e">
        <f ca="1">BDP("79771FFX Muni","MUNI_TAX_PROV")</f>
        <v>#NAME?</v>
      </c>
      <c r="I216" t="e">
        <f ca="1">BDP("79771FFX Muni","FINANCING_TYPE")</f>
        <v>#NAME?</v>
      </c>
      <c r="J216" t="e">
        <f ca="1">BDP("79771FFX Muni","BICS_LEVEL_2_INDUSTRY_GROUP_NAME")</f>
        <v>#NAME?</v>
      </c>
      <c r="K216" t="e">
        <f ca="1">BDP("79771FFX Muni","SELF_REPRTD_GREEN_INSTR_INDCTR")</f>
        <v>#NAME?</v>
      </c>
      <c r="L216" t="e">
        <f ca="1">BDP("79771FFX Muni","GB_MANAGEMENT_PROCEEDS")</f>
        <v>#NAME?</v>
      </c>
      <c r="M216" t="e">
        <f ca="1">BDP("79771FFX Muni","GB_REPORTING")</f>
        <v>#NAME?</v>
      </c>
      <c r="N216" t="e">
        <f ca="1">BDP("79771FFX Muni","GB_ASSURANCE_PROVIDERS")</f>
        <v>#NAME?</v>
      </c>
      <c r="O216" t="e">
        <f ca="1">BDP("79771FFX Muni","GB_PROJECT_SELECTION_PROCESS")</f>
        <v>#NAME?</v>
      </c>
      <c r="P216" t="e">
        <f ca="1">BDP("79771FFX Muni","ESG_FRAMEWORK_INDICATOR")</f>
        <v>#NAME?</v>
      </c>
      <c r="Q216" t="e">
        <f ca="1">BDP("79771FFX Muni","BLOOMBERG_SECTOR_CODE")</f>
        <v>#NAME?</v>
      </c>
      <c r="R216" t="e">
        <f ca="1">BDP("79771FFX Muni","ISSUER_TYPE")</f>
        <v>#NAME?</v>
      </c>
      <c r="S216" t="e">
        <f ca="1">BDS("79771FFX Muni","ESG_PROJECT_CATEGORY", "aggregate=y")</f>
        <v>#NAME?</v>
      </c>
      <c r="T216" t="e">
        <f ca="1">BDS("79771FFX Muni","ESG_PROJECT_SUBCATEGORY", "aggregate=y")</f>
        <v>#NAME?</v>
      </c>
    </row>
    <row r="217" spans="1:20" x14ac:dyDescent="0.25">
      <c r="A217" t="e">
        <f ca="1">BDP("79771FFZ Muni","ID_CUSIP")</f>
        <v>#NAME?</v>
      </c>
      <c r="B217" t="e">
        <f ca="1">BDP("79771FFZ Muni","STATE_CODE")</f>
        <v>#NAME?</v>
      </c>
      <c r="C217" t="s">
        <v>37</v>
      </c>
      <c r="D217" t="e">
        <f ca="1">BDP("79771FFZ Muni","YIELD_ON_ISSUE_DATE")</f>
        <v>#NAME?</v>
      </c>
      <c r="E217">
        <v>38470000</v>
      </c>
      <c r="F217" t="e">
        <f ca="1">BDP("79771FFZ Muni","ISSUE_DT")</f>
        <v>#NAME?</v>
      </c>
      <c r="G217" t="e">
        <f ca="1">BDP("79771FFZ Muni","MATURITY")</f>
        <v>#NAME?</v>
      </c>
      <c r="H217" t="e">
        <f ca="1">BDP("79771FFZ Muni","MUNI_TAX_PROV")</f>
        <v>#NAME?</v>
      </c>
      <c r="I217" t="e">
        <f ca="1">BDP("79771FFZ Muni","FINANCING_TYPE")</f>
        <v>#NAME?</v>
      </c>
      <c r="J217" t="e">
        <f ca="1">BDP("79771FFZ Muni","BICS_LEVEL_2_INDUSTRY_GROUP_NAME")</f>
        <v>#NAME?</v>
      </c>
      <c r="K217" t="e">
        <f ca="1">BDP("79771FFZ Muni","SELF_REPRTD_GREEN_INSTR_INDCTR")</f>
        <v>#NAME?</v>
      </c>
      <c r="L217" t="e">
        <f ca="1">BDP("79771FFZ Muni","GB_MANAGEMENT_PROCEEDS")</f>
        <v>#NAME?</v>
      </c>
      <c r="M217" t="e">
        <f ca="1">BDP("79771FFZ Muni","GB_REPORTING")</f>
        <v>#NAME?</v>
      </c>
      <c r="N217" t="e">
        <f ca="1">BDP("79771FFZ Muni","GB_ASSURANCE_PROVIDERS")</f>
        <v>#NAME?</v>
      </c>
      <c r="O217" t="e">
        <f ca="1">BDP("79771FFZ Muni","GB_PROJECT_SELECTION_PROCESS")</f>
        <v>#NAME?</v>
      </c>
      <c r="P217" t="e">
        <f ca="1">BDP("79771FFZ Muni","ESG_FRAMEWORK_INDICATOR")</f>
        <v>#NAME?</v>
      </c>
      <c r="Q217" t="e">
        <f ca="1">BDP("79771FFZ Muni","BLOOMBERG_SECTOR_CODE")</f>
        <v>#NAME?</v>
      </c>
      <c r="R217" t="e">
        <f ca="1">BDP("79771FFZ Muni","ISSUER_TYPE")</f>
        <v>#NAME?</v>
      </c>
      <c r="S217" t="e">
        <f ca="1">BDS("79771FFZ Muni","ESG_PROJECT_CATEGORY", "aggregate=y")</f>
        <v>#NAME?</v>
      </c>
      <c r="T217" t="e">
        <f ca="1">BDS("79771FFZ Muni","ESG_PROJECT_SUBCATEGORY", "aggregate=y")</f>
        <v>#NAME?</v>
      </c>
    </row>
    <row r="218" spans="1:20" x14ac:dyDescent="0.25">
      <c r="A218" t="e">
        <f ca="1">BDP("79771FGF Muni","ID_CUSIP")</f>
        <v>#NAME?</v>
      </c>
      <c r="B218" t="e">
        <f ca="1">BDP("79771FGF Muni","STATE_CODE")</f>
        <v>#NAME?</v>
      </c>
      <c r="C218" t="s">
        <v>37</v>
      </c>
      <c r="D218" t="e">
        <f ca="1">BDP("79771FGF Muni","YIELD_ON_ISSUE_DATE")</f>
        <v>#NAME?</v>
      </c>
      <c r="E218">
        <v>9385000</v>
      </c>
      <c r="F218" t="e">
        <f ca="1">BDP("79771FGF Muni","ISSUE_DT")</f>
        <v>#NAME?</v>
      </c>
      <c r="G218" t="e">
        <f ca="1">BDP("79771FGF Muni","MATURITY")</f>
        <v>#NAME?</v>
      </c>
      <c r="H218" t="e">
        <f ca="1">BDP("79771FGF Muni","MUNI_TAX_PROV")</f>
        <v>#NAME?</v>
      </c>
      <c r="I218" t="e">
        <f ca="1">BDP("79771FGF Muni","FINANCING_TYPE")</f>
        <v>#NAME?</v>
      </c>
      <c r="J218" t="e">
        <f ca="1">BDP("79771FGF Muni","BICS_LEVEL_2_INDUSTRY_GROUP_NAME")</f>
        <v>#NAME?</v>
      </c>
      <c r="K218" t="e">
        <f ca="1">BDP("79771FGF Muni","SELF_REPRTD_GREEN_INSTR_INDCTR")</f>
        <v>#NAME?</v>
      </c>
      <c r="L218" t="e">
        <f ca="1">BDP("79771FGF Muni","GB_MANAGEMENT_PROCEEDS")</f>
        <v>#NAME?</v>
      </c>
      <c r="M218" t="e">
        <f ca="1">BDP("79771FGF Muni","GB_REPORTING")</f>
        <v>#NAME?</v>
      </c>
      <c r="N218" t="e">
        <f ca="1">BDP("79771FGF Muni","GB_ASSURANCE_PROVIDERS")</f>
        <v>#NAME?</v>
      </c>
      <c r="O218" t="e">
        <f ca="1">BDP("79771FGF Muni","GB_PROJECT_SELECTION_PROCESS")</f>
        <v>#NAME?</v>
      </c>
      <c r="P218" t="e">
        <f ca="1">BDP("79771FGF Muni","ESG_FRAMEWORK_INDICATOR")</f>
        <v>#NAME?</v>
      </c>
      <c r="Q218" t="e">
        <f ca="1">BDP("79771FGF Muni","BLOOMBERG_SECTOR_CODE")</f>
        <v>#NAME?</v>
      </c>
      <c r="R218" t="e">
        <f ca="1">BDP("79771FGF Muni","ISSUER_TYPE")</f>
        <v>#NAME?</v>
      </c>
      <c r="S218" t="e">
        <f ca="1">BDS("79771FGF Muni","ESG_PROJECT_CATEGORY", "aggregate=y")</f>
        <v>#NAME?</v>
      </c>
      <c r="T218" t="e">
        <f ca="1">BDS("79771FGF Muni","ESG_PROJECT_SUBCATEGORY", "aggregate=y")</f>
        <v>#NAME?</v>
      </c>
    </row>
    <row r="219" spans="1:20" x14ac:dyDescent="0.25">
      <c r="A219" t="e">
        <f ca="1">BDP("79771FGJ Muni","ID_CUSIP")</f>
        <v>#NAME?</v>
      </c>
      <c r="B219" t="e">
        <f ca="1">BDP("79771FGJ Muni","STATE_CODE")</f>
        <v>#NAME?</v>
      </c>
      <c r="C219" t="s">
        <v>37</v>
      </c>
      <c r="D219" t="e">
        <f ca="1">BDP("79771FGJ Muni","YIELD_ON_ISSUE_DATE")</f>
        <v>#NAME?</v>
      </c>
      <c r="E219">
        <v>5955000</v>
      </c>
      <c r="F219" t="e">
        <f ca="1">BDP("79771FGJ Muni","ISSUE_DT")</f>
        <v>#NAME?</v>
      </c>
      <c r="G219" t="e">
        <f ca="1">BDP("79771FGJ Muni","MATURITY")</f>
        <v>#NAME?</v>
      </c>
      <c r="H219" t="e">
        <f ca="1">BDP("79771FGJ Muni","MUNI_TAX_PROV")</f>
        <v>#NAME?</v>
      </c>
      <c r="I219" t="e">
        <f ca="1">BDP("79771FGJ Muni","FINANCING_TYPE")</f>
        <v>#NAME?</v>
      </c>
      <c r="J219" t="e">
        <f ca="1">BDP("79771FGJ Muni","BICS_LEVEL_2_INDUSTRY_GROUP_NAME")</f>
        <v>#NAME?</v>
      </c>
      <c r="K219" t="e">
        <f ca="1">BDP("79771FGJ Muni","SELF_REPRTD_GREEN_INSTR_INDCTR")</f>
        <v>#NAME?</v>
      </c>
      <c r="L219" t="e">
        <f ca="1">BDP("79771FGJ Muni","GB_MANAGEMENT_PROCEEDS")</f>
        <v>#NAME?</v>
      </c>
      <c r="M219" t="e">
        <f ca="1">BDP("79771FGJ Muni","GB_REPORTING")</f>
        <v>#NAME?</v>
      </c>
      <c r="N219" t="e">
        <f ca="1">BDP("79771FGJ Muni","GB_ASSURANCE_PROVIDERS")</f>
        <v>#NAME?</v>
      </c>
      <c r="O219" t="e">
        <f ca="1">BDP("79771FGJ Muni","GB_PROJECT_SELECTION_PROCESS")</f>
        <v>#NAME?</v>
      </c>
      <c r="P219" t="e">
        <f ca="1">BDP("79771FGJ Muni","ESG_FRAMEWORK_INDICATOR")</f>
        <v>#NAME?</v>
      </c>
      <c r="Q219" t="e">
        <f ca="1">BDP("79771FGJ Muni","BLOOMBERG_SECTOR_CODE")</f>
        <v>#NAME?</v>
      </c>
      <c r="R219" t="e">
        <f ca="1">BDP("79771FGJ Muni","ISSUER_TYPE")</f>
        <v>#NAME?</v>
      </c>
      <c r="S219" t="e">
        <f ca="1">BDS("79771FGJ Muni","ESG_PROJECT_CATEGORY", "aggregate=y")</f>
        <v>#NAME?</v>
      </c>
      <c r="T219" t="e">
        <f ca="1">BDS("79771FGJ Muni","ESG_PROJECT_SUBCATEGORY", "aggregate=y")</f>
        <v>#NAME?</v>
      </c>
    </row>
    <row r="220" spans="1:20" x14ac:dyDescent="0.25">
      <c r="A220" t="e">
        <f ca="1">BDP("79771FGK Muni","ID_CUSIP")</f>
        <v>#NAME?</v>
      </c>
      <c r="B220" t="e">
        <f ca="1">BDP("79771FGK Muni","STATE_CODE")</f>
        <v>#NAME?</v>
      </c>
      <c r="C220" t="s">
        <v>37</v>
      </c>
      <c r="D220" t="e">
        <f ca="1">BDP("79771FGK Muni","YIELD_ON_ISSUE_DATE")</f>
        <v>#NAME?</v>
      </c>
      <c r="E220">
        <v>3115000</v>
      </c>
      <c r="F220" t="e">
        <f ca="1">BDP("79771FGK Muni","ISSUE_DT")</f>
        <v>#NAME?</v>
      </c>
      <c r="G220" t="e">
        <f ca="1">BDP("79771FGK Muni","MATURITY")</f>
        <v>#NAME?</v>
      </c>
      <c r="H220" t="e">
        <f ca="1">BDP("79771FGK Muni","MUNI_TAX_PROV")</f>
        <v>#NAME?</v>
      </c>
      <c r="I220" t="e">
        <f ca="1">BDP("79771FGK Muni","FINANCING_TYPE")</f>
        <v>#NAME?</v>
      </c>
      <c r="J220" t="e">
        <f ca="1">BDP("79771FGK Muni","BICS_LEVEL_2_INDUSTRY_GROUP_NAME")</f>
        <v>#NAME?</v>
      </c>
      <c r="K220" t="e">
        <f ca="1">BDP("79771FGK Muni","SELF_REPRTD_GREEN_INSTR_INDCTR")</f>
        <v>#NAME?</v>
      </c>
      <c r="L220" t="e">
        <f ca="1">BDP("79771FGK Muni","GB_MANAGEMENT_PROCEEDS")</f>
        <v>#NAME?</v>
      </c>
      <c r="M220" t="e">
        <f ca="1">BDP("79771FGK Muni","GB_REPORTING")</f>
        <v>#NAME?</v>
      </c>
      <c r="N220" t="e">
        <f ca="1">BDP("79771FGK Muni","GB_ASSURANCE_PROVIDERS")</f>
        <v>#NAME?</v>
      </c>
      <c r="O220" t="e">
        <f ca="1">BDP("79771FGK Muni","GB_PROJECT_SELECTION_PROCESS")</f>
        <v>#NAME?</v>
      </c>
      <c r="P220" t="e">
        <f ca="1">BDP("79771FGK Muni","ESG_FRAMEWORK_INDICATOR")</f>
        <v>#NAME?</v>
      </c>
      <c r="Q220" t="e">
        <f ca="1">BDP("79771FGK Muni","BLOOMBERG_SECTOR_CODE")</f>
        <v>#NAME?</v>
      </c>
      <c r="R220" t="e">
        <f ca="1">BDP("79771FGK Muni","ISSUER_TYPE")</f>
        <v>#NAME?</v>
      </c>
      <c r="S220" t="e">
        <f ca="1">BDS("79771FGK Muni","ESG_PROJECT_CATEGORY", "aggregate=y")</f>
        <v>#NAME?</v>
      </c>
      <c r="T220" t="e">
        <f ca="1">BDS("79771FGK Muni","ESG_PROJECT_SUBCATEGORY", "aggregate=y")</f>
        <v>#NAME?</v>
      </c>
    </row>
    <row r="221" spans="1:20" x14ac:dyDescent="0.25">
      <c r="A221" t="e">
        <f ca="1">BDP("79771FGN Muni","ID_CUSIP")</f>
        <v>#NAME?</v>
      </c>
      <c r="B221" t="e">
        <f ca="1">BDP("79771FGN Muni","STATE_CODE")</f>
        <v>#NAME?</v>
      </c>
      <c r="C221" t="s">
        <v>37</v>
      </c>
      <c r="D221" t="e">
        <f ca="1">BDP("79771FGN Muni","YIELD_ON_ISSUE_DATE")</f>
        <v>#NAME?</v>
      </c>
      <c r="E221">
        <v>960000</v>
      </c>
      <c r="F221" t="e">
        <f ca="1">BDP("79771FGN Muni","ISSUE_DT")</f>
        <v>#NAME?</v>
      </c>
      <c r="G221" t="e">
        <f ca="1">BDP("79771FGN Muni","MATURITY")</f>
        <v>#NAME?</v>
      </c>
      <c r="H221" t="e">
        <f ca="1">BDP("79771FGN Muni","MUNI_TAX_PROV")</f>
        <v>#NAME?</v>
      </c>
      <c r="I221" t="e">
        <f ca="1">BDP("79771FGN Muni","FINANCING_TYPE")</f>
        <v>#NAME?</v>
      </c>
      <c r="J221" t="e">
        <f ca="1">BDP("79771FGN Muni","BICS_LEVEL_2_INDUSTRY_GROUP_NAME")</f>
        <v>#NAME?</v>
      </c>
      <c r="K221" t="e">
        <f ca="1">BDP("79771FGN Muni","SELF_REPRTD_GREEN_INSTR_INDCTR")</f>
        <v>#NAME?</v>
      </c>
      <c r="L221" t="e">
        <f ca="1">BDP("79771FGN Muni","GB_MANAGEMENT_PROCEEDS")</f>
        <v>#NAME?</v>
      </c>
      <c r="M221" t="e">
        <f ca="1">BDP("79771FGN Muni","GB_REPORTING")</f>
        <v>#NAME?</v>
      </c>
      <c r="N221" t="e">
        <f ca="1">BDP("79771FGN Muni","GB_ASSURANCE_PROVIDERS")</f>
        <v>#NAME?</v>
      </c>
      <c r="O221" t="e">
        <f ca="1">BDP("79771FGN Muni","GB_PROJECT_SELECTION_PROCESS")</f>
        <v>#NAME?</v>
      </c>
      <c r="P221" t="e">
        <f ca="1">BDP("79771FGN Muni","ESG_FRAMEWORK_INDICATOR")</f>
        <v>#NAME?</v>
      </c>
      <c r="Q221" t="e">
        <f ca="1">BDP("79771FGN Muni","BLOOMBERG_SECTOR_CODE")</f>
        <v>#NAME?</v>
      </c>
      <c r="R221" t="e">
        <f ca="1">BDP("79771FGN Muni","ISSUER_TYPE")</f>
        <v>#NAME?</v>
      </c>
      <c r="S221" t="e">
        <f ca="1">BDS("79771FGN Muni","ESG_PROJECT_CATEGORY", "aggregate=y")</f>
        <v>#NAME?</v>
      </c>
      <c r="T221" t="e">
        <f ca="1">BDS("79771FGN Muni","ESG_PROJECT_SUBCATEGORY", "aggregate=y")</f>
        <v>#NAME?</v>
      </c>
    </row>
    <row r="222" spans="1:20" x14ac:dyDescent="0.25">
      <c r="A222" t="e">
        <f ca="1">BDP("79811YAA Muni","ID_CUSIP")</f>
        <v>#NAME?</v>
      </c>
      <c r="B222" t="e">
        <f ca="1">BDP("79811YAA Muni","STATE_CODE")</f>
        <v>#NAME?</v>
      </c>
      <c r="C222" t="s">
        <v>38</v>
      </c>
      <c r="D222" t="e">
        <f ca="1">BDP("79811YAA Muni","YIELD_ON_ISSUE_DATE")</f>
        <v>#NAME?</v>
      </c>
      <c r="E222">
        <v>950000</v>
      </c>
      <c r="F222" t="e">
        <f ca="1">BDP("79811YAA Muni","ISSUE_DT")</f>
        <v>#NAME?</v>
      </c>
      <c r="G222" t="e">
        <f ca="1">BDP("79811YAA Muni","MATURITY")</f>
        <v>#NAME?</v>
      </c>
      <c r="H222" t="e">
        <f ca="1">BDP("79811YAA Muni","MUNI_TAX_PROV")</f>
        <v>#NAME?</v>
      </c>
      <c r="I222" t="e">
        <f ca="1">BDP("79811YAA Muni","FINANCING_TYPE")</f>
        <v>#NAME?</v>
      </c>
      <c r="J222" t="e">
        <f ca="1">BDP("79811YAA Muni","BICS_LEVEL_2_INDUSTRY_GROUP_NAME")</f>
        <v>#NAME?</v>
      </c>
      <c r="K222" t="e">
        <f ca="1">BDP("79811YAA Muni","SELF_REPRTD_GREEN_INSTR_INDCTR")</f>
        <v>#NAME?</v>
      </c>
      <c r="L222" t="e">
        <f ca="1">BDP("79811YAA Muni","GB_MANAGEMENT_PROCEEDS")</f>
        <v>#NAME?</v>
      </c>
      <c r="M222" t="e">
        <f ca="1">BDP("79811YAA Muni","GB_REPORTING")</f>
        <v>#NAME?</v>
      </c>
      <c r="N222" t="e">
        <f ca="1">BDP("79811YAA Muni","GB_ASSURANCE_PROVIDERS")</f>
        <v>#NAME?</v>
      </c>
      <c r="O222" t="e">
        <f ca="1">BDP("79811YAA Muni","GB_PROJECT_SELECTION_PROCESS")</f>
        <v>#NAME?</v>
      </c>
      <c r="P222" t="e">
        <f ca="1">BDP("79811YAA Muni","ESG_FRAMEWORK_INDICATOR")</f>
        <v>#NAME?</v>
      </c>
      <c r="Q222" t="e">
        <f ca="1">BDP("79811YAA Muni","BLOOMBERG_SECTOR_CODE")</f>
        <v>#NAME?</v>
      </c>
      <c r="R222" t="e">
        <f ca="1">BDP("79811YAA Muni","ISSUER_TYPE")</f>
        <v>#NAME?</v>
      </c>
      <c r="S222" t="e">
        <f ca="1">BDS("79811YAA Muni","ESG_PROJECT_CATEGORY", "aggregate=y")</f>
        <v>#NAME?</v>
      </c>
      <c r="T222" t="e">
        <f ca="1">BDS("79811YAA Muni","ESG_PROJECT_SUBCATEGORY", "aggregate=y")</f>
        <v>#NAME?</v>
      </c>
    </row>
    <row r="223" spans="1:20" x14ac:dyDescent="0.25">
      <c r="A223" t="e">
        <f ca="1">BDP("79811YAB Muni","ID_CUSIP")</f>
        <v>#NAME?</v>
      </c>
      <c r="B223" t="e">
        <f ca="1">BDP("79811YAB Muni","STATE_CODE")</f>
        <v>#NAME?</v>
      </c>
      <c r="C223" t="s">
        <v>38</v>
      </c>
      <c r="D223" t="e">
        <f ca="1">BDP("79811YAB Muni","YIELD_ON_ISSUE_DATE")</f>
        <v>#NAME?</v>
      </c>
      <c r="E223">
        <v>5875000</v>
      </c>
      <c r="F223" t="e">
        <f ca="1">BDP("79811YAB Muni","ISSUE_DT")</f>
        <v>#NAME?</v>
      </c>
      <c r="G223" t="e">
        <f ca="1">BDP("79811YAB Muni","MATURITY")</f>
        <v>#NAME?</v>
      </c>
      <c r="H223" t="e">
        <f ca="1">BDP("79811YAB Muni","MUNI_TAX_PROV")</f>
        <v>#NAME?</v>
      </c>
      <c r="I223" t="e">
        <f ca="1">BDP("79811YAB Muni","FINANCING_TYPE")</f>
        <v>#NAME?</v>
      </c>
      <c r="J223" t="e">
        <f ca="1">BDP("79811YAB Muni","BICS_LEVEL_2_INDUSTRY_GROUP_NAME")</f>
        <v>#NAME?</v>
      </c>
      <c r="K223" t="e">
        <f ca="1">BDP("79811YAB Muni","SELF_REPRTD_GREEN_INSTR_INDCTR")</f>
        <v>#NAME?</v>
      </c>
      <c r="L223" t="e">
        <f ca="1">BDP("79811YAB Muni","GB_MANAGEMENT_PROCEEDS")</f>
        <v>#NAME?</v>
      </c>
      <c r="M223" t="e">
        <f ca="1">BDP("79811YAB Muni","GB_REPORTING")</f>
        <v>#NAME?</v>
      </c>
      <c r="N223" t="e">
        <f ca="1">BDP("79811YAB Muni","GB_ASSURANCE_PROVIDERS")</f>
        <v>#NAME?</v>
      </c>
      <c r="O223" t="e">
        <f ca="1">BDP("79811YAB Muni","GB_PROJECT_SELECTION_PROCESS")</f>
        <v>#NAME?</v>
      </c>
      <c r="P223" t="e">
        <f ca="1">BDP("79811YAB Muni","ESG_FRAMEWORK_INDICATOR")</f>
        <v>#NAME?</v>
      </c>
      <c r="Q223" t="e">
        <f ca="1">BDP("79811YAB Muni","BLOOMBERG_SECTOR_CODE")</f>
        <v>#NAME?</v>
      </c>
      <c r="R223" t="e">
        <f ca="1">BDP("79811YAB Muni","ISSUER_TYPE")</f>
        <v>#NAME?</v>
      </c>
      <c r="S223" t="e">
        <f ca="1">BDS("79811YAB Muni","ESG_PROJECT_CATEGORY", "aggregate=y")</f>
        <v>#NAME?</v>
      </c>
      <c r="T223" t="e">
        <f ca="1">BDS("79811YAB Muni","ESG_PROJECT_SUBCATEGORY", "aggregate=y")</f>
        <v>#NAME?</v>
      </c>
    </row>
    <row r="224" spans="1:20" x14ac:dyDescent="0.25">
      <c r="A224" t="e">
        <f ca="1">BDP("79811YAC Muni","ID_CUSIP")</f>
        <v>#NAME?</v>
      </c>
      <c r="B224" t="e">
        <f ca="1">BDP("79811YAC Muni","STATE_CODE")</f>
        <v>#NAME?</v>
      </c>
      <c r="C224" t="s">
        <v>38</v>
      </c>
      <c r="D224" t="e">
        <f ca="1">BDP("79811YAC Muni","YIELD_ON_ISSUE_DATE")</f>
        <v>#NAME?</v>
      </c>
      <c r="E224">
        <v>5620000</v>
      </c>
      <c r="F224" t="e">
        <f ca="1">BDP("79811YAC Muni","ISSUE_DT")</f>
        <v>#NAME?</v>
      </c>
      <c r="G224" t="e">
        <f ca="1">BDP("79811YAC Muni","MATURITY")</f>
        <v>#NAME?</v>
      </c>
      <c r="H224" t="e">
        <f ca="1">BDP("79811YAC Muni","MUNI_TAX_PROV")</f>
        <v>#NAME?</v>
      </c>
      <c r="I224" t="e">
        <f ca="1">BDP("79811YAC Muni","FINANCING_TYPE")</f>
        <v>#NAME?</v>
      </c>
      <c r="J224" t="e">
        <f ca="1">BDP("79811YAC Muni","BICS_LEVEL_2_INDUSTRY_GROUP_NAME")</f>
        <v>#NAME?</v>
      </c>
      <c r="K224" t="e">
        <f ca="1">BDP("79811YAC Muni","SELF_REPRTD_GREEN_INSTR_INDCTR")</f>
        <v>#NAME?</v>
      </c>
      <c r="L224" t="e">
        <f ca="1">BDP("79811YAC Muni","GB_MANAGEMENT_PROCEEDS")</f>
        <v>#NAME?</v>
      </c>
      <c r="M224" t="e">
        <f ca="1">BDP("79811YAC Muni","GB_REPORTING")</f>
        <v>#NAME?</v>
      </c>
      <c r="N224" t="e">
        <f ca="1">BDP("79811YAC Muni","GB_ASSURANCE_PROVIDERS")</f>
        <v>#NAME?</v>
      </c>
      <c r="O224" t="e">
        <f ca="1">BDP("79811YAC Muni","GB_PROJECT_SELECTION_PROCESS")</f>
        <v>#NAME?</v>
      </c>
      <c r="P224" t="e">
        <f ca="1">BDP("79811YAC Muni","ESG_FRAMEWORK_INDICATOR")</f>
        <v>#NAME?</v>
      </c>
      <c r="Q224" t="e">
        <f ca="1">BDP("79811YAC Muni","BLOOMBERG_SECTOR_CODE")</f>
        <v>#NAME?</v>
      </c>
      <c r="R224" t="e">
        <f ca="1">BDP("79811YAC Muni","ISSUER_TYPE")</f>
        <v>#NAME?</v>
      </c>
      <c r="S224" t="e">
        <f ca="1">BDS("79811YAC Muni","ESG_PROJECT_CATEGORY", "aggregate=y")</f>
        <v>#NAME?</v>
      </c>
      <c r="T224" t="e">
        <f ca="1">BDS("79811YAC Muni","ESG_PROJECT_SUBCATEGORY", "aggregate=y")</f>
        <v>#NAME?</v>
      </c>
    </row>
    <row r="225" spans="1:20" x14ac:dyDescent="0.25">
      <c r="A225" t="e">
        <f ca="1">BDP("79811YAE Muni","ID_CUSIP")</f>
        <v>#NAME?</v>
      </c>
      <c r="B225" t="e">
        <f ca="1">BDP("79811YAE Muni","STATE_CODE")</f>
        <v>#NAME?</v>
      </c>
      <c r="C225" t="s">
        <v>38</v>
      </c>
      <c r="D225" t="e">
        <f ca="1">BDP("79811YAE Muni","YIELD_ON_ISSUE_DATE")</f>
        <v>#NAME?</v>
      </c>
      <c r="E225">
        <v>5145000</v>
      </c>
      <c r="F225" t="e">
        <f ca="1">BDP("79811YAE Muni","ISSUE_DT")</f>
        <v>#NAME?</v>
      </c>
      <c r="G225" t="e">
        <f ca="1">BDP("79811YAE Muni","MATURITY")</f>
        <v>#NAME?</v>
      </c>
      <c r="H225" t="e">
        <f ca="1">BDP("79811YAE Muni","MUNI_TAX_PROV")</f>
        <v>#NAME?</v>
      </c>
      <c r="I225" t="e">
        <f ca="1">BDP("79811YAE Muni","FINANCING_TYPE")</f>
        <v>#NAME?</v>
      </c>
      <c r="J225" t="e">
        <f ca="1">BDP("79811YAE Muni","BICS_LEVEL_2_INDUSTRY_GROUP_NAME")</f>
        <v>#NAME?</v>
      </c>
      <c r="K225" t="e">
        <f ca="1">BDP("79811YAE Muni","SELF_REPRTD_GREEN_INSTR_INDCTR")</f>
        <v>#NAME?</v>
      </c>
      <c r="L225" t="e">
        <f ca="1">BDP("79811YAE Muni","GB_MANAGEMENT_PROCEEDS")</f>
        <v>#NAME?</v>
      </c>
      <c r="M225" t="e">
        <f ca="1">BDP("79811YAE Muni","GB_REPORTING")</f>
        <v>#NAME?</v>
      </c>
      <c r="N225" t="e">
        <f ca="1">BDP("79811YAE Muni","GB_ASSURANCE_PROVIDERS")</f>
        <v>#NAME?</v>
      </c>
      <c r="O225" t="e">
        <f ca="1">BDP("79811YAE Muni","GB_PROJECT_SELECTION_PROCESS")</f>
        <v>#NAME?</v>
      </c>
      <c r="P225" t="e">
        <f ca="1">BDP("79811YAE Muni","ESG_FRAMEWORK_INDICATOR")</f>
        <v>#NAME?</v>
      </c>
      <c r="Q225" t="e">
        <f ca="1">BDP("79811YAE Muni","BLOOMBERG_SECTOR_CODE")</f>
        <v>#NAME?</v>
      </c>
      <c r="R225" t="e">
        <f ca="1">BDP("79811YAE Muni","ISSUER_TYPE")</f>
        <v>#NAME?</v>
      </c>
      <c r="S225" t="e">
        <f ca="1">BDS("79811YAE Muni","ESG_PROJECT_CATEGORY", "aggregate=y")</f>
        <v>#NAME?</v>
      </c>
      <c r="T225" t="e">
        <f ca="1">BDS("79811YAE Muni","ESG_PROJECT_SUBCATEGORY", "aggregate=y")</f>
        <v>#NAME?</v>
      </c>
    </row>
    <row r="226" spans="1:20" x14ac:dyDescent="0.25">
      <c r="A226" t="e">
        <f ca="1">BDP("79811YAF Muni","ID_CUSIP")</f>
        <v>#NAME?</v>
      </c>
      <c r="B226" t="e">
        <f ca="1">BDP("79811YAF Muni","STATE_CODE")</f>
        <v>#NAME?</v>
      </c>
      <c r="C226" t="s">
        <v>38</v>
      </c>
      <c r="D226" t="e">
        <f ca="1">BDP("79811YAF Muni","YIELD_ON_ISSUE_DATE")</f>
        <v>#NAME?</v>
      </c>
      <c r="E226">
        <v>5320000</v>
      </c>
      <c r="F226" t="e">
        <f ca="1">BDP("79811YAF Muni","ISSUE_DT")</f>
        <v>#NAME?</v>
      </c>
      <c r="G226" t="e">
        <f ca="1">BDP("79811YAF Muni","MATURITY")</f>
        <v>#NAME?</v>
      </c>
      <c r="H226" t="e">
        <f ca="1">BDP("79811YAF Muni","MUNI_TAX_PROV")</f>
        <v>#NAME?</v>
      </c>
      <c r="I226" t="e">
        <f ca="1">BDP("79811YAF Muni","FINANCING_TYPE")</f>
        <v>#NAME?</v>
      </c>
      <c r="J226" t="e">
        <f ca="1">BDP("79811YAF Muni","BICS_LEVEL_2_INDUSTRY_GROUP_NAME")</f>
        <v>#NAME?</v>
      </c>
      <c r="K226" t="e">
        <f ca="1">BDP("79811YAF Muni","SELF_REPRTD_GREEN_INSTR_INDCTR")</f>
        <v>#NAME?</v>
      </c>
      <c r="L226" t="e">
        <f ca="1">BDP("79811YAF Muni","GB_MANAGEMENT_PROCEEDS")</f>
        <v>#NAME?</v>
      </c>
      <c r="M226" t="e">
        <f ca="1">BDP("79811YAF Muni","GB_REPORTING")</f>
        <v>#NAME?</v>
      </c>
      <c r="N226" t="e">
        <f ca="1">BDP("79811YAF Muni","GB_ASSURANCE_PROVIDERS")</f>
        <v>#NAME?</v>
      </c>
      <c r="O226" t="e">
        <f ca="1">BDP("79811YAF Muni","GB_PROJECT_SELECTION_PROCESS")</f>
        <v>#NAME?</v>
      </c>
      <c r="P226" t="e">
        <f ca="1">BDP("79811YAF Muni","ESG_FRAMEWORK_INDICATOR")</f>
        <v>#NAME?</v>
      </c>
      <c r="Q226" t="e">
        <f ca="1">BDP("79811YAF Muni","BLOOMBERG_SECTOR_CODE")</f>
        <v>#NAME?</v>
      </c>
      <c r="R226" t="e">
        <f ca="1">BDP("79811YAF Muni","ISSUER_TYPE")</f>
        <v>#NAME?</v>
      </c>
      <c r="S226" t="e">
        <f ca="1">BDS("79811YAF Muni","ESG_PROJECT_CATEGORY", "aggregate=y")</f>
        <v>#NAME?</v>
      </c>
      <c r="T226" t="e">
        <f ca="1">BDS("79811YAF Muni","ESG_PROJECT_SUBCATEGORY", "aggregate=y")</f>
        <v>#NAME?</v>
      </c>
    </row>
    <row r="227" spans="1:20" x14ac:dyDescent="0.25">
      <c r="A227" t="e">
        <f ca="1">BDP("79811YAG Muni","ID_CUSIP")</f>
        <v>#NAME?</v>
      </c>
      <c r="B227" t="e">
        <f ca="1">BDP("79811YAG Muni","STATE_CODE")</f>
        <v>#NAME?</v>
      </c>
      <c r="C227" t="s">
        <v>38</v>
      </c>
      <c r="D227" t="e">
        <f ca="1">BDP("79811YAG Muni","YIELD_ON_ISSUE_DATE")</f>
        <v>#NAME?</v>
      </c>
      <c r="E227">
        <v>4290000</v>
      </c>
      <c r="F227" t="e">
        <f ca="1">BDP("79811YAG Muni","ISSUE_DT")</f>
        <v>#NAME?</v>
      </c>
      <c r="G227" t="e">
        <f ca="1">BDP("79811YAG Muni","MATURITY")</f>
        <v>#NAME?</v>
      </c>
      <c r="H227" t="e">
        <f ca="1">BDP("79811YAG Muni","MUNI_TAX_PROV")</f>
        <v>#NAME?</v>
      </c>
      <c r="I227" t="e">
        <f ca="1">BDP("79811YAG Muni","FINANCING_TYPE")</f>
        <v>#NAME?</v>
      </c>
      <c r="J227" t="e">
        <f ca="1">BDP("79811YAG Muni","BICS_LEVEL_2_INDUSTRY_GROUP_NAME")</f>
        <v>#NAME?</v>
      </c>
      <c r="K227" t="e">
        <f ca="1">BDP("79811YAG Muni","SELF_REPRTD_GREEN_INSTR_INDCTR")</f>
        <v>#NAME?</v>
      </c>
      <c r="L227" t="e">
        <f ca="1">BDP("79811YAG Muni","GB_MANAGEMENT_PROCEEDS")</f>
        <v>#NAME?</v>
      </c>
      <c r="M227" t="e">
        <f ca="1">BDP("79811YAG Muni","GB_REPORTING")</f>
        <v>#NAME?</v>
      </c>
      <c r="N227" t="e">
        <f ca="1">BDP("79811YAG Muni","GB_ASSURANCE_PROVIDERS")</f>
        <v>#NAME?</v>
      </c>
      <c r="O227" t="e">
        <f ca="1">BDP("79811YAG Muni","GB_PROJECT_SELECTION_PROCESS")</f>
        <v>#NAME?</v>
      </c>
      <c r="P227" t="e">
        <f ca="1">BDP("79811YAG Muni","ESG_FRAMEWORK_INDICATOR")</f>
        <v>#NAME?</v>
      </c>
      <c r="Q227" t="e">
        <f ca="1">BDP("79811YAG Muni","BLOOMBERG_SECTOR_CODE")</f>
        <v>#NAME?</v>
      </c>
      <c r="R227" t="e">
        <f ca="1">BDP("79811YAG Muni","ISSUER_TYPE")</f>
        <v>#NAME?</v>
      </c>
      <c r="S227" t="e">
        <f ca="1">BDS("79811YAG Muni","ESG_PROJECT_CATEGORY", "aggregate=y")</f>
        <v>#NAME?</v>
      </c>
      <c r="T227" t="e">
        <f ca="1">BDS("79811YAG Muni","ESG_PROJECT_SUBCATEGORY", "aggregate=y")</f>
        <v>#NAME?</v>
      </c>
    </row>
    <row r="228" spans="1:20" x14ac:dyDescent="0.25">
      <c r="A228" t="e">
        <f ca="1">BDP("79811YAH Muni","ID_CUSIP")</f>
        <v>#NAME?</v>
      </c>
      <c r="B228" t="e">
        <f ca="1">BDP("79811YAH Muni","STATE_CODE")</f>
        <v>#NAME?</v>
      </c>
      <c r="C228" t="s">
        <v>38</v>
      </c>
      <c r="D228" t="e">
        <f ca="1">BDP("79811YAH Muni","YIELD_ON_ISSUE_DATE")</f>
        <v>#NAME?</v>
      </c>
      <c r="E228">
        <v>3870000</v>
      </c>
      <c r="F228" t="e">
        <f ca="1">BDP("79811YAH Muni","ISSUE_DT")</f>
        <v>#NAME?</v>
      </c>
      <c r="G228" t="e">
        <f ca="1">BDP("79811YAH Muni","MATURITY")</f>
        <v>#NAME?</v>
      </c>
      <c r="H228" t="e">
        <f ca="1">BDP("79811YAH Muni","MUNI_TAX_PROV")</f>
        <v>#NAME?</v>
      </c>
      <c r="I228" t="e">
        <f ca="1">BDP("79811YAH Muni","FINANCING_TYPE")</f>
        <v>#NAME?</v>
      </c>
      <c r="J228" t="e">
        <f ca="1">BDP("79811YAH Muni","BICS_LEVEL_2_INDUSTRY_GROUP_NAME")</f>
        <v>#NAME?</v>
      </c>
      <c r="K228" t="e">
        <f ca="1">BDP("79811YAH Muni","SELF_REPRTD_GREEN_INSTR_INDCTR")</f>
        <v>#NAME?</v>
      </c>
      <c r="L228" t="e">
        <f ca="1">BDP("79811YAH Muni","GB_MANAGEMENT_PROCEEDS")</f>
        <v>#NAME?</v>
      </c>
      <c r="M228" t="e">
        <f ca="1">BDP("79811YAH Muni","GB_REPORTING")</f>
        <v>#NAME?</v>
      </c>
      <c r="N228" t="e">
        <f ca="1">BDP("79811YAH Muni","GB_ASSURANCE_PROVIDERS")</f>
        <v>#NAME?</v>
      </c>
      <c r="O228" t="e">
        <f ca="1">BDP("79811YAH Muni","GB_PROJECT_SELECTION_PROCESS")</f>
        <v>#NAME?</v>
      </c>
      <c r="P228" t="e">
        <f ca="1">BDP("79811YAH Muni","ESG_FRAMEWORK_INDICATOR")</f>
        <v>#NAME?</v>
      </c>
      <c r="Q228" t="e">
        <f ca="1">BDP("79811YAH Muni","BLOOMBERG_SECTOR_CODE")</f>
        <v>#NAME?</v>
      </c>
      <c r="R228" t="e">
        <f ca="1">BDP("79811YAH Muni","ISSUER_TYPE")</f>
        <v>#NAME?</v>
      </c>
      <c r="S228" t="e">
        <f ca="1">BDS("79811YAH Muni","ESG_PROJECT_CATEGORY", "aggregate=y")</f>
        <v>#NAME?</v>
      </c>
      <c r="T228" t="e">
        <f ca="1">BDS("79811YAH Muni","ESG_PROJECT_SUBCATEGORY", "aggregate=y")</f>
        <v>#NAME?</v>
      </c>
    </row>
    <row r="229" spans="1:20" x14ac:dyDescent="0.25">
      <c r="A229" t="e">
        <f ca="1">BDP("79811YAJ Muni","ID_CUSIP")</f>
        <v>#NAME?</v>
      </c>
      <c r="B229" t="e">
        <f ca="1">BDP("79811YAJ Muni","STATE_CODE")</f>
        <v>#NAME?</v>
      </c>
      <c r="C229" t="s">
        <v>38</v>
      </c>
      <c r="D229" t="e">
        <f ca="1">BDP("79811YAJ Muni","YIELD_ON_ISSUE_DATE")</f>
        <v>#NAME?</v>
      </c>
      <c r="E229">
        <v>3990000</v>
      </c>
      <c r="F229" t="e">
        <f ca="1">BDP("79811YAJ Muni","ISSUE_DT")</f>
        <v>#NAME?</v>
      </c>
      <c r="G229" t="e">
        <f ca="1">BDP("79811YAJ Muni","MATURITY")</f>
        <v>#NAME?</v>
      </c>
      <c r="H229" t="e">
        <f ca="1">BDP("79811YAJ Muni","MUNI_TAX_PROV")</f>
        <v>#NAME?</v>
      </c>
      <c r="I229" t="e">
        <f ca="1">BDP("79811YAJ Muni","FINANCING_TYPE")</f>
        <v>#NAME?</v>
      </c>
      <c r="J229" t="e">
        <f ca="1">BDP("79811YAJ Muni","BICS_LEVEL_2_INDUSTRY_GROUP_NAME")</f>
        <v>#NAME?</v>
      </c>
      <c r="K229" t="e">
        <f ca="1">BDP("79811YAJ Muni","SELF_REPRTD_GREEN_INSTR_INDCTR")</f>
        <v>#NAME?</v>
      </c>
      <c r="L229" t="e">
        <f ca="1">BDP("79811YAJ Muni","GB_MANAGEMENT_PROCEEDS")</f>
        <v>#NAME?</v>
      </c>
      <c r="M229" t="e">
        <f ca="1">BDP("79811YAJ Muni","GB_REPORTING")</f>
        <v>#NAME?</v>
      </c>
      <c r="N229" t="e">
        <f ca="1">BDP("79811YAJ Muni","GB_ASSURANCE_PROVIDERS")</f>
        <v>#NAME?</v>
      </c>
      <c r="O229" t="e">
        <f ca="1">BDP("79811YAJ Muni","GB_PROJECT_SELECTION_PROCESS")</f>
        <v>#NAME?</v>
      </c>
      <c r="P229" t="e">
        <f ca="1">BDP("79811YAJ Muni","ESG_FRAMEWORK_INDICATOR")</f>
        <v>#NAME?</v>
      </c>
      <c r="Q229" t="e">
        <f ca="1">BDP("79811YAJ Muni","BLOOMBERG_SECTOR_CODE")</f>
        <v>#NAME?</v>
      </c>
      <c r="R229" t="e">
        <f ca="1">BDP("79811YAJ Muni","ISSUER_TYPE")</f>
        <v>#NAME?</v>
      </c>
      <c r="S229" t="e">
        <f ca="1">BDS("79811YAJ Muni","ESG_PROJECT_CATEGORY", "aggregate=y")</f>
        <v>#NAME?</v>
      </c>
      <c r="T229" t="e">
        <f ca="1">BDS("79811YAJ Muni","ESG_PROJECT_SUBCATEGORY", "aggregate=y")</f>
        <v>#NAME?</v>
      </c>
    </row>
    <row r="230" spans="1:20" x14ac:dyDescent="0.25">
      <c r="A230" t="e">
        <f ca="1">BDP("840528AA Muni","ID_CUSIP")</f>
        <v>#NAME?</v>
      </c>
      <c r="B230" t="e">
        <f ca="1">BDP("840528AA Muni","STATE_CODE")</f>
        <v>#NAME?</v>
      </c>
      <c r="C230" t="s">
        <v>29</v>
      </c>
      <c r="D230" t="e">
        <f ca="1">BDP("840528AA Muni","YIELD_ON_ISSUE_DATE")</f>
        <v>#NAME?</v>
      </c>
      <c r="E230">
        <v>340000</v>
      </c>
      <c r="F230" t="e">
        <f ca="1">BDP("840528AA Muni","ISSUE_DT")</f>
        <v>#NAME?</v>
      </c>
      <c r="G230" t="e">
        <f ca="1">BDP("840528AA Muni","MATURITY")</f>
        <v>#NAME?</v>
      </c>
      <c r="H230" t="e">
        <f ca="1">BDP("840528AA Muni","MUNI_TAX_PROV")</f>
        <v>#NAME?</v>
      </c>
      <c r="I230" t="e">
        <f ca="1">BDP("840528AA Muni","FINANCING_TYPE")</f>
        <v>#NAME?</v>
      </c>
      <c r="J230" t="e">
        <f ca="1">BDP("840528AA Muni","BICS_LEVEL_2_INDUSTRY_GROUP_NAME")</f>
        <v>#NAME?</v>
      </c>
      <c r="K230" t="e">
        <f ca="1">BDP("840528AA Muni","SELF_REPRTD_GREEN_INSTR_INDCTR")</f>
        <v>#NAME?</v>
      </c>
      <c r="L230" t="e">
        <f ca="1">BDP("840528AA Muni","GB_MANAGEMENT_PROCEEDS")</f>
        <v>#NAME?</v>
      </c>
      <c r="M230" t="e">
        <f ca="1">BDP("840528AA Muni","GB_REPORTING")</f>
        <v>#NAME?</v>
      </c>
      <c r="N230" t="e">
        <f ca="1">BDP("840528AA Muni","GB_ASSURANCE_PROVIDERS")</f>
        <v>#NAME?</v>
      </c>
      <c r="O230" t="e">
        <f ca="1">BDP("840528AA Muni","GB_PROJECT_SELECTION_PROCESS")</f>
        <v>#NAME?</v>
      </c>
      <c r="P230" t="e">
        <f ca="1">BDP("840528AA Muni","ESG_FRAMEWORK_INDICATOR")</f>
        <v>#NAME?</v>
      </c>
      <c r="Q230" t="e">
        <f ca="1">BDP("840528AA Muni","BLOOMBERG_SECTOR_CODE")</f>
        <v>#NAME?</v>
      </c>
      <c r="R230" t="e">
        <f ca="1">BDP("840528AA Muni","ISSUER_TYPE")</f>
        <v>#NAME?</v>
      </c>
      <c r="S230" t="e">
        <f ca="1">BDS("840528AA Muni","ESG_PROJECT_CATEGORY", "aggregate=y")</f>
        <v>#NAME?</v>
      </c>
      <c r="T230" t="e">
        <f ca="1">BDS("840528AA Muni","ESG_PROJECT_SUBCATEGORY", "aggregate=y")</f>
        <v>#NAME?</v>
      </c>
    </row>
    <row r="231" spans="1:20" x14ac:dyDescent="0.25">
      <c r="A231" t="e">
        <f ca="1">BDP("840528AB Muni","ID_CUSIP")</f>
        <v>#NAME?</v>
      </c>
      <c r="B231" t="e">
        <f ca="1">BDP("840528AB Muni","STATE_CODE")</f>
        <v>#NAME?</v>
      </c>
      <c r="C231" t="s">
        <v>29</v>
      </c>
      <c r="D231" t="e">
        <f ca="1">BDP("840528AB Muni","YIELD_ON_ISSUE_DATE")</f>
        <v>#NAME?</v>
      </c>
      <c r="E231">
        <v>360000</v>
      </c>
      <c r="F231" t="e">
        <f ca="1">BDP("840528AB Muni","ISSUE_DT")</f>
        <v>#NAME?</v>
      </c>
      <c r="G231" t="e">
        <f ca="1">BDP("840528AB Muni","MATURITY")</f>
        <v>#NAME?</v>
      </c>
      <c r="H231" t="e">
        <f ca="1">BDP("840528AB Muni","MUNI_TAX_PROV")</f>
        <v>#NAME?</v>
      </c>
      <c r="I231" t="e">
        <f ca="1">BDP("840528AB Muni","FINANCING_TYPE")</f>
        <v>#NAME?</v>
      </c>
      <c r="J231" t="e">
        <f ca="1">BDP("840528AB Muni","BICS_LEVEL_2_INDUSTRY_GROUP_NAME")</f>
        <v>#NAME?</v>
      </c>
      <c r="K231" t="e">
        <f ca="1">BDP("840528AB Muni","SELF_REPRTD_GREEN_INSTR_INDCTR")</f>
        <v>#NAME?</v>
      </c>
      <c r="L231" t="e">
        <f ca="1">BDP("840528AB Muni","GB_MANAGEMENT_PROCEEDS")</f>
        <v>#NAME?</v>
      </c>
      <c r="M231" t="e">
        <f ca="1">BDP("840528AB Muni","GB_REPORTING")</f>
        <v>#NAME?</v>
      </c>
      <c r="N231" t="e">
        <f ca="1">BDP("840528AB Muni","GB_ASSURANCE_PROVIDERS")</f>
        <v>#NAME?</v>
      </c>
      <c r="O231" t="e">
        <f ca="1">BDP("840528AB Muni","GB_PROJECT_SELECTION_PROCESS")</f>
        <v>#NAME?</v>
      </c>
      <c r="P231" t="e">
        <f ca="1">BDP("840528AB Muni","ESG_FRAMEWORK_INDICATOR")</f>
        <v>#NAME?</v>
      </c>
      <c r="Q231" t="e">
        <f ca="1">BDP("840528AB Muni","BLOOMBERG_SECTOR_CODE")</f>
        <v>#NAME?</v>
      </c>
      <c r="R231" t="e">
        <f ca="1">BDP("840528AB Muni","ISSUER_TYPE")</f>
        <v>#NAME?</v>
      </c>
      <c r="S231" t="e">
        <f ca="1">BDS("840528AB Muni","ESG_PROJECT_CATEGORY", "aggregate=y")</f>
        <v>#NAME?</v>
      </c>
      <c r="T231" t="e">
        <f ca="1">BDS("840528AB Muni","ESG_PROJECT_SUBCATEGORY", "aggregate=y")</f>
        <v>#NAME?</v>
      </c>
    </row>
    <row r="232" spans="1:20" x14ac:dyDescent="0.25">
      <c r="A232" t="e">
        <f ca="1">BDP("840528AC Muni","ID_CUSIP")</f>
        <v>#NAME?</v>
      </c>
      <c r="B232" t="e">
        <f ca="1">BDP("840528AC Muni","STATE_CODE")</f>
        <v>#NAME?</v>
      </c>
      <c r="C232" t="s">
        <v>29</v>
      </c>
      <c r="D232" t="e">
        <f ca="1">BDP("840528AC Muni","YIELD_ON_ISSUE_DATE")</f>
        <v>#NAME?</v>
      </c>
      <c r="E232">
        <v>375000</v>
      </c>
      <c r="F232" t="e">
        <f ca="1">BDP("840528AC Muni","ISSUE_DT")</f>
        <v>#NAME?</v>
      </c>
      <c r="G232" t="e">
        <f ca="1">BDP("840528AC Muni","MATURITY")</f>
        <v>#NAME?</v>
      </c>
      <c r="H232" t="e">
        <f ca="1">BDP("840528AC Muni","MUNI_TAX_PROV")</f>
        <v>#NAME?</v>
      </c>
      <c r="I232" t="e">
        <f ca="1">BDP("840528AC Muni","FINANCING_TYPE")</f>
        <v>#NAME?</v>
      </c>
      <c r="J232" t="e">
        <f ca="1">BDP("840528AC Muni","BICS_LEVEL_2_INDUSTRY_GROUP_NAME")</f>
        <v>#NAME?</v>
      </c>
      <c r="K232" t="e">
        <f ca="1">BDP("840528AC Muni","SELF_REPRTD_GREEN_INSTR_INDCTR")</f>
        <v>#NAME?</v>
      </c>
      <c r="L232" t="e">
        <f ca="1">BDP("840528AC Muni","GB_MANAGEMENT_PROCEEDS")</f>
        <v>#NAME?</v>
      </c>
      <c r="M232" t="e">
        <f ca="1">BDP("840528AC Muni","GB_REPORTING")</f>
        <v>#NAME?</v>
      </c>
      <c r="N232" t="e">
        <f ca="1">BDP("840528AC Muni","GB_ASSURANCE_PROVIDERS")</f>
        <v>#NAME?</v>
      </c>
      <c r="O232" t="e">
        <f ca="1">BDP("840528AC Muni","GB_PROJECT_SELECTION_PROCESS")</f>
        <v>#NAME?</v>
      </c>
      <c r="P232" t="e">
        <f ca="1">BDP("840528AC Muni","ESG_FRAMEWORK_INDICATOR")</f>
        <v>#NAME?</v>
      </c>
      <c r="Q232" t="e">
        <f ca="1">BDP("840528AC Muni","BLOOMBERG_SECTOR_CODE")</f>
        <v>#NAME?</v>
      </c>
      <c r="R232" t="e">
        <f ca="1">BDP("840528AC Muni","ISSUER_TYPE")</f>
        <v>#NAME?</v>
      </c>
      <c r="S232" t="e">
        <f ca="1">BDS("840528AC Muni","ESG_PROJECT_CATEGORY", "aggregate=y")</f>
        <v>#NAME?</v>
      </c>
      <c r="T232" t="e">
        <f ca="1">BDS("840528AC Muni","ESG_PROJECT_SUBCATEGORY", "aggregate=y")</f>
        <v>#NAME?</v>
      </c>
    </row>
    <row r="233" spans="1:20" x14ac:dyDescent="0.25">
      <c r="A233" t="e">
        <f ca="1">BDP("840528AD Muni","ID_CUSIP")</f>
        <v>#NAME?</v>
      </c>
      <c r="B233" t="e">
        <f ca="1">BDP("840528AD Muni","STATE_CODE")</f>
        <v>#NAME?</v>
      </c>
      <c r="C233" t="s">
        <v>29</v>
      </c>
      <c r="D233" t="e">
        <f ca="1">BDP("840528AD Muni","YIELD_ON_ISSUE_DATE")</f>
        <v>#NAME?</v>
      </c>
      <c r="E233">
        <v>395000</v>
      </c>
      <c r="F233" t="e">
        <f ca="1">BDP("840528AD Muni","ISSUE_DT")</f>
        <v>#NAME?</v>
      </c>
      <c r="G233" t="e">
        <f ca="1">BDP("840528AD Muni","MATURITY")</f>
        <v>#NAME?</v>
      </c>
      <c r="H233" t="e">
        <f ca="1">BDP("840528AD Muni","MUNI_TAX_PROV")</f>
        <v>#NAME?</v>
      </c>
      <c r="I233" t="e">
        <f ca="1">BDP("840528AD Muni","FINANCING_TYPE")</f>
        <v>#NAME?</v>
      </c>
      <c r="J233" t="e">
        <f ca="1">BDP("840528AD Muni","BICS_LEVEL_2_INDUSTRY_GROUP_NAME")</f>
        <v>#NAME?</v>
      </c>
      <c r="K233" t="e">
        <f ca="1">BDP("840528AD Muni","SELF_REPRTD_GREEN_INSTR_INDCTR")</f>
        <v>#NAME?</v>
      </c>
      <c r="L233" t="e">
        <f ca="1">BDP("840528AD Muni","GB_MANAGEMENT_PROCEEDS")</f>
        <v>#NAME?</v>
      </c>
      <c r="M233" t="e">
        <f ca="1">BDP("840528AD Muni","GB_REPORTING")</f>
        <v>#NAME?</v>
      </c>
      <c r="N233" t="e">
        <f ca="1">BDP("840528AD Muni","GB_ASSURANCE_PROVIDERS")</f>
        <v>#NAME?</v>
      </c>
      <c r="O233" t="e">
        <f ca="1">BDP("840528AD Muni","GB_PROJECT_SELECTION_PROCESS")</f>
        <v>#NAME?</v>
      </c>
      <c r="P233" t="e">
        <f ca="1">BDP("840528AD Muni","ESG_FRAMEWORK_INDICATOR")</f>
        <v>#NAME?</v>
      </c>
      <c r="Q233" t="e">
        <f ca="1">BDP("840528AD Muni","BLOOMBERG_SECTOR_CODE")</f>
        <v>#NAME?</v>
      </c>
      <c r="R233" t="e">
        <f ca="1">BDP("840528AD Muni","ISSUER_TYPE")</f>
        <v>#NAME?</v>
      </c>
      <c r="S233" t="e">
        <f ca="1">BDS("840528AD Muni","ESG_PROJECT_CATEGORY", "aggregate=y")</f>
        <v>#NAME?</v>
      </c>
      <c r="T233" t="e">
        <f ca="1">BDS("840528AD Muni","ESG_PROJECT_SUBCATEGORY", "aggregate=y")</f>
        <v>#NAME?</v>
      </c>
    </row>
    <row r="234" spans="1:20" x14ac:dyDescent="0.25">
      <c r="A234" t="e">
        <f ca="1">BDP("840528AE Muni","ID_CUSIP")</f>
        <v>#NAME?</v>
      </c>
      <c r="B234" t="e">
        <f ca="1">BDP("840528AE Muni","STATE_CODE")</f>
        <v>#NAME?</v>
      </c>
      <c r="C234" t="s">
        <v>29</v>
      </c>
      <c r="D234" t="e">
        <f ca="1">BDP("840528AE Muni","YIELD_ON_ISSUE_DATE")</f>
        <v>#NAME?</v>
      </c>
      <c r="E234">
        <v>415000</v>
      </c>
      <c r="F234" t="e">
        <f ca="1">BDP("840528AE Muni","ISSUE_DT")</f>
        <v>#NAME?</v>
      </c>
      <c r="G234" t="e">
        <f ca="1">BDP("840528AE Muni","MATURITY")</f>
        <v>#NAME?</v>
      </c>
      <c r="H234" t="e">
        <f ca="1">BDP("840528AE Muni","MUNI_TAX_PROV")</f>
        <v>#NAME?</v>
      </c>
      <c r="I234" t="e">
        <f ca="1">BDP("840528AE Muni","FINANCING_TYPE")</f>
        <v>#NAME?</v>
      </c>
      <c r="J234" t="e">
        <f ca="1">BDP("840528AE Muni","BICS_LEVEL_2_INDUSTRY_GROUP_NAME")</f>
        <v>#NAME?</v>
      </c>
      <c r="K234" t="e">
        <f ca="1">BDP("840528AE Muni","SELF_REPRTD_GREEN_INSTR_INDCTR")</f>
        <v>#NAME?</v>
      </c>
      <c r="L234" t="e">
        <f ca="1">BDP("840528AE Muni","GB_MANAGEMENT_PROCEEDS")</f>
        <v>#NAME?</v>
      </c>
      <c r="M234" t="e">
        <f ca="1">BDP("840528AE Muni","GB_REPORTING")</f>
        <v>#NAME?</v>
      </c>
      <c r="N234" t="e">
        <f ca="1">BDP("840528AE Muni","GB_ASSURANCE_PROVIDERS")</f>
        <v>#NAME?</v>
      </c>
      <c r="O234" t="e">
        <f ca="1">BDP("840528AE Muni","GB_PROJECT_SELECTION_PROCESS")</f>
        <v>#NAME?</v>
      </c>
      <c r="P234" t="e">
        <f ca="1">BDP("840528AE Muni","ESG_FRAMEWORK_INDICATOR")</f>
        <v>#NAME?</v>
      </c>
      <c r="Q234" t="e">
        <f ca="1">BDP("840528AE Muni","BLOOMBERG_SECTOR_CODE")</f>
        <v>#NAME?</v>
      </c>
      <c r="R234" t="e">
        <f ca="1">BDP("840528AE Muni","ISSUER_TYPE")</f>
        <v>#NAME?</v>
      </c>
      <c r="S234" t="e">
        <f ca="1">BDS("840528AE Muni","ESG_PROJECT_CATEGORY", "aggregate=y")</f>
        <v>#NAME?</v>
      </c>
      <c r="T234" t="e">
        <f ca="1">BDS("840528AE Muni","ESG_PROJECT_SUBCATEGORY", "aggregate=y")</f>
        <v>#NAME?</v>
      </c>
    </row>
    <row r="235" spans="1:20" x14ac:dyDescent="0.25">
      <c r="A235" t="e">
        <f ca="1">BDP("840528AG Muni","ID_CUSIP")</f>
        <v>#NAME?</v>
      </c>
      <c r="B235" t="e">
        <f ca="1">BDP("840528AG Muni","STATE_CODE")</f>
        <v>#NAME?</v>
      </c>
      <c r="C235" t="s">
        <v>29</v>
      </c>
      <c r="D235" t="e">
        <f ca="1">BDP("840528AG Muni","YIELD_ON_ISSUE_DATE")</f>
        <v>#NAME?</v>
      </c>
      <c r="E235">
        <v>460000</v>
      </c>
      <c r="F235" t="e">
        <f ca="1">BDP("840528AG Muni","ISSUE_DT")</f>
        <v>#NAME?</v>
      </c>
      <c r="G235" t="e">
        <f ca="1">BDP("840528AG Muni","MATURITY")</f>
        <v>#NAME?</v>
      </c>
      <c r="H235" t="e">
        <f ca="1">BDP("840528AG Muni","MUNI_TAX_PROV")</f>
        <v>#NAME?</v>
      </c>
      <c r="I235" t="e">
        <f ca="1">BDP("840528AG Muni","FINANCING_TYPE")</f>
        <v>#NAME?</v>
      </c>
      <c r="J235" t="e">
        <f ca="1">BDP("840528AG Muni","BICS_LEVEL_2_INDUSTRY_GROUP_NAME")</f>
        <v>#NAME?</v>
      </c>
      <c r="K235" t="e">
        <f ca="1">BDP("840528AG Muni","SELF_REPRTD_GREEN_INSTR_INDCTR")</f>
        <v>#NAME?</v>
      </c>
      <c r="L235" t="e">
        <f ca="1">BDP("840528AG Muni","GB_MANAGEMENT_PROCEEDS")</f>
        <v>#NAME?</v>
      </c>
      <c r="M235" t="e">
        <f ca="1">BDP("840528AG Muni","GB_REPORTING")</f>
        <v>#NAME?</v>
      </c>
      <c r="N235" t="e">
        <f ca="1">BDP("840528AG Muni","GB_ASSURANCE_PROVIDERS")</f>
        <v>#NAME?</v>
      </c>
      <c r="O235" t="e">
        <f ca="1">BDP("840528AG Muni","GB_PROJECT_SELECTION_PROCESS")</f>
        <v>#NAME?</v>
      </c>
      <c r="P235" t="e">
        <f ca="1">BDP("840528AG Muni","ESG_FRAMEWORK_INDICATOR")</f>
        <v>#NAME?</v>
      </c>
      <c r="Q235" t="e">
        <f ca="1">BDP("840528AG Muni","BLOOMBERG_SECTOR_CODE")</f>
        <v>#NAME?</v>
      </c>
      <c r="R235" t="e">
        <f ca="1">BDP("840528AG Muni","ISSUER_TYPE")</f>
        <v>#NAME?</v>
      </c>
      <c r="S235" t="e">
        <f ca="1">BDS("840528AG Muni","ESG_PROJECT_CATEGORY", "aggregate=y")</f>
        <v>#NAME?</v>
      </c>
      <c r="T235" t="e">
        <f ca="1">BDS("840528AG Muni","ESG_PROJECT_SUBCATEGORY", "aggregate=y")</f>
        <v>#NAME?</v>
      </c>
    </row>
    <row r="236" spans="1:20" x14ac:dyDescent="0.25">
      <c r="A236" t="e">
        <f ca="1">BDP("840528AH Muni","ID_CUSIP")</f>
        <v>#NAME?</v>
      </c>
      <c r="B236" t="e">
        <f ca="1">BDP("840528AH Muni","STATE_CODE")</f>
        <v>#NAME?</v>
      </c>
      <c r="C236" t="s">
        <v>29</v>
      </c>
      <c r="D236" t="e">
        <f ca="1">BDP("840528AH Muni","YIELD_ON_ISSUE_DATE")</f>
        <v>#NAME?</v>
      </c>
      <c r="E236">
        <v>485000</v>
      </c>
      <c r="F236" t="e">
        <f ca="1">BDP("840528AH Muni","ISSUE_DT")</f>
        <v>#NAME?</v>
      </c>
      <c r="G236" t="e">
        <f ca="1">BDP("840528AH Muni","MATURITY")</f>
        <v>#NAME?</v>
      </c>
      <c r="H236" t="e">
        <f ca="1">BDP("840528AH Muni","MUNI_TAX_PROV")</f>
        <v>#NAME?</v>
      </c>
      <c r="I236" t="e">
        <f ca="1">BDP("840528AH Muni","FINANCING_TYPE")</f>
        <v>#NAME?</v>
      </c>
      <c r="J236" t="e">
        <f ca="1">BDP("840528AH Muni","BICS_LEVEL_2_INDUSTRY_GROUP_NAME")</f>
        <v>#NAME?</v>
      </c>
      <c r="K236" t="e">
        <f ca="1">BDP("840528AH Muni","SELF_REPRTD_GREEN_INSTR_INDCTR")</f>
        <v>#NAME?</v>
      </c>
      <c r="L236" t="e">
        <f ca="1">BDP("840528AH Muni","GB_MANAGEMENT_PROCEEDS")</f>
        <v>#NAME?</v>
      </c>
      <c r="M236" t="e">
        <f ca="1">BDP("840528AH Muni","GB_REPORTING")</f>
        <v>#NAME?</v>
      </c>
      <c r="N236" t="e">
        <f ca="1">BDP("840528AH Muni","GB_ASSURANCE_PROVIDERS")</f>
        <v>#NAME?</v>
      </c>
      <c r="O236" t="e">
        <f ca="1">BDP("840528AH Muni","GB_PROJECT_SELECTION_PROCESS")</f>
        <v>#NAME?</v>
      </c>
      <c r="P236" t="e">
        <f ca="1">BDP("840528AH Muni","ESG_FRAMEWORK_INDICATOR")</f>
        <v>#NAME?</v>
      </c>
      <c r="Q236" t="e">
        <f ca="1">BDP("840528AH Muni","BLOOMBERG_SECTOR_CODE")</f>
        <v>#NAME?</v>
      </c>
      <c r="R236" t="e">
        <f ca="1">BDP("840528AH Muni","ISSUER_TYPE")</f>
        <v>#NAME?</v>
      </c>
      <c r="S236" t="e">
        <f ca="1">BDS("840528AH Muni","ESG_PROJECT_CATEGORY", "aggregate=y")</f>
        <v>#NAME?</v>
      </c>
      <c r="T236" t="e">
        <f ca="1">BDS("840528AH Muni","ESG_PROJECT_SUBCATEGORY", "aggregate=y")</f>
        <v>#NAME?</v>
      </c>
    </row>
    <row r="237" spans="1:20" x14ac:dyDescent="0.25">
      <c r="A237" t="e">
        <f ca="1">BDP("840528AJ Muni","ID_CUSIP")</f>
        <v>#NAME?</v>
      </c>
      <c r="B237" t="e">
        <f ca="1">BDP("840528AJ Muni","STATE_CODE")</f>
        <v>#NAME?</v>
      </c>
      <c r="C237" t="s">
        <v>29</v>
      </c>
      <c r="D237" t="e">
        <f ca="1">BDP("840528AJ Muni","YIELD_ON_ISSUE_DATE")</f>
        <v>#NAME?</v>
      </c>
      <c r="E237">
        <v>510000</v>
      </c>
      <c r="F237" t="e">
        <f ca="1">BDP("840528AJ Muni","ISSUE_DT")</f>
        <v>#NAME?</v>
      </c>
      <c r="G237" t="e">
        <f ca="1">BDP("840528AJ Muni","MATURITY")</f>
        <v>#NAME?</v>
      </c>
      <c r="H237" t="e">
        <f ca="1">BDP("840528AJ Muni","MUNI_TAX_PROV")</f>
        <v>#NAME?</v>
      </c>
      <c r="I237" t="e">
        <f ca="1">BDP("840528AJ Muni","FINANCING_TYPE")</f>
        <v>#NAME?</v>
      </c>
      <c r="J237" t="e">
        <f ca="1">BDP("840528AJ Muni","BICS_LEVEL_2_INDUSTRY_GROUP_NAME")</f>
        <v>#NAME?</v>
      </c>
      <c r="K237" t="e">
        <f ca="1">BDP("840528AJ Muni","SELF_REPRTD_GREEN_INSTR_INDCTR")</f>
        <v>#NAME?</v>
      </c>
      <c r="L237" t="e">
        <f ca="1">BDP("840528AJ Muni","GB_MANAGEMENT_PROCEEDS")</f>
        <v>#NAME?</v>
      </c>
      <c r="M237" t="e">
        <f ca="1">BDP("840528AJ Muni","GB_REPORTING")</f>
        <v>#NAME?</v>
      </c>
      <c r="N237" t="e">
        <f ca="1">BDP("840528AJ Muni","GB_ASSURANCE_PROVIDERS")</f>
        <v>#NAME?</v>
      </c>
      <c r="O237" t="e">
        <f ca="1">BDP("840528AJ Muni","GB_PROJECT_SELECTION_PROCESS")</f>
        <v>#NAME?</v>
      </c>
      <c r="P237" t="e">
        <f ca="1">BDP("840528AJ Muni","ESG_FRAMEWORK_INDICATOR")</f>
        <v>#NAME?</v>
      </c>
      <c r="Q237" t="e">
        <f ca="1">BDP("840528AJ Muni","BLOOMBERG_SECTOR_CODE")</f>
        <v>#NAME?</v>
      </c>
      <c r="R237" t="e">
        <f ca="1">BDP("840528AJ Muni","ISSUER_TYPE")</f>
        <v>#NAME?</v>
      </c>
      <c r="S237" t="e">
        <f ca="1">BDS("840528AJ Muni","ESG_PROJECT_CATEGORY", "aggregate=y")</f>
        <v>#NAME?</v>
      </c>
      <c r="T237" t="e">
        <f ca="1">BDS("840528AJ Muni","ESG_PROJECT_SUBCATEGORY", "aggregate=y")</f>
        <v>#NAME?</v>
      </c>
    </row>
    <row r="238" spans="1:20" x14ac:dyDescent="0.25">
      <c r="A238" t="e">
        <f ca="1">BDP("840528AK Muni","ID_CUSIP")</f>
        <v>#NAME?</v>
      </c>
      <c r="B238" t="e">
        <f ca="1">BDP("840528AK Muni","STATE_CODE")</f>
        <v>#NAME?</v>
      </c>
      <c r="C238" t="s">
        <v>29</v>
      </c>
      <c r="D238" t="e">
        <f ca="1">BDP("840528AK Muni","YIELD_ON_ISSUE_DATE")</f>
        <v>#NAME?</v>
      </c>
      <c r="E238">
        <v>535000</v>
      </c>
      <c r="F238" t="e">
        <f ca="1">BDP("840528AK Muni","ISSUE_DT")</f>
        <v>#NAME?</v>
      </c>
      <c r="G238" t="e">
        <f ca="1">BDP("840528AK Muni","MATURITY")</f>
        <v>#NAME?</v>
      </c>
      <c r="H238" t="e">
        <f ca="1">BDP("840528AK Muni","MUNI_TAX_PROV")</f>
        <v>#NAME?</v>
      </c>
      <c r="I238" t="e">
        <f ca="1">BDP("840528AK Muni","FINANCING_TYPE")</f>
        <v>#NAME?</v>
      </c>
      <c r="J238" t="e">
        <f ca="1">BDP("840528AK Muni","BICS_LEVEL_2_INDUSTRY_GROUP_NAME")</f>
        <v>#NAME?</v>
      </c>
      <c r="K238" t="e">
        <f ca="1">BDP("840528AK Muni","SELF_REPRTD_GREEN_INSTR_INDCTR")</f>
        <v>#NAME?</v>
      </c>
      <c r="L238" t="e">
        <f ca="1">BDP("840528AK Muni","GB_MANAGEMENT_PROCEEDS")</f>
        <v>#NAME?</v>
      </c>
      <c r="M238" t="e">
        <f ca="1">BDP("840528AK Muni","GB_REPORTING")</f>
        <v>#NAME?</v>
      </c>
      <c r="N238" t="e">
        <f ca="1">BDP("840528AK Muni","GB_ASSURANCE_PROVIDERS")</f>
        <v>#NAME?</v>
      </c>
      <c r="O238" t="e">
        <f ca="1">BDP("840528AK Muni","GB_PROJECT_SELECTION_PROCESS")</f>
        <v>#NAME?</v>
      </c>
      <c r="P238" t="e">
        <f ca="1">BDP("840528AK Muni","ESG_FRAMEWORK_INDICATOR")</f>
        <v>#NAME?</v>
      </c>
      <c r="Q238" t="e">
        <f ca="1">BDP("840528AK Muni","BLOOMBERG_SECTOR_CODE")</f>
        <v>#NAME?</v>
      </c>
      <c r="R238" t="e">
        <f ca="1">BDP("840528AK Muni","ISSUER_TYPE")</f>
        <v>#NAME?</v>
      </c>
      <c r="S238" t="e">
        <f ca="1">BDS("840528AK Muni","ESG_PROJECT_CATEGORY", "aggregate=y")</f>
        <v>#NAME?</v>
      </c>
      <c r="T238" t="e">
        <f ca="1">BDS("840528AK Muni","ESG_PROJECT_SUBCATEGORY", "aggregate=y")</f>
        <v>#NAME?</v>
      </c>
    </row>
    <row r="239" spans="1:20" x14ac:dyDescent="0.25">
      <c r="A239" t="e">
        <f ca="1">BDP("840528AL Muni","ID_CUSIP")</f>
        <v>#NAME?</v>
      </c>
      <c r="B239" t="e">
        <f ca="1">BDP("840528AL Muni","STATE_CODE")</f>
        <v>#NAME?</v>
      </c>
      <c r="C239" t="s">
        <v>29</v>
      </c>
      <c r="D239" t="e">
        <f ca="1">BDP("840528AL Muni","YIELD_ON_ISSUE_DATE")</f>
        <v>#NAME?</v>
      </c>
      <c r="E239">
        <v>560000</v>
      </c>
      <c r="F239" t="e">
        <f ca="1">BDP("840528AL Muni","ISSUE_DT")</f>
        <v>#NAME?</v>
      </c>
      <c r="G239" t="e">
        <f ca="1">BDP("840528AL Muni","MATURITY")</f>
        <v>#NAME?</v>
      </c>
      <c r="H239" t="e">
        <f ca="1">BDP("840528AL Muni","MUNI_TAX_PROV")</f>
        <v>#NAME?</v>
      </c>
      <c r="I239" t="e">
        <f ca="1">BDP("840528AL Muni","FINANCING_TYPE")</f>
        <v>#NAME?</v>
      </c>
      <c r="J239" t="e">
        <f ca="1">BDP("840528AL Muni","BICS_LEVEL_2_INDUSTRY_GROUP_NAME")</f>
        <v>#NAME?</v>
      </c>
      <c r="K239" t="e">
        <f ca="1">BDP("840528AL Muni","SELF_REPRTD_GREEN_INSTR_INDCTR")</f>
        <v>#NAME?</v>
      </c>
      <c r="L239" t="e">
        <f ca="1">BDP("840528AL Muni","GB_MANAGEMENT_PROCEEDS")</f>
        <v>#NAME?</v>
      </c>
      <c r="M239" t="e">
        <f ca="1">BDP("840528AL Muni","GB_REPORTING")</f>
        <v>#NAME?</v>
      </c>
      <c r="N239" t="e">
        <f ca="1">BDP("840528AL Muni","GB_ASSURANCE_PROVIDERS")</f>
        <v>#NAME?</v>
      </c>
      <c r="O239" t="e">
        <f ca="1">BDP("840528AL Muni","GB_PROJECT_SELECTION_PROCESS")</f>
        <v>#NAME?</v>
      </c>
      <c r="P239" t="e">
        <f ca="1">BDP("840528AL Muni","ESG_FRAMEWORK_INDICATOR")</f>
        <v>#NAME?</v>
      </c>
      <c r="Q239" t="e">
        <f ca="1">BDP("840528AL Muni","BLOOMBERG_SECTOR_CODE")</f>
        <v>#NAME?</v>
      </c>
      <c r="R239" t="e">
        <f ca="1">BDP("840528AL Muni","ISSUER_TYPE")</f>
        <v>#NAME?</v>
      </c>
      <c r="S239" t="e">
        <f ca="1">BDS("840528AL Muni","ESG_PROJECT_CATEGORY", "aggregate=y")</f>
        <v>#NAME?</v>
      </c>
      <c r="T239" t="e">
        <f ca="1">BDS("840528AL Muni","ESG_PROJECT_SUBCATEGORY", "aggregate=y")</f>
        <v>#NAME?</v>
      </c>
    </row>
    <row r="240" spans="1:20" x14ac:dyDescent="0.25">
      <c r="A240" t="e">
        <f ca="1">BDP("13034A7E Muni","ID_CUSIP")</f>
        <v>#NAME?</v>
      </c>
      <c r="B240" t="e">
        <f ca="1">BDP("13034A7E Muni","STATE_CODE")</f>
        <v>#NAME?</v>
      </c>
      <c r="C240" t="s">
        <v>27</v>
      </c>
      <c r="D240" t="e">
        <f ca="1">BDP("13034A7E Muni","YIELD_ON_ISSUE_DATE")</f>
        <v>#NAME?</v>
      </c>
      <c r="E240">
        <v>1368444000</v>
      </c>
      <c r="F240" t="e">
        <f ca="1">BDP("13034A7E Muni","ISSUE_DT")</f>
        <v>#NAME?</v>
      </c>
      <c r="G240" t="e">
        <f ca="1">BDP("13034A7E Muni","MATURITY")</f>
        <v>#NAME?</v>
      </c>
      <c r="H240" t="e">
        <f ca="1">BDP("13034A7E Muni","MUNI_TAX_PROV")</f>
        <v>#NAME?</v>
      </c>
      <c r="I240" t="e">
        <f ca="1">BDP("13034A7E Muni","FINANCING_TYPE")</f>
        <v>#NAME?</v>
      </c>
      <c r="J240" t="e">
        <f ca="1">BDP("13034A7E Muni","BICS_LEVEL_2_INDUSTRY_GROUP_NAME")</f>
        <v>#NAME?</v>
      </c>
      <c r="K240" t="e">
        <f ca="1">BDP("13034A7E Muni","SELF_REPRTD_GREEN_INSTR_INDCTR")</f>
        <v>#NAME?</v>
      </c>
      <c r="L240" t="e">
        <f ca="1">BDP("13034A7E Muni","GB_MANAGEMENT_PROCEEDS")</f>
        <v>#NAME?</v>
      </c>
      <c r="M240" t="e">
        <f ca="1">BDP("13034A7E Muni","GB_REPORTING")</f>
        <v>#NAME?</v>
      </c>
      <c r="N240" t="e">
        <f ca="1">BDP("13034A7E Muni","GB_ASSURANCE_PROVIDERS")</f>
        <v>#NAME?</v>
      </c>
      <c r="O240" t="e">
        <f ca="1">BDP("13034A7E Muni","GB_PROJECT_SELECTION_PROCESS")</f>
        <v>#NAME?</v>
      </c>
      <c r="P240" t="e">
        <f ca="1">BDP("13034A7E Muni","ESG_FRAMEWORK_INDICATOR")</f>
        <v>#NAME?</v>
      </c>
      <c r="Q240" t="e">
        <f ca="1">BDP("13034A7E Muni","BLOOMBERG_SECTOR_CODE")</f>
        <v>#NAME?</v>
      </c>
      <c r="R240" t="e">
        <f ca="1">BDP("13034A7E Muni","ISSUER_TYPE")</f>
        <v>#NAME?</v>
      </c>
      <c r="S240" t="e">
        <f ca="1">BDS("13034A7E Muni","ESG_PROJECT_CATEGORY", "aggregate=y")</f>
        <v>#NAME?</v>
      </c>
      <c r="T240" t="e">
        <f ca="1">BDS("13034A7E Muni","ESG_PROJECT_SUBCATEGORY", "aggregate=y")</f>
        <v>#NAME?</v>
      </c>
    </row>
    <row r="241" spans="1:20" x14ac:dyDescent="0.25">
      <c r="A241" t="e">
        <f ca="1">BDP("13034A6B Muni","ID_CUSIP")</f>
        <v>#NAME?</v>
      </c>
      <c r="B241" t="e">
        <f ca="1">BDP("13034A6B Muni","STATE_CODE")</f>
        <v>#NAME?</v>
      </c>
      <c r="C241" t="s">
        <v>27</v>
      </c>
      <c r="D241" t="e">
        <f ca="1">BDP("13034A6B Muni","YIELD_ON_ISSUE_DATE")</f>
        <v>#NAME?</v>
      </c>
      <c r="E241">
        <v>1855000</v>
      </c>
      <c r="F241" t="e">
        <f ca="1">BDP("13034A6B Muni","ISSUE_DT")</f>
        <v>#NAME?</v>
      </c>
      <c r="G241" t="e">
        <f ca="1">BDP("13034A6B Muni","MATURITY")</f>
        <v>#NAME?</v>
      </c>
      <c r="H241" t="e">
        <f ca="1">BDP("13034A6B Muni","MUNI_TAX_PROV")</f>
        <v>#NAME?</v>
      </c>
      <c r="I241" t="e">
        <f ca="1">BDP("13034A6B Muni","FINANCING_TYPE")</f>
        <v>#NAME?</v>
      </c>
      <c r="J241" t="e">
        <f ca="1">BDP("13034A6B Muni","BICS_LEVEL_2_INDUSTRY_GROUP_NAME")</f>
        <v>#NAME?</v>
      </c>
      <c r="K241" t="e">
        <f ca="1">BDP("13034A6B Muni","SELF_REPRTD_GREEN_INSTR_INDCTR")</f>
        <v>#NAME?</v>
      </c>
      <c r="L241" t="e">
        <f ca="1">BDP("13034A6B Muni","GB_MANAGEMENT_PROCEEDS")</f>
        <v>#NAME?</v>
      </c>
      <c r="M241" t="e">
        <f ca="1">BDP("13034A6B Muni","GB_REPORTING")</f>
        <v>#NAME?</v>
      </c>
      <c r="N241" t="e">
        <f ca="1">BDP("13034A6B Muni","GB_ASSURANCE_PROVIDERS")</f>
        <v>#NAME?</v>
      </c>
      <c r="O241" t="e">
        <f ca="1">BDP("13034A6B Muni","GB_PROJECT_SELECTION_PROCESS")</f>
        <v>#NAME?</v>
      </c>
      <c r="P241" t="e">
        <f ca="1">BDP("13034A6B Muni","ESG_FRAMEWORK_INDICATOR")</f>
        <v>#NAME?</v>
      </c>
      <c r="Q241" t="e">
        <f ca="1">BDP("13034A6B Muni","BLOOMBERG_SECTOR_CODE")</f>
        <v>#NAME?</v>
      </c>
      <c r="R241" t="e">
        <f ca="1">BDP("13034A6B Muni","ISSUER_TYPE")</f>
        <v>#NAME?</v>
      </c>
      <c r="S241" t="e">
        <f ca="1">BDS("13034A6B Muni","ESG_PROJECT_CATEGORY", "aggregate=y")</f>
        <v>#NAME?</v>
      </c>
      <c r="T241" t="e">
        <f ca="1">BDS("13034A6B Muni","ESG_PROJECT_SUBCATEGORY", "aggregate=y")</f>
        <v>#NAME?</v>
      </c>
    </row>
    <row r="242" spans="1:20" x14ac:dyDescent="0.25">
      <c r="A242" t="e">
        <f ca="1">BDP("13013JGF Muni","ID_CUSIP")</f>
        <v>#NAME?</v>
      </c>
      <c r="B242" t="e">
        <f ca="1">BDP("13013JGF Muni","STATE_CODE")</f>
        <v>#NAME?</v>
      </c>
      <c r="C242" t="s">
        <v>30</v>
      </c>
      <c r="D242" t="e">
        <f ca="1">BDP("13013JGF Muni","YIELD_ON_ISSUE_DATE")</f>
        <v>#NAME?</v>
      </c>
      <c r="E242">
        <v>1021915000</v>
      </c>
      <c r="F242" t="e">
        <f ca="1">BDP("13013JGF Muni","ISSUE_DT")</f>
        <v>#NAME?</v>
      </c>
      <c r="G242" t="e">
        <f ca="1">BDP("13013JGF Muni","MATURITY")</f>
        <v>#NAME?</v>
      </c>
      <c r="H242" t="e">
        <f ca="1">BDP("13013JGF Muni","MUNI_TAX_PROV")</f>
        <v>#NAME?</v>
      </c>
      <c r="I242" t="e">
        <f ca="1">BDP("13013JGF Muni","FINANCING_TYPE")</f>
        <v>#NAME?</v>
      </c>
      <c r="J242" t="e">
        <f ca="1">BDP("13013JGF Muni","BICS_LEVEL_2_INDUSTRY_GROUP_NAME")</f>
        <v>#NAME?</v>
      </c>
      <c r="K242" t="e">
        <f ca="1">BDP("13013JGF Muni","SELF_REPRTD_GREEN_INSTR_INDCTR")</f>
        <v>#NAME?</v>
      </c>
      <c r="L242" t="e">
        <f ca="1">BDP("13013JGF Muni","GB_MANAGEMENT_PROCEEDS")</f>
        <v>#NAME?</v>
      </c>
      <c r="M242" t="e">
        <f ca="1">BDP("13013JGF Muni","GB_REPORTING")</f>
        <v>#NAME?</v>
      </c>
      <c r="N242" t="e">
        <f ca="1">BDP("13013JGF Muni","GB_ASSURANCE_PROVIDERS")</f>
        <v>#NAME?</v>
      </c>
      <c r="O242" t="e">
        <f ca="1">BDP("13013JGF Muni","GB_PROJECT_SELECTION_PROCESS")</f>
        <v>#NAME?</v>
      </c>
      <c r="P242" t="e">
        <f ca="1">BDP("13013JGF Muni","ESG_FRAMEWORK_INDICATOR")</f>
        <v>#NAME?</v>
      </c>
      <c r="Q242" t="e">
        <f ca="1">BDP("13013JGF Muni","BLOOMBERG_SECTOR_CODE")</f>
        <v>#NAME?</v>
      </c>
      <c r="R242" t="e">
        <f ca="1">BDP("13013JGF Muni","ISSUER_TYPE")</f>
        <v>#NAME?</v>
      </c>
      <c r="S242" t="e">
        <f ca="1">BDS("13013JGF Muni","ESG_PROJECT_CATEGORY", "aggregate=y")</f>
        <v>#NAME?</v>
      </c>
      <c r="T242" t="e">
        <f ca="1">BDS("13013JGF Muni","ESG_PROJECT_SUBCATEGORY", "aggregate=y")</f>
        <v>#NAME?</v>
      </c>
    </row>
    <row r="243" spans="1:20" x14ac:dyDescent="0.25">
      <c r="A243" t="e">
        <f ca="1">BDP("13013JHJ Muni","ID_CUSIP")</f>
        <v>#NAME?</v>
      </c>
      <c r="B243" t="e">
        <f ca="1">BDP("13013JHJ Muni","STATE_CODE")</f>
        <v>#NAME?</v>
      </c>
      <c r="C243" t="s">
        <v>30</v>
      </c>
      <c r="D243" t="e">
        <f ca="1">BDP("13013JHJ Muni","YIELD_ON_ISSUE_DATE")</f>
        <v>#NAME?</v>
      </c>
      <c r="E243">
        <v>1035235000</v>
      </c>
      <c r="F243" t="e">
        <f ca="1">BDP("13013JHJ Muni","ISSUE_DT")</f>
        <v>#NAME?</v>
      </c>
      <c r="G243" t="e">
        <f ca="1">BDP("13013JHJ Muni","MATURITY")</f>
        <v>#NAME?</v>
      </c>
      <c r="H243" t="e">
        <f ca="1">BDP("13013JHJ Muni","MUNI_TAX_PROV")</f>
        <v>#NAME?</v>
      </c>
      <c r="I243" t="e">
        <f ca="1">BDP("13013JHJ Muni","FINANCING_TYPE")</f>
        <v>#NAME?</v>
      </c>
      <c r="J243" t="e">
        <f ca="1">BDP("13013JHJ Muni","BICS_LEVEL_2_INDUSTRY_GROUP_NAME")</f>
        <v>#NAME?</v>
      </c>
      <c r="K243" t="e">
        <f ca="1">BDP("13013JHJ Muni","SELF_REPRTD_GREEN_INSTR_INDCTR")</f>
        <v>#NAME?</v>
      </c>
      <c r="L243" t="e">
        <f ca="1">BDP("13013JHJ Muni","GB_MANAGEMENT_PROCEEDS")</f>
        <v>#NAME?</v>
      </c>
      <c r="M243" t="e">
        <f ca="1">BDP("13013JHJ Muni","GB_REPORTING")</f>
        <v>#NAME?</v>
      </c>
      <c r="N243" t="e">
        <f ca="1">BDP("13013JHJ Muni","GB_ASSURANCE_PROVIDERS")</f>
        <v>#NAME?</v>
      </c>
      <c r="O243" t="e">
        <f ca="1">BDP("13013JHJ Muni","GB_PROJECT_SELECTION_PROCESS")</f>
        <v>#NAME?</v>
      </c>
      <c r="P243" t="e">
        <f ca="1">BDP("13013JHJ Muni","ESG_FRAMEWORK_INDICATOR")</f>
        <v>#NAME?</v>
      </c>
      <c r="Q243" t="e">
        <f ca="1">BDP("13013JHJ Muni","BLOOMBERG_SECTOR_CODE")</f>
        <v>#NAME?</v>
      </c>
      <c r="R243" t="e">
        <f ca="1">BDP("13013JHJ Muni","ISSUER_TYPE")</f>
        <v>#NAME?</v>
      </c>
      <c r="S243" t="e">
        <f ca="1">BDS("13013JHJ Muni","ESG_PROJECT_CATEGORY", "aggregate=y")</f>
        <v>#NAME?</v>
      </c>
      <c r="T243" t="e">
        <f ca="1">BDS("13013JHJ Muni","ESG_PROJECT_SUBCATEGORY", "aggregate=y")</f>
        <v>#NAME?</v>
      </c>
    </row>
    <row r="244" spans="1:20" x14ac:dyDescent="0.25">
      <c r="A244" t="e">
        <f ca="1">BDP("13013JFX Muni","ID_CUSIP")</f>
        <v>#NAME?</v>
      </c>
      <c r="B244" t="e">
        <f ca="1">BDP("13013JFX Muni","STATE_CODE")</f>
        <v>#NAME?</v>
      </c>
      <c r="C244" t="s">
        <v>30</v>
      </c>
      <c r="D244" t="e">
        <f ca="1">BDP("13013JFX Muni","YIELD_ON_ISSUE_DATE")</f>
        <v>#NAME?</v>
      </c>
      <c r="E244">
        <v>493345000</v>
      </c>
      <c r="F244" t="e">
        <f ca="1">BDP("13013JFX Muni","ISSUE_DT")</f>
        <v>#NAME?</v>
      </c>
      <c r="G244" t="e">
        <f ca="1">BDP("13013JFX Muni","MATURITY")</f>
        <v>#NAME?</v>
      </c>
      <c r="H244" t="e">
        <f ca="1">BDP("13013JFX Muni","MUNI_TAX_PROV")</f>
        <v>#NAME?</v>
      </c>
      <c r="I244" t="e">
        <f ca="1">BDP("13013JFX Muni","FINANCING_TYPE")</f>
        <v>#NAME?</v>
      </c>
      <c r="J244" t="e">
        <f ca="1">BDP("13013JFX Muni","BICS_LEVEL_2_INDUSTRY_GROUP_NAME")</f>
        <v>#NAME?</v>
      </c>
      <c r="K244" t="e">
        <f ca="1">BDP("13013JFX Muni","SELF_REPRTD_GREEN_INSTR_INDCTR")</f>
        <v>#NAME?</v>
      </c>
      <c r="L244" t="e">
        <f ca="1">BDP("13013JFX Muni","GB_MANAGEMENT_PROCEEDS")</f>
        <v>#NAME?</v>
      </c>
      <c r="M244" t="e">
        <f ca="1">BDP("13013JFX Muni","GB_REPORTING")</f>
        <v>#NAME?</v>
      </c>
      <c r="N244" t="e">
        <f ca="1">BDP("13013JFX Muni","GB_ASSURANCE_PROVIDERS")</f>
        <v>#NAME?</v>
      </c>
      <c r="O244" t="e">
        <f ca="1">BDP("13013JFX Muni","GB_PROJECT_SELECTION_PROCESS")</f>
        <v>#NAME?</v>
      </c>
      <c r="P244" t="e">
        <f ca="1">BDP("13013JFX Muni","ESG_FRAMEWORK_INDICATOR")</f>
        <v>#NAME?</v>
      </c>
      <c r="Q244" t="e">
        <f ca="1">BDP("13013JFX Muni","BLOOMBERG_SECTOR_CODE")</f>
        <v>#NAME?</v>
      </c>
      <c r="R244" t="e">
        <f ca="1">BDP("13013JFX Muni","ISSUER_TYPE")</f>
        <v>#NAME?</v>
      </c>
      <c r="S244" t="e">
        <f ca="1">BDS("13013JFX Muni","ESG_PROJECT_CATEGORY", "aggregate=y")</f>
        <v>#NAME?</v>
      </c>
      <c r="T244" t="e">
        <f ca="1">BDS("13013JFX Muni","ESG_PROJECT_SUBCATEGORY", "aggregate=y")</f>
        <v>#NAME?</v>
      </c>
    </row>
    <row r="245" spans="1:20" x14ac:dyDescent="0.25">
      <c r="A245" t="e">
        <f ca="1">BDP("13013JGR Muni","ID_CUSIP")</f>
        <v>#NAME?</v>
      </c>
      <c r="B245" t="e">
        <f ca="1">BDP("13013JGR Muni","STATE_CODE")</f>
        <v>#NAME?</v>
      </c>
      <c r="C245" t="s">
        <v>30</v>
      </c>
      <c r="D245" t="e">
        <f ca="1">BDP("13013JGR Muni","YIELD_ON_ISSUE_DATE")</f>
        <v>#NAME?</v>
      </c>
      <c r="E245">
        <v>931705000</v>
      </c>
      <c r="F245" t="e">
        <f ca="1">BDP("13013JGR Muni","ISSUE_DT")</f>
        <v>#NAME?</v>
      </c>
      <c r="G245" t="e">
        <f ca="1">BDP("13013JGR Muni","MATURITY")</f>
        <v>#NAME?</v>
      </c>
      <c r="H245" t="e">
        <f ca="1">BDP("13013JGR Muni","MUNI_TAX_PROV")</f>
        <v>#NAME?</v>
      </c>
      <c r="I245" t="e">
        <f ca="1">BDP("13013JGR Muni","FINANCING_TYPE")</f>
        <v>#NAME?</v>
      </c>
      <c r="J245" t="e">
        <f ca="1">BDP("13013JGR Muni","BICS_LEVEL_2_INDUSTRY_GROUP_NAME")</f>
        <v>#NAME?</v>
      </c>
      <c r="K245" t="e">
        <f ca="1">BDP("13013JGR Muni","SELF_REPRTD_GREEN_INSTR_INDCTR")</f>
        <v>#NAME?</v>
      </c>
      <c r="L245" t="e">
        <f ca="1">BDP("13013JGR Muni","GB_MANAGEMENT_PROCEEDS")</f>
        <v>#NAME?</v>
      </c>
      <c r="M245" t="e">
        <f ca="1">BDP("13013JGR Muni","GB_REPORTING")</f>
        <v>#NAME?</v>
      </c>
      <c r="N245" t="e">
        <f ca="1">BDP("13013JGR Muni","GB_ASSURANCE_PROVIDERS")</f>
        <v>#NAME?</v>
      </c>
      <c r="O245" t="e">
        <f ca="1">BDP("13013JGR Muni","GB_PROJECT_SELECTION_PROCESS")</f>
        <v>#NAME?</v>
      </c>
      <c r="P245" t="e">
        <f ca="1">BDP("13013JGR Muni","ESG_FRAMEWORK_INDICATOR")</f>
        <v>#NAME?</v>
      </c>
      <c r="Q245" t="e">
        <f ca="1">BDP("13013JGR Muni","BLOOMBERG_SECTOR_CODE")</f>
        <v>#NAME?</v>
      </c>
      <c r="R245" t="e">
        <f ca="1">BDP("13013JGR Muni","ISSUER_TYPE")</f>
        <v>#NAME?</v>
      </c>
      <c r="S245" t="e">
        <f ca="1">BDS("13013JGR Muni","ESG_PROJECT_CATEGORY", "aggregate=y")</f>
        <v>#NAME?</v>
      </c>
      <c r="T245" t="e">
        <f ca="1">BDS("13013JGR Muni","ESG_PROJECT_SUBCATEGORY", "aggregate=y")</f>
        <v>#NAME?</v>
      </c>
    </row>
    <row r="246" spans="1:20" x14ac:dyDescent="0.25">
      <c r="A246" t="e">
        <f ca="1">BDP("5444456K Muni","ID_CUSIP")</f>
        <v>#NAME?</v>
      </c>
      <c r="B246" t="e">
        <f ca="1">BDP("5444456K Muni","STATE_CODE")</f>
        <v>#NAME?</v>
      </c>
      <c r="C246" t="s">
        <v>34</v>
      </c>
      <c r="D246" t="e">
        <f ca="1">BDP("5444456K Muni","YIELD_ON_ISSUE_DATE")</f>
        <v>#NAME?</v>
      </c>
      <c r="E246">
        <v>188255000</v>
      </c>
      <c r="F246" t="e">
        <f ca="1">BDP("5444456K Muni","ISSUE_DT")</f>
        <v>#NAME?</v>
      </c>
      <c r="G246" t="e">
        <f ca="1">BDP("5444456K Muni","MATURITY")</f>
        <v>#NAME?</v>
      </c>
      <c r="H246" t="e">
        <f ca="1">BDP("5444456K Muni","MUNI_TAX_PROV")</f>
        <v>#NAME?</v>
      </c>
      <c r="I246" t="e">
        <f ca="1">BDP("5444456K Muni","FINANCING_TYPE")</f>
        <v>#NAME?</v>
      </c>
      <c r="J246" t="e">
        <f ca="1">BDP("5444456K Muni","BICS_LEVEL_2_INDUSTRY_GROUP_NAME")</f>
        <v>#NAME?</v>
      </c>
      <c r="K246" t="e">
        <f ca="1">BDP("5444456K Muni","SELF_REPRTD_GREEN_INSTR_INDCTR")</f>
        <v>#NAME?</v>
      </c>
      <c r="L246" t="e">
        <f ca="1">BDP("5444456K Muni","GB_MANAGEMENT_PROCEEDS")</f>
        <v>#NAME?</v>
      </c>
      <c r="M246" t="e">
        <f ca="1">BDP("5444456K Muni","GB_REPORTING")</f>
        <v>#NAME?</v>
      </c>
      <c r="N246" t="e">
        <f ca="1">BDP("5444456K Muni","GB_ASSURANCE_PROVIDERS")</f>
        <v>#NAME?</v>
      </c>
      <c r="O246" t="e">
        <f ca="1">BDP("5444456K Muni","GB_PROJECT_SELECTION_PROCESS")</f>
        <v>#NAME?</v>
      </c>
      <c r="P246" t="e">
        <f ca="1">BDP("5444456K Muni","ESG_FRAMEWORK_INDICATOR")</f>
        <v>#NAME?</v>
      </c>
      <c r="Q246" t="e">
        <f ca="1">BDP("5444456K Muni","BLOOMBERG_SECTOR_CODE")</f>
        <v>#NAME?</v>
      </c>
      <c r="R246" t="e">
        <f ca="1">BDP("5444456K Muni","ISSUER_TYPE")</f>
        <v>#NAME?</v>
      </c>
      <c r="S246" t="e">
        <f ca="1">BDS("5444456K Muni","ESG_PROJECT_CATEGORY", "aggregate=y")</f>
        <v>#NAME?</v>
      </c>
      <c r="T246" t="e">
        <f ca="1">BDS("5444456K Muni","ESG_PROJECT_SUBCATEGORY", "aggregate=y")</f>
        <v>#NAME?</v>
      </c>
    </row>
    <row r="247" spans="1:20" x14ac:dyDescent="0.25">
      <c r="A247" t="e">
        <f ca="1">BDP("13013JHG Muni","ID_CUSIP")</f>
        <v>#NAME?</v>
      </c>
      <c r="B247" t="e">
        <f ca="1">BDP("13013JHG Muni","STATE_CODE")</f>
        <v>#NAME?</v>
      </c>
      <c r="C247" t="s">
        <v>30</v>
      </c>
      <c r="D247" t="e">
        <f ca="1">BDP("13013JHG Muni","YIELD_ON_ISSUE_DATE")</f>
        <v>#NAME?</v>
      </c>
      <c r="E247">
        <v>959305000</v>
      </c>
      <c r="F247" t="e">
        <f ca="1">BDP("13013JHG Muni","ISSUE_DT")</f>
        <v>#NAME?</v>
      </c>
      <c r="G247" t="e">
        <f ca="1">BDP("13013JHG Muni","MATURITY")</f>
        <v>#NAME?</v>
      </c>
      <c r="H247" t="e">
        <f ca="1">BDP("13013JHG Muni","MUNI_TAX_PROV")</f>
        <v>#NAME?</v>
      </c>
      <c r="I247" t="e">
        <f ca="1">BDP("13013JHG Muni","FINANCING_TYPE")</f>
        <v>#NAME?</v>
      </c>
      <c r="J247" t="e">
        <f ca="1">BDP("13013JHG Muni","BICS_LEVEL_2_INDUSTRY_GROUP_NAME")</f>
        <v>#NAME?</v>
      </c>
      <c r="K247" t="e">
        <f ca="1">BDP("13013JHG Muni","SELF_REPRTD_GREEN_INSTR_INDCTR")</f>
        <v>#NAME?</v>
      </c>
      <c r="L247" t="e">
        <f ca="1">BDP("13013JHG Muni","GB_MANAGEMENT_PROCEEDS")</f>
        <v>#NAME?</v>
      </c>
      <c r="M247" t="e">
        <f ca="1">BDP("13013JHG Muni","GB_REPORTING")</f>
        <v>#NAME?</v>
      </c>
      <c r="N247" t="e">
        <f ca="1">BDP("13013JHG Muni","GB_ASSURANCE_PROVIDERS")</f>
        <v>#NAME?</v>
      </c>
      <c r="O247" t="e">
        <f ca="1">BDP("13013JHG Muni","GB_PROJECT_SELECTION_PROCESS")</f>
        <v>#NAME?</v>
      </c>
      <c r="P247" t="e">
        <f ca="1">BDP("13013JHG Muni","ESG_FRAMEWORK_INDICATOR")</f>
        <v>#NAME?</v>
      </c>
      <c r="Q247" t="e">
        <f ca="1">BDP("13013JHG Muni","BLOOMBERG_SECTOR_CODE")</f>
        <v>#NAME?</v>
      </c>
      <c r="R247" t="e">
        <f ca="1">BDP("13013JHG Muni","ISSUER_TYPE")</f>
        <v>#NAME?</v>
      </c>
      <c r="S247" t="e">
        <f ca="1">BDS("13013JHG Muni","ESG_PROJECT_CATEGORY", "aggregate=y")</f>
        <v>#NAME?</v>
      </c>
      <c r="T247" t="e">
        <f ca="1">BDS("13013JHG Muni","ESG_PROJECT_SUBCATEGORY", "aggregate=y")</f>
        <v>#NAME?</v>
      </c>
    </row>
    <row r="248" spans="1:20" x14ac:dyDescent="0.25">
      <c r="A248" t="e">
        <f ca="1">BDP("5444453C Muni","ID_CUSIP")</f>
        <v>#NAME?</v>
      </c>
      <c r="B248" t="e">
        <f ca="1">BDP("5444453C Muni","STATE_CODE")</f>
        <v>#NAME?</v>
      </c>
      <c r="C248" t="s">
        <v>34</v>
      </c>
      <c r="D248" t="e">
        <f ca="1">BDP("5444453C Muni","YIELD_ON_ISSUE_DATE")</f>
        <v>#NAME?</v>
      </c>
      <c r="E248">
        <v>149750000</v>
      </c>
      <c r="F248" t="e">
        <f ca="1">BDP("5444453C Muni","ISSUE_DT")</f>
        <v>#NAME?</v>
      </c>
      <c r="G248" t="e">
        <f ca="1">BDP("5444453C Muni","MATURITY")</f>
        <v>#NAME?</v>
      </c>
      <c r="H248" t="e">
        <f ca="1">BDP("5444453C Muni","MUNI_TAX_PROV")</f>
        <v>#NAME?</v>
      </c>
      <c r="I248" t="e">
        <f ca="1">BDP("5444453C Muni","FINANCING_TYPE")</f>
        <v>#NAME?</v>
      </c>
      <c r="J248" t="e">
        <f ca="1">BDP("5444453C Muni","BICS_LEVEL_2_INDUSTRY_GROUP_NAME")</f>
        <v>#NAME?</v>
      </c>
      <c r="K248" t="e">
        <f ca="1">BDP("5444453C Muni","SELF_REPRTD_GREEN_INSTR_INDCTR")</f>
        <v>#NAME?</v>
      </c>
      <c r="L248" t="e">
        <f ca="1">BDP("5444453C Muni","GB_MANAGEMENT_PROCEEDS")</f>
        <v>#NAME?</v>
      </c>
      <c r="M248" t="e">
        <f ca="1">BDP("5444453C Muni","GB_REPORTING")</f>
        <v>#NAME?</v>
      </c>
      <c r="N248" t="e">
        <f ca="1">BDP("5444453C Muni","GB_ASSURANCE_PROVIDERS")</f>
        <v>#NAME?</v>
      </c>
      <c r="O248" t="e">
        <f ca="1">BDP("5444453C Muni","GB_PROJECT_SELECTION_PROCESS")</f>
        <v>#NAME?</v>
      </c>
      <c r="P248" t="e">
        <f ca="1">BDP("5444453C Muni","ESG_FRAMEWORK_INDICATOR")</f>
        <v>#NAME?</v>
      </c>
      <c r="Q248" t="e">
        <f ca="1">BDP("5444453C Muni","BLOOMBERG_SECTOR_CODE")</f>
        <v>#NAME?</v>
      </c>
      <c r="R248" t="e">
        <f ca="1">BDP("5444453C Muni","ISSUER_TYPE")</f>
        <v>#NAME?</v>
      </c>
      <c r="S248" t="e">
        <f ca="1">BDS("5444453C Muni","ESG_PROJECT_CATEGORY", "aggregate=y")</f>
        <v>#NAME?</v>
      </c>
      <c r="T248" t="e">
        <f ca="1">BDS("5444453C Muni","ESG_PROJECT_SUBCATEGORY", "aggregate=y")</f>
        <v>#NAME?</v>
      </c>
    </row>
    <row r="249" spans="1:20" x14ac:dyDescent="0.25">
      <c r="A249" t="e">
        <f ca="1">BDP("959215GR Muni","ID_CUSIP")</f>
        <v>#NAME?</v>
      </c>
      <c r="B249" t="e">
        <f ca="1">BDP("959215GR Muni","STATE_CODE")</f>
        <v>#NAME?</v>
      </c>
      <c r="C249" t="s">
        <v>26</v>
      </c>
      <c r="D249" t="e">
        <f ca="1">BDP("959215GR Muni","YIELD_ON_ISSUE_DATE")</f>
        <v>#NAME?</v>
      </c>
      <c r="E249">
        <v>8705000</v>
      </c>
      <c r="F249" t="e">
        <f ca="1">BDP("959215GR Muni","ISSUE_DT")</f>
        <v>#NAME?</v>
      </c>
      <c r="G249" t="e">
        <f ca="1">BDP("959215GR Muni","MATURITY")</f>
        <v>#NAME?</v>
      </c>
      <c r="H249" t="e">
        <f ca="1">BDP("959215GR Muni","MUNI_TAX_PROV")</f>
        <v>#NAME?</v>
      </c>
      <c r="I249" t="e">
        <f ca="1">BDP("959215GR Muni","FINANCING_TYPE")</f>
        <v>#NAME?</v>
      </c>
      <c r="J249" t="e">
        <f ca="1">BDP("959215GR Muni","BICS_LEVEL_2_INDUSTRY_GROUP_NAME")</f>
        <v>#NAME?</v>
      </c>
      <c r="K249" t="e">
        <f ca="1">BDP("959215GR Muni","SELF_REPRTD_GREEN_INSTR_INDCTR")</f>
        <v>#NAME?</v>
      </c>
      <c r="L249" t="e">
        <f ca="1">BDP("959215GR Muni","GB_MANAGEMENT_PROCEEDS")</f>
        <v>#NAME?</v>
      </c>
      <c r="M249" t="e">
        <f ca="1">BDP("959215GR Muni","GB_REPORTING")</f>
        <v>#NAME?</v>
      </c>
      <c r="N249" t="e">
        <f ca="1">BDP("959215GR Muni","GB_ASSURANCE_PROVIDERS")</f>
        <v>#NAME?</v>
      </c>
      <c r="O249" t="e">
        <f ca="1">BDP("959215GR Muni","GB_PROJECT_SELECTION_PROCESS")</f>
        <v>#NAME?</v>
      </c>
      <c r="P249" t="e">
        <f ca="1">BDP("959215GR Muni","ESG_FRAMEWORK_INDICATOR")</f>
        <v>#NAME?</v>
      </c>
      <c r="Q249" t="e">
        <f ca="1">BDP("959215GR Muni","BLOOMBERG_SECTOR_CODE")</f>
        <v>#NAME?</v>
      </c>
      <c r="R249" t="e">
        <f ca="1">BDP("959215GR Muni","ISSUER_TYPE")</f>
        <v>#NAME?</v>
      </c>
      <c r="S249" t="e">
        <f ca="1">BDS("959215GR Muni","ESG_PROJECT_CATEGORY", "aggregate=y")</f>
        <v>#NAME?</v>
      </c>
      <c r="T249" t="e">
        <f ca="1">BDS("959215GR Muni","ESG_PROJECT_SUBCATEGORY", "aggregate=y")</f>
        <v>#NAME?</v>
      </c>
    </row>
    <row r="250" spans="1:20" x14ac:dyDescent="0.25">
      <c r="A250" t="e">
        <f ca="1">BDP("13034A7Y Muni","ID_CUSIP")</f>
        <v>#NAME?</v>
      </c>
      <c r="B250" t="e">
        <f ca="1">BDP("13034A7Y Muni","STATE_CODE")</f>
        <v>#NAME?</v>
      </c>
      <c r="C250" t="s">
        <v>27</v>
      </c>
      <c r="D250" t="e">
        <f ca="1">BDP("13034A7Y Muni","YIELD_ON_ISSUE_DATE")</f>
        <v>#NAME?</v>
      </c>
      <c r="E250">
        <v>26050000</v>
      </c>
      <c r="F250" t="e">
        <f ca="1">BDP("13034A7Y Muni","ISSUE_DT")</f>
        <v>#NAME?</v>
      </c>
      <c r="G250" t="e">
        <f ca="1">BDP("13034A7Y Muni","MATURITY")</f>
        <v>#NAME?</v>
      </c>
      <c r="H250" t="e">
        <f ca="1">BDP("13034A7Y Muni","MUNI_TAX_PROV")</f>
        <v>#NAME?</v>
      </c>
      <c r="I250" t="e">
        <f ca="1">BDP("13034A7Y Muni","FINANCING_TYPE")</f>
        <v>#NAME?</v>
      </c>
      <c r="J250" t="e">
        <f ca="1">BDP("13034A7Y Muni","BICS_LEVEL_2_INDUSTRY_GROUP_NAME")</f>
        <v>#NAME?</v>
      </c>
      <c r="K250" t="e">
        <f ca="1">BDP("13034A7Y Muni","SELF_REPRTD_GREEN_INSTR_INDCTR")</f>
        <v>#NAME?</v>
      </c>
      <c r="L250" t="e">
        <f ca="1">BDP("13034A7Y Muni","GB_MANAGEMENT_PROCEEDS")</f>
        <v>#NAME?</v>
      </c>
      <c r="M250" t="e">
        <f ca="1">BDP("13034A7Y Muni","GB_REPORTING")</f>
        <v>#NAME?</v>
      </c>
      <c r="N250" t="e">
        <f ca="1">BDP("13034A7Y Muni","GB_ASSURANCE_PROVIDERS")</f>
        <v>#NAME?</v>
      </c>
      <c r="O250" t="e">
        <f ca="1">BDP("13034A7Y Muni","GB_PROJECT_SELECTION_PROCESS")</f>
        <v>#NAME?</v>
      </c>
      <c r="P250" t="e">
        <f ca="1">BDP("13034A7Y Muni","ESG_FRAMEWORK_INDICATOR")</f>
        <v>#NAME?</v>
      </c>
      <c r="Q250" t="e">
        <f ca="1">BDP("13034A7Y Muni","BLOOMBERG_SECTOR_CODE")</f>
        <v>#NAME?</v>
      </c>
      <c r="R250" t="e">
        <f ca="1">BDP("13034A7Y Muni","ISSUER_TYPE")</f>
        <v>#NAME?</v>
      </c>
      <c r="S250" t="e">
        <f ca="1">BDS("13034A7Y Muni","ESG_PROJECT_CATEGORY", "aggregate=y")</f>
        <v>#NAME?</v>
      </c>
      <c r="T250" t="e">
        <f ca="1">BDS("13034A7Y Muni","ESG_PROJECT_SUBCATEGORY", "aggregate=y")</f>
        <v>#NAME?</v>
      </c>
    </row>
    <row r="251" spans="1:20" x14ac:dyDescent="0.25">
      <c r="A251" t="e">
        <f ca="1">BDP("5444453D Muni","ID_CUSIP")</f>
        <v>#NAME?</v>
      </c>
      <c r="B251" t="e">
        <f ca="1">BDP("5444453D Muni","STATE_CODE")</f>
        <v>#NAME?</v>
      </c>
      <c r="C251" t="s">
        <v>34</v>
      </c>
      <c r="D251" t="e">
        <f ca="1">BDP("5444453D Muni","YIELD_ON_ISSUE_DATE")</f>
        <v>#NAME?</v>
      </c>
      <c r="E251">
        <v>271120000</v>
      </c>
      <c r="F251" t="e">
        <f ca="1">BDP("5444453D Muni","ISSUE_DT")</f>
        <v>#NAME?</v>
      </c>
      <c r="G251" t="e">
        <f ca="1">BDP("5444453D Muni","MATURITY")</f>
        <v>#NAME?</v>
      </c>
      <c r="H251" t="e">
        <f ca="1">BDP("5444453D Muni","MUNI_TAX_PROV")</f>
        <v>#NAME?</v>
      </c>
      <c r="I251" t="e">
        <f ca="1">BDP("5444453D Muni","FINANCING_TYPE")</f>
        <v>#NAME?</v>
      </c>
      <c r="J251" t="e">
        <f ca="1">BDP("5444453D Muni","BICS_LEVEL_2_INDUSTRY_GROUP_NAME")</f>
        <v>#NAME?</v>
      </c>
      <c r="K251" t="e">
        <f ca="1">BDP("5444453D Muni","SELF_REPRTD_GREEN_INSTR_INDCTR")</f>
        <v>#NAME?</v>
      </c>
      <c r="L251" t="e">
        <f ca="1">BDP("5444453D Muni","GB_MANAGEMENT_PROCEEDS")</f>
        <v>#NAME?</v>
      </c>
      <c r="M251" t="e">
        <f ca="1">BDP("5444453D Muni","GB_REPORTING")</f>
        <v>#NAME?</v>
      </c>
      <c r="N251" t="e">
        <f ca="1">BDP("5444453D Muni","GB_ASSURANCE_PROVIDERS")</f>
        <v>#NAME?</v>
      </c>
      <c r="O251" t="e">
        <f ca="1">BDP("5444453D Muni","GB_PROJECT_SELECTION_PROCESS")</f>
        <v>#NAME?</v>
      </c>
      <c r="P251" t="e">
        <f ca="1">BDP("5444453D Muni","ESG_FRAMEWORK_INDICATOR")</f>
        <v>#NAME?</v>
      </c>
      <c r="Q251" t="e">
        <f ca="1">BDP("5444453D Muni","BLOOMBERG_SECTOR_CODE")</f>
        <v>#NAME?</v>
      </c>
      <c r="R251" t="e">
        <f ca="1">BDP("5444453D Muni","ISSUER_TYPE")</f>
        <v>#NAME?</v>
      </c>
      <c r="S251" t="e">
        <f ca="1">BDS("5444453D Muni","ESG_PROJECT_CATEGORY", "aggregate=y")</f>
        <v>#NAME?</v>
      </c>
      <c r="T251" t="e">
        <f ca="1">BDS("5444453D Muni","ESG_PROJECT_SUBCATEGORY", "aggregate=y")</f>
        <v>#NAME?</v>
      </c>
    </row>
    <row r="252" spans="1:20" x14ac:dyDescent="0.25">
      <c r="A252" t="e">
        <f ca="1">BDP("5444453B Muni","ID_CUSIP")</f>
        <v>#NAME?</v>
      </c>
      <c r="B252" t="e">
        <f ca="1">BDP("5444453B Muni","STATE_CODE")</f>
        <v>#NAME?</v>
      </c>
      <c r="C252" t="s">
        <v>34</v>
      </c>
      <c r="D252" t="e">
        <f ca="1">BDP("5444453B Muni","YIELD_ON_ISSUE_DATE")</f>
        <v>#NAME?</v>
      </c>
      <c r="E252">
        <v>210820000</v>
      </c>
      <c r="F252" t="e">
        <f ca="1">BDP("5444453B Muni","ISSUE_DT")</f>
        <v>#NAME?</v>
      </c>
      <c r="G252" t="e">
        <f ca="1">BDP("5444453B Muni","MATURITY")</f>
        <v>#NAME?</v>
      </c>
      <c r="H252" t="e">
        <f ca="1">BDP("5444453B Muni","MUNI_TAX_PROV")</f>
        <v>#NAME?</v>
      </c>
      <c r="I252" t="e">
        <f ca="1">BDP("5444453B Muni","FINANCING_TYPE")</f>
        <v>#NAME?</v>
      </c>
      <c r="J252" t="e">
        <f ca="1">BDP("5444453B Muni","BICS_LEVEL_2_INDUSTRY_GROUP_NAME")</f>
        <v>#NAME?</v>
      </c>
      <c r="K252" t="e">
        <f ca="1">BDP("5444453B Muni","SELF_REPRTD_GREEN_INSTR_INDCTR")</f>
        <v>#NAME?</v>
      </c>
      <c r="L252" t="e">
        <f ca="1">BDP("5444453B Muni","GB_MANAGEMENT_PROCEEDS")</f>
        <v>#NAME?</v>
      </c>
      <c r="M252" t="e">
        <f ca="1">BDP("5444453B Muni","GB_REPORTING")</f>
        <v>#NAME?</v>
      </c>
      <c r="N252" t="e">
        <f ca="1">BDP("5444453B Muni","GB_ASSURANCE_PROVIDERS")</f>
        <v>#NAME?</v>
      </c>
      <c r="O252" t="e">
        <f ca="1">BDP("5444453B Muni","GB_PROJECT_SELECTION_PROCESS")</f>
        <v>#NAME?</v>
      </c>
      <c r="P252" t="e">
        <f ca="1">BDP("5444453B Muni","ESG_FRAMEWORK_INDICATOR")</f>
        <v>#NAME?</v>
      </c>
      <c r="Q252" t="e">
        <f ca="1">BDP("5444453B Muni","BLOOMBERG_SECTOR_CODE")</f>
        <v>#NAME?</v>
      </c>
      <c r="R252" t="e">
        <f ca="1">BDP("5444453B Muni","ISSUER_TYPE")</f>
        <v>#NAME?</v>
      </c>
      <c r="S252" t="e">
        <f ca="1">BDS("5444453B Muni","ESG_PROJECT_CATEGORY", "aggregate=y")</f>
        <v>#NAME?</v>
      </c>
      <c r="T252" t="e">
        <f ca="1">BDS("5444453B Muni","ESG_PROJECT_SUBCATEGORY", "aggregate=y")</f>
        <v>#NAME?</v>
      </c>
    </row>
    <row r="253" spans="1:20" x14ac:dyDescent="0.25">
      <c r="A253" t="e">
        <f ca="1">BDP("13013JHH Muni","ID_CUSIP")</f>
        <v>#NAME?</v>
      </c>
      <c r="B253" t="e">
        <f ca="1">BDP("13013JHH Muni","STATE_CODE")</f>
        <v>#NAME?</v>
      </c>
      <c r="C253" t="s">
        <v>30</v>
      </c>
      <c r="D253" t="e">
        <f ca="1">BDP("13013JHH Muni","YIELD_ON_ISSUE_DATE")</f>
        <v>#NAME?</v>
      </c>
      <c r="E253">
        <v>844495000</v>
      </c>
      <c r="F253" t="e">
        <f ca="1">BDP("13013JHH Muni","ISSUE_DT")</f>
        <v>#NAME?</v>
      </c>
      <c r="G253" t="e">
        <f ca="1">BDP("13013JHH Muni","MATURITY")</f>
        <v>#NAME?</v>
      </c>
      <c r="H253" t="e">
        <f ca="1">BDP("13013JHH Muni","MUNI_TAX_PROV")</f>
        <v>#NAME?</v>
      </c>
      <c r="I253" t="e">
        <f ca="1">BDP("13013JHH Muni","FINANCING_TYPE")</f>
        <v>#NAME?</v>
      </c>
      <c r="J253" t="e">
        <f ca="1">BDP("13013JHH Muni","BICS_LEVEL_2_INDUSTRY_GROUP_NAME")</f>
        <v>#NAME?</v>
      </c>
      <c r="K253" t="e">
        <f ca="1">BDP("13013JHH Muni","SELF_REPRTD_GREEN_INSTR_INDCTR")</f>
        <v>#NAME?</v>
      </c>
      <c r="L253" t="e">
        <f ca="1">BDP("13013JHH Muni","GB_MANAGEMENT_PROCEEDS")</f>
        <v>#NAME?</v>
      </c>
      <c r="M253" t="e">
        <f ca="1">BDP("13013JHH Muni","GB_REPORTING")</f>
        <v>#NAME?</v>
      </c>
      <c r="N253" t="e">
        <f ca="1">BDP("13013JHH Muni","GB_ASSURANCE_PROVIDERS")</f>
        <v>#NAME?</v>
      </c>
      <c r="O253" t="e">
        <f ca="1">BDP("13013JHH Muni","GB_PROJECT_SELECTION_PROCESS")</f>
        <v>#NAME?</v>
      </c>
      <c r="P253" t="e">
        <f ca="1">BDP("13013JHH Muni","ESG_FRAMEWORK_INDICATOR")</f>
        <v>#NAME?</v>
      </c>
      <c r="Q253" t="e">
        <f ca="1">BDP("13013JHH Muni","BLOOMBERG_SECTOR_CODE")</f>
        <v>#NAME?</v>
      </c>
      <c r="R253" t="e">
        <f ca="1">BDP("13013JHH Muni","ISSUER_TYPE")</f>
        <v>#NAME?</v>
      </c>
      <c r="S253" t="e">
        <f ca="1">BDS("13013JHH Muni","ESG_PROJECT_CATEGORY", "aggregate=y")</f>
        <v>#NAME?</v>
      </c>
      <c r="T253" t="e">
        <f ca="1">BDS("13013JHH Muni","ESG_PROJECT_SUBCATEGORY", "aggregate=y")</f>
        <v>#NAME?</v>
      </c>
    </row>
    <row r="254" spans="1:20" x14ac:dyDescent="0.25">
      <c r="A254" t="e">
        <f ca="1">BDP("79811YAK Muni","ID_CUSIP")</f>
        <v>#NAME?</v>
      </c>
      <c r="B254" t="e">
        <f ca="1">BDP("79811YAK Muni","STATE_CODE")</f>
        <v>#NAME?</v>
      </c>
      <c r="C254" t="s">
        <v>38</v>
      </c>
      <c r="D254" t="e">
        <f ca="1">BDP("79811YAK Muni","YIELD_ON_ISSUE_DATE")</f>
        <v>#NAME?</v>
      </c>
      <c r="E254">
        <v>825140000</v>
      </c>
      <c r="F254" t="e">
        <f ca="1">BDP("79811YAK Muni","ISSUE_DT")</f>
        <v>#NAME?</v>
      </c>
      <c r="G254" t="e">
        <f ca="1">BDP("79811YAK Muni","MATURITY")</f>
        <v>#NAME?</v>
      </c>
      <c r="H254" t="e">
        <f ca="1">BDP("79811YAK Muni","MUNI_TAX_PROV")</f>
        <v>#NAME?</v>
      </c>
      <c r="I254" t="e">
        <f ca="1">BDP("79811YAK Muni","FINANCING_TYPE")</f>
        <v>#NAME?</v>
      </c>
      <c r="J254" t="e">
        <f ca="1">BDP("79811YAK Muni","BICS_LEVEL_2_INDUSTRY_GROUP_NAME")</f>
        <v>#NAME?</v>
      </c>
      <c r="K254" t="e">
        <f ca="1">BDP("79811YAK Muni","SELF_REPRTD_GREEN_INSTR_INDCTR")</f>
        <v>#NAME?</v>
      </c>
      <c r="L254" t="e">
        <f ca="1">BDP("79811YAK Muni","GB_MANAGEMENT_PROCEEDS")</f>
        <v>#NAME?</v>
      </c>
      <c r="M254" t="e">
        <f ca="1">BDP("79811YAK Muni","GB_REPORTING")</f>
        <v>#NAME?</v>
      </c>
      <c r="N254" t="e">
        <f ca="1">BDP("79811YAK Muni","GB_ASSURANCE_PROVIDERS")</f>
        <v>#NAME?</v>
      </c>
      <c r="O254" t="e">
        <f ca="1">BDP("79811YAK Muni","GB_PROJECT_SELECTION_PROCESS")</f>
        <v>#NAME?</v>
      </c>
      <c r="P254" t="e">
        <f ca="1">BDP("79811YAK Muni","ESG_FRAMEWORK_INDICATOR")</f>
        <v>#NAME?</v>
      </c>
      <c r="Q254" t="e">
        <f ca="1">BDP("79811YAK Muni","BLOOMBERG_SECTOR_CODE")</f>
        <v>#NAME?</v>
      </c>
      <c r="R254" t="e">
        <f ca="1">BDP("79811YAK Muni","ISSUER_TYPE")</f>
        <v>#NAME?</v>
      </c>
      <c r="S254" t="e">
        <f ca="1">BDS("79811YAK Muni","ESG_PROJECT_CATEGORY", "aggregate=y")</f>
        <v>#NAME?</v>
      </c>
      <c r="T254" t="e">
        <f ca="1">BDS("79811YAK Muni","ESG_PROJECT_SUBCATEGORY", "aggregate=y")</f>
        <v>#NAME?</v>
      </c>
    </row>
    <row r="255" spans="1:20" x14ac:dyDescent="0.25">
      <c r="A255" t="e">
        <f ca="1">BDP("797661E5 Muni","ID_CUSIP")</f>
        <v>#NAME?</v>
      </c>
      <c r="B255" t="e">
        <f ca="1">BDP("797661E5 Muni","STATE_CODE")</f>
        <v>#NAME?</v>
      </c>
      <c r="C255" t="s">
        <v>36</v>
      </c>
      <c r="D255" t="e">
        <f ca="1">BDP("797661E5 Muni","YIELD_ON_ISSUE_DATE")</f>
        <v>#NAME?</v>
      </c>
      <c r="E255">
        <v>31530000</v>
      </c>
      <c r="F255" t="e">
        <f ca="1">BDP("797661E5 Muni","ISSUE_DT")</f>
        <v>#NAME?</v>
      </c>
      <c r="G255" t="e">
        <f ca="1">BDP("797661E5 Muni","MATURITY")</f>
        <v>#NAME?</v>
      </c>
      <c r="H255" t="e">
        <f ca="1">BDP("797661E5 Muni","MUNI_TAX_PROV")</f>
        <v>#NAME?</v>
      </c>
      <c r="I255" t="e">
        <f ca="1">BDP("797661E5 Muni","FINANCING_TYPE")</f>
        <v>#NAME?</v>
      </c>
      <c r="J255" t="e">
        <f ca="1">BDP("797661E5 Muni","BICS_LEVEL_2_INDUSTRY_GROUP_NAME")</f>
        <v>#NAME?</v>
      </c>
      <c r="K255" t="e">
        <f ca="1">BDP("797661E5 Muni","SELF_REPRTD_GREEN_INSTR_INDCTR")</f>
        <v>#NAME?</v>
      </c>
      <c r="L255" t="e">
        <f ca="1">BDP("797661E5 Muni","GB_MANAGEMENT_PROCEEDS")</f>
        <v>#NAME?</v>
      </c>
      <c r="M255" t="e">
        <f ca="1">BDP("797661E5 Muni","GB_REPORTING")</f>
        <v>#NAME?</v>
      </c>
      <c r="N255" t="e">
        <f ca="1">BDP("797661E5 Muni","GB_ASSURANCE_PROVIDERS")</f>
        <v>#NAME?</v>
      </c>
      <c r="O255" t="e">
        <f ca="1">BDP("797661E5 Muni","GB_PROJECT_SELECTION_PROCESS")</f>
        <v>#NAME?</v>
      </c>
      <c r="P255" t="e">
        <f ca="1">BDP("797661E5 Muni","ESG_FRAMEWORK_INDICATOR")</f>
        <v>#NAME?</v>
      </c>
      <c r="Q255" t="e">
        <f ca="1">BDP("797661E5 Muni","BLOOMBERG_SECTOR_CODE")</f>
        <v>#NAME?</v>
      </c>
      <c r="R255" t="e">
        <f ca="1">BDP("797661E5 Muni","ISSUER_TYPE")</f>
        <v>#NAME?</v>
      </c>
      <c r="S255" t="e">
        <f ca="1">BDS("797661E5 Muni","ESG_PROJECT_CATEGORY", "aggregate=y")</f>
        <v>#NAME?</v>
      </c>
      <c r="T255" t="e">
        <f ca="1">BDS("797661E5 Muni","ESG_PROJECT_SUBCATEGORY", "aggregate=y")</f>
        <v>#NAME?</v>
      </c>
    </row>
    <row r="256" spans="1:20" x14ac:dyDescent="0.25">
      <c r="A256" t="e">
        <f ca="1">BDP("13034A7X Muni","ID_CUSIP")</f>
        <v>#NAME?</v>
      </c>
      <c r="B256" t="e">
        <f ca="1">BDP("13034A7X Muni","STATE_CODE")</f>
        <v>#NAME?</v>
      </c>
      <c r="C256" t="s">
        <v>27</v>
      </c>
      <c r="D256" t="e">
        <f ca="1">BDP("13034A7X Muni","YIELD_ON_ISSUE_DATE")</f>
        <v>#NAME?</v>
      </c>
      <c r="E256">
        <v>24810000</v>
      </c>
      <c r="F256" t="e">
        <f ca="1">BDP("13034A7X Muni","ISSUE_DT")</f>
        <v>#NAME?</v>
      </c>
      <c r="G256" t="e">
        <f ca="1">BDP("13034A7X Muni","MATURITY")</f>
        <v>#NAME?</v>
      </c>
      <c r="H256" t="e">
        <f ca="1">BDP("13034A7X Muni","MUNI_TAX_PROV")</f>
        <v>#NAME?</v>
      </c>
      <c r="I256" t="e">
        <f ca="1">BDP("13034A7X Muni","FINANCING_TYPE")</f>
        <v>#NAME?</v>
      </c>
      <c r="J256" t="e">
        <f ca="1">BDP("13034A7X Muni","BICS_LEVEL_2_INDUSTRY_GROUP_NAME")</f>
        <v>#NAME?</v>
      </c>
      <c r="K256" t="e">
        <f ca="1">BDP("13034A7X Muni","SELF_REPRTD_GREEN_INSTR_INDCTR")</f>
        <v>#NAME?</v>
      </c>
      <c r="L256" t="e">
        <f ca="1">BDP("13034A7X Muni","GB_MANAGEMENT_PROCEEDS")</f>
        <v>#NAME?</v>
      </c>
      <c r="M256" t="e">
        <f ca="1">BDP("13034A7X Muni","GB_REPORTING")</f>
        <v>#NAME?</v>
      </c>
      <c r="N256" t="e">
        <f ca="1">BDP("13034A7X Muni","GB_ASSURANCE_PROVIDERS")</f>
        <v>#NAME?</v>
      </c>
      <c r="O256" t="e">
        <f ca="1">BDP("13034A7X Muni","GB_PROJECT_SELECTION_PROCESS")</f>
        <v>#NAME?</v>
      </c>
      <c r="P256" t="e">
        <f ca="1">BDP("13034A7X Muni","ESG_FRAMEWORK_INDICATOR")</f>
        <v>#NAME?</v>
      </c>
      <c r="Q256" t="e">
        <f ca="1">BDP("13034A7X Muni","BLOOMBERG_SECTOR_CODE")</f>
        <v>#NAME?</v>
      </c>
      <c r="R256" t="e">
        <f ca="1">BDP("13034A7X Muni","ISSUER_TYPE")</f>
        <v>#NAME?</v>
      </c>
      <c r="S256" t="e">
        <f ca="1">BDS("13034A7X Muni","ESG_PROJECT_CATEGORY", "aggregate=y")</f>
        <v>#NAME?</v>
      </c>
      <c r="T256" t="e">
        <f ca="1">BDS("13034A7X Muni","ESG_PROJECT_SUBCATEGORY", "aggregate=y")</f>
        <v>#NAME?</v>
      </c>
    </row>
    <row r="257" spans="1:20" x14ac:dyDescent="0.25">
      <c r="A257" t="e">
        <f ca="1">BDP("5444456J Muni","ID_CUSIP")</f>
        <v>#NAME?</v>
      </c>
      <c r="B257" t="e">
        <f ca="1">BDP("5444456J Muni","STATE_CODE")</f>
        <v>#NAME?</v>
      </c>
      <c r="C257" t="s">
        <v>34</v>
      </c>
      <c r="D257" t="e">
        <f ca="1">BDP("5444456J Muni","YIELD_ON_ISSUE_DATE")</f>
        <v>#NAME?</v>
      </c>
      <c r="E257">
        <v>32000000</v>
      </c>
      <c r="F257" t="e">
        <f ca="1">BDP("5444456J Muni","ISSUE_DT")</f>
        <v>#NAME?</v>
      </c>
      <c r="G257" t="e">
        <f ca="1">BDP("5444456J Muni","MATURITY")</f>
        <v>#NAME?</v>
      </c>
      <c r="H257" t="e">
        <f ca="1">BDP("5444456J Muni","MUNI_TAX_PROV")</f>
        <v>#NAME?</v>
      </c>
      <c r="I257" t="e">
        <f ca="1">BDP("5444456J Muni","FINANCING_TYPE")</f>
        <v>#NAME?</v>
      </c>
      <c r="J257" t="e">
        <f ca="1">BDP("5444456J Muni","BICS_LEVEL_2_INDUSTRY_GROUP_NAME")</f>
        <v>#NAME?</v>
      </c>
      <c r="K257" t="e">
        <f ca="1">BDP("5444456J Muni","SELF_REPRTD_GREEN_INSTR_INDCTR")</f>
        <v>#NAME?</v>
      </c>
      <c r="L257" t="e">
        <f ca="1">BDP("5444456J Muni","GB_MANAGEMENT_PROCEEDS")</f>
        <v>#NAME?</v>
      </c>
      <c r="M257" t="e">
        <f ca="1">BDP("5444456J Muni","GB_REPORTING")</f>
        <v>#NAME?</v>
      </c>
      <c r="N257" t="e">
        <f ca="1">BDP("5444456J Muni","GB_ASSURANCE_PROVIDERS")</f>
        <v>#NAME?</v>
      </c>
      <c r="O257" t="e">
        <f ca="1">BDP("5444456J Muni","GB_PROJECT_SELECTION_PROCESS")</f>
        <v>#NAME?</v>
      </c>
      <c r="P257" t="e">
        <f ca="1">BDP("5444456J Muni","ESG_FRAMEWORK_INDICATOR")</f>
        <v>#NAME?</v>
      </c>
      <c r="Q257" t="e">
        <f ca="1">BDP("5444456J Muni","BLOOMBERG_SECTOR_CODE")</f>
        <v>#NAME?</v>
      </c>
      <c r="R257" t="e">
        <f ca="1">BDP("5444456J Muni","ISSUER_TYPE")</f>
        <v>#NAME?</v>
      </c>
      <c r="S257" t="e">
        <f ca="1">BDS("5444456J Muni","ESG_PROJECT_CATEGORY", "aggregate=y")</f>
        <v>#NAME?</v>
      </c>
      <c r="T257" t="e">
        <f ca="1">BDS("5444456J Muni","ESG_PROJECT_SUBCATEGORY", "aggregate=y")</f>
        <v>#NAME?</v>
      </c>
    </row>
    <row r="258" spans="1:20" x14ac:dyDescent="0.25">
      <c r="A258" t="e">
        <f ca="1">BDP("5444455Z Muni","ID_CUSIP")</f>
        <v>#NAME?</v>
      </c>
      <c r="B258" t="e">
        <f ca="1">BDP("5444455Z Muni","STATE_CODE")</f>
        <v>#NAME?</v>
      </c>
      <c r="C258" t="s">
        <v>34</v>
      </c>
      <c r="D258" t="e">
        <f ca="1">BDP("5444455Z Muni","YIELD_ON_ISSUE_DATE")</f>
        <v>#NAME?</v>
      </c>
      <c r="E258">
        <v>34780000</v>
      </c>
      <c r="F258" t="e">
        <f ca="1">BDP("5444455Z Muni","ISSUE_DT")</f>
        <v>#NAME?</v>
      </c>
      <c r="G258" t="e">
        <f ca="1">BDP("5444455Z Muni","MATURITY")</f>
        <v>#NAME?</v>
      </c>
      <c r="H258" t="e">
        <f ca="1">BDP("5444455Z Muni","MUNI_TAX_PROV")</f>
        <v>#NAME?</v>
      </c>
      <c r="I258" t="e">
        <f ca="1">BDP("5444455Z Muni","FINANCING_TYPE")</f>
        <v>#NAME?</v>
      </c>
      <c r="J258" t="e">
        <f ca="1">BDP("5444455Z Muni","BICS_LEVEL_2_INDUSTRY_GROUP_NAME")</f>
        <v>#NAME?</v>
      </c>
      <c r="K258" t="e">
        <f ca="1">BDP("5444455Z Muni","SELF_REPRTD_GREEN_INSTR_INDCTR")</f>
        <v>#NAME?</v>
      </c>
      <c r="L258" t="e">
        <f ca="1">BDP("5444455Z Muni","GB_MANAGEMENT_PROCEEDS")</f>
        <v>#NAME?</v>
      </c>
      <c r="M258" t="e">
        <f ca="1">BDP("5444455Z Muni","GB_REPORTING")</f>
        <v>#NAME?</v>
      </c>
      <c r="N258" t="e">
        <f ca="1">BDP("5444455Z Muni","GB_ASSURANCE_PROVIDERS")</f>
        <v>#NAME?</v>
      </c>
      <c r="O258" t="e">
        <f ca="1">BDP("5444455Z Muni","GB_PROJECT_SELECTION_PROCESS")</f>
        <v>#NAME?</v>
      </c>
      <c r="P258" t="e">
        <f ca="1">BDP("5444455Z Muni","ESG_FRAMEWORK_INDICATOR")</f>
        <v>#NAME?</v>
      </c>
      <c r="Q258" t="e">
        <f ca="1">BDP("5444455Z Muni","BLOOMBERG_SECTOR_CODE")</f>
        <v>#NAME?</v>
      </c>
      <c r="R258" t="e">
        <f ca="1">BDP("5444455Z Muni","ISSUER_TYPE")</f>
        <v>#NAME?</v>
      </c>
      <c r="S258" t="e">
        <f ca="1">BDS("5444455Z Muni","ESG_PROJECT_CATEGORY", "aggregate=y")</f>
        <v>#NAME?</v>
      </c>
      <c r="T258" t="e">
        <f ca="1">BDS("5444455Z Muni","ESG_PROJECT_SUBCATEGORY", "aggregate=y")</f>
        <v>#NAME?</v>
      </c>
    </row>
    <row r="259" spans="1:20" x14ac:dyDescent="0.25">
      <c r="A259" t="e">
        <f ca="1">BDP("5444456H Muni","ID_CUSIP")</f>
        <v>#NAME?</v>
      </c>
      <c r="B259" t="e">
        <f ca="1">BDP("5444456H Muni","STATE_CODE")</f>
        <v>#NAME?</v>
      </c>
      <c r="C259" t="s">
        <v>34</v>
      </c>
      <c r="D259" t="e">
        <f ca="1">BDP("5444456H Muni","YIELD_ON_ISSUE_DATE")</f>
        <v>#NAME?</v>
      </c>
      <c r="E259">
        <v>130070000</v>
      </c>
      <c r="F259" t="e">
        <f ca="1">BDP("5444456H Muni","ISSUE_DT")</f>
        <v>#NAME?</v>
      </c>
      <c r="G259" t="e">
        <f ca="1">BDP("5444456H Muni","MATURITY")</f>
        <v>#NAME?</v>
      </c>
      <c r="H259" t="e">
        <f ca="1">BDP("5444456H Muni","MUNI_TAX_PROV")</f>
        <v>#NAME?</v>
      </c>
      <c r="I259" t="e">
        <f ca="1">BDP("5444456H Muni","FINANCING_TYPE")</f>
        <v>#NAME?</v>
      </c>
      <c r="J259" t="e">
        <f ca="1">BDP("5444456H Muni","BICS_LEVEL_2_INDUSTRY_GROUP_NAME")</f>
        <v>#NAME?</v>
      </c>
      <c r="K259" t="e">
        <f ca="1">BDP("5444456H Muni","SELF_REPRTD_GREEN_INSTR_INDCTR")</f>
        <v>#NAME?</v>
      </c>
      <c r="L259" t="e">
        <f ca="1">BDP("5444456H Muni","GB_MANAGEMENT_PROCEEDS")</f>
        <v>#NAME?</v>
      </c>
      <c r="M259" t="e">
        <f ca="1">BDP("5444456H Muni","GB_REPORTING")</f>
        <v>#NAME?</v>
      </c>
      <c r="N259" t="e">
        <f ca="1">BDP("5444456H Muni","GB_ASSURANCE_PROVIDERS")</f>
        <v>#NAME?</v>
      </c>
      <c r="O259" t="e">
        <f ca="1">BDP("5444456H Muni","GB_PROJECT_SELECTION_PROCESS")</f>
        <v>#NAME?</v>
      </c>
      <c r="P259" t="e">
        <f ca="1">BDP("5444456H Muni","ESG_FRAMEWORK_INDICATOR")</f>
        <v>#NAME?</v>
      </c>
      <c r="Q259" t="e">
        <f ca="1">BDP("5444456H Muni","BLOOMBERG_SECTOR_CODE")</f>
        <v>#NAME?</v>
      </c>
      <c r="R259" t="e">
        <f ca="1">BDP("5444456H Muni","ISSUER_TYPE")</f>
        <v>#NAME?</v>
      </c>
      <c r="S259" t="e">
        <f ca="1">BDS("5444456H Muni","ESG_PROJECT_CATEGORY", "aggregate=y")</f>
        <v>#NAME?</v>
      </c>
      <c r="T259" t="e">
        <f ca="1">BDS("5444456H Muni","ESG_PROJECT_SUBCATEGORY", "aggregate=y")</f>
        <v>#NAME?</v>
      </c>
    </row>
    <row r="260" spans="1:20" x14ac:dyDescent="0.25">
      <c r="A260" t="e">
        <f ca="1">BDP("13034A8D Muni","ID_CUSIP")</f>
        <v>#NAME?</v>
      </c>
      <c r="B260" t="e">
        <f ca="1">BDP("13034A8D Muni","STATE_CODE")</f>
        <v>#NAME?</v>
      </c>
      <c r="C260" t="s">
        <v>27</v>
      </c>
      <c r="D260" t="e">
        <f ca="1">BDP("13034A8D Muni","YIELD_ON_ISSUE_DATE")</f>
        <v>#NAME?</v>
      </c>
      <c r="E260">
        <v>32305000</v>
      </c>
      <c r="F260" t="e">
        <f ca="1">BDP("13034A8D Muni","ISSUE_DT")</f>
        <v>#NAME?</v>
      </c>
      <c r="G260" t="e">
        <f ca="1">BDP("13034A8D Muni","MATURITY")</f>
        <v>#NAME?</v>
      </c>
      <c r="H260" t="e">
        <f ca="1">BDP("13034A8D Muni","MUNI_TAX_PROV")</f>
        <v>#NAME?</v>
      </c>
      <c r="I260" t="e">
        <f ca="1">BDP("13034A8D Muni","FINANCING_TYPE")</f>
        <v>#NAME?</v>
      </c>
      <c r="J260" t="e">
        <f ca="1">BDP("13034A8D Muni","BICS_LEVEL_2_INDUSTRY_GROUP_NAME")</f>
        <v>#NAME?</v>
      </c>
      <c r="K260" t="e">
        <f ca="1">BDP("13034A8D Muni","SELF_REPRTD_GREEN_INSTR_INDCTR")</f>
        <v>#NAME?</v>
      </c>
      <c r="L260" t="e">
        <f ca="1">BDP("13034A8D Muni","GB_MANAGEMENT_PROCEEDS")</f>
        <v>#NAME?</v>
      </c>
      <c r="M260" t="e">
        <f ca="1">BDP("13034A8D Muni","GB_REPORTING")</f>
        <v>#NAME?</v>
      </c>
      <c r="N260" t="e">
        <f ca="1">BDP("13034A8D Muni","GB_ASSURANCE_PROVIDERS")</f>
        <v>#NAME?</v>
      </c>
      <c r="O260" t="e">
        <f ca="1">BDP("13034A8D Muni","GB_PROJECT_SELECTION_PROCESS")</f>
        <v>#NAME?</v>
      </c>
      <c r="P260" t="e">
        <f ca="1">BDP("13034A8D Muni","ESG_FRAMEWORK_INDICATOR")</f>
        <v>#NAME?</v>
      </c>
      <c r="Q260" t="e">
        <f ca="1">BDP("13034A8D Muni","BLOOMBERG_SECTOR_CODE")</f>
        <v>#NAME?</v>
      </c>
      <c r="R260" t="e">
        <f ca="1">BDP("13034A8D Muni","ISSUER_TYPE")</f>
        <v>#NAME?</v>
      </c>
      <c r="S260" t="e">
        <f ca="1">BDS("13034A8D Muni","ESG_PROJECT_CATEGORY", "aggregate=y")</f>
        <v>#NAME?</v>
      </c>
      <c r="T260" t="e">
        <f ca="1">BDS("13034A8D Muni","ESG_PROJECT_SUBCATEGORY", "aggregate=y")</f>
        <v>#NAME?</v>
      </c>
    </row>
    <row r="261" spans="1:20" x14ac:dyDescent="0.25">
      <c r="A261" t="e">
        <f ca="1">BDP("786005N4 Muni","ID_CUSIP")</f>
        <v>#NAME?</v>
      </c>
      <c r="B261" t="e">
        <f ca="1">BDP("786005N4 Muni","STATE_CODE")</f>
        <v>#NAME?</v>
      </c>
      <c r="C261" t="s">
        <v>35</v>
      </c>
      <c r="D261" t="e">
        <f ca="1">BDP("786005N4 Muni","YIELD_ON_ISSUE_DATE")</f>
        <v>#NAME?</v>
      </c>
      <c r="E261">
        <v>16605000</v>
      </c>
      <c r="F261" t="e">
        <f ca="1">BDP("786005N4 Muni","ISSUE_DT")</f>
        <v>#NAME?</v>
      </c>
      <c r="G261" t="e">
        <f ca="1">BDP("786005N4 Muni","MATURITY")</f>
        <v>#NAME?</v>
      </c>
      <c r="H261" t="e">
        <f ca="1">BDP("786005N4 Muni","MUNI_TAX_PROV")</f>
        <v>#NAME?</v>
      </c>
      <c r="I261" t="e">
        <f ca="1">BDP("786005N4 Muni","FINANCING_TYPE")</f>
        <v>#NAME?</v>
      </c>
      <c r="J261" t="e">
        <f ca="1">BDP("786005N4 Muni","BICS_LEVEL_2_INDUSTRY_GROUP_NAME")</f>
        <v>#NAME?</v>
      </c>
      <c r="K261" t="e">
        <f ca="1">BDP("786005N4 Muni","SELF_REPRTD_GREEN_INSTR_INDCTR")</f>
        <v>#NAME?</v>
      </c>
      <c r="L261" t="e">
        <f ca="1">BDP("786005N4 Muni","GB_MANAGEMENT_PROCEEDS")</f>
        <v>#NAME?</v>
      </c>
      <c r="M261" t="e">
        <f ca="1">BDP("786005N4 Muni","GB_REPORTING")</f>
        <v>#NAME?</v>
      </c>
      <c r="N261" t="e">
        <f ca="1">BDP("786005N4 Muni","GB_ASSURANCE_PROVIDERS")</f>
        <v>#NAME?</v>
      </c>
      <c r="O261" t="e">
        <f ca="1">BDP("786005N4 Muni","GB_PROJECT_SELECTION_PROCESS")</f>
        <v>#NAME?</v>
      </c>
      <c r="P261" t="e">
        <f ca="1">BDP("786005N4 Muni","ESG_FRAMEWORK_INDICATOR")</f>
        <v>#NAME?</v>
      </c>
      <c r="Q261" t="e">
        <f ca="1">BDP("786005N4 Muni","BLOOMBERG_SECTOR_CODE")</f>
        <v>#NAME?</v>
      </c>
      <c r="R261" t="e">
        <f ca="1">BDP("786005N4 Muni","ISSUER_TYPE")</f>
        <v>#NAME?</v>
      </c>
      <c r="S261" t="e">
        <f ca="1">BDS("786005N4 Muni","ESG_PROJECT_CATEGORY", "aggregate=y")</f>
        <v>#NAME?</v>
      </c>
      <c r="T261" t="e">
        <f ca="1">BDS("786005N4 Muni","ESG_PROJECT_SUBCATEGORY", "aggregate=y")</f>
        <v>#NAME?</v>
      </c>
    </row>
    <row r="262" spans="1:20" x14ac:dyDescent="0.25">
      <c r="A262" t="e">
        <f ca="1">BDP("5444455W Muni","ID_CUSIP")</f>
        <v>#NAME?</v>
      </c>
      <c r="B262" t="e">
        <f ca="1">BDP("5444455W Muni","STATE_CODE")</f>
        <v>#NAME?</v>
      </c>
      <c r="C262" t="s">
        <v>34</v>
      </c>
      <c r="D262" t="e">
        <f ca="1">BDP("5444455W Muni","YIELD_ON_ISSUE_DATE")</f>
        <v>#NAME?</v>
      </c>
      <c r="E262">
        <v>30040000</v>
      </c>
      <c r="F262" t="e">
        <f ca="1">BDP("5444455W Muni","ISSUE_DT")</f>
        <v>#NAME?</v>
      </c>
      <c r="G262" t="e">
        <f ca="1">BDP("5444455W Muni","MATURITY")</f>
        <v>#NAME?</v>
      </c>
      <c r="H262" t="e">
        <f ca="1">BDP("5444455W Muni","MUNI_TAX_PROV")</f>
        <v>#NAME?</v>
      </c>
      <c r="I262" t="e">
        <f ca="1">BDP("5444455W Muni","FINANCING_TYPE")</f>
        <v>#NAME?</v>
      </c>
      <c r="J262" t="e">
        <f ca="1">BDP("5444455W Muni","BICS_LEVEL_2_INDUSTRY_GROUP_NAME")</f>
        <v>#NAME?</v>
      </c>
      <c r="K262" t="e">
        <f ca="1">BDP("5444455W Muni","SELF_REPRTD_GREEN_INSTR_INDCTR")</f>
        <v>#NAME?</v>
      </c>
      <c r="L262" t="e">
        <f ca="1">BDP("5444455W Muni","GB_MANAGEMENT_PROCEEDS")</f>
        <v>#NAME?</v>
      </c>
      <c r="M262" t="e">
        <f ca="1">BDP("5444455W Muni","GB_REPORTING")</f>
        <v>#NAME?</v>
      </c>
      <c r="N262" t="e">
        <f ca="1">BDP("5444455W Muni","GB_ASSURANCE_PROVIDERS")</f>
        <v>#NAME?</v>
      </c>
      <c r="O262" t="e">
        <f ca="1">BDP("5444455W Muni","GB_PROJECT_SELECTION_PROCESS")</f>
        <v>#NAME?</v>
      </c>
      <c r="P262" t="e">
        <f ca="1">BDP("5444455W Muni","ESG_FRAMEWORK_INDICATOR")</f>
        <v>#NAME?</v>
      </c>
      <c r="Q262" t="e">
        <f ca="1">BDP("5444455W Muni","BLOOMBERG_SECTOR_CODE")</f>
        <v>#NAME?</v>
      </c>
      <c r="R262" t="e">
        <f ca="1">BDP("5444455W Muni","ISSUER_TYPE")</f>
        <v>#NAME?</v>
      </c>
      <c r="S262" t="e">
        <f ca="1">BDS("5444455W Muni","ESG_PROJECT_CATEGORY", "aggregate=y")</f>
        <v>#NAME?</v>
      </c>
      <c r="T262" t="e">
        <f ca="1">BDS("5444455W Muni","ESG_PROJECT_SUBCATEGORY", "aggregate=y")</f>
        <v>#NAME?</v>
      </c>
    </row>
    <row r="263" spans="1:20" x14ac:dyDescent="0.25">
      <c r="A263" t="e">
        <f ca="1">BDP("13013JGQ Muni","ID_CUSIP")</f>
        <v>#NAME?</v>
      </c>
      <c r="B263" t="e">
        <f ca="1">BDP("13013JGQ Muni","STATE_CODE")</f>
        <v>#NAME?</v>
      </c>
      <c r="C263" t="s">
        <v>30</v>
      </c>
      <c r="D263" t="e">
        <f ca="1">BDP("13013JGQ Muni","YIELD_ON_ISSUE_DATE")</f>
        <v>#NAME?</v>
      </c>
      <c r="E263">
        <v>9175000</v>
      </c>
      <c r="F263" t="e">
        <f ca="1">BDP("13013JGQ Muni","ISSUE_DT")</f>
        <v>#NAME?</v>
      </c>
      <c r="G263" t="e">
        <f ca="1">BDP("13013JGQ Muni","MATURITY")</f>
        <v>#NAME?</v>
      </c>
      <c r="H263" t="e">
        <f ca="1">BDP("13013JGQ Muni","MUNI_TAX_PROV")</f>
        <v>#NAME?</v>
      </c>
      <c r="I263" t="e">
        <f ca="1">BDP("13013JGQ Muni","FINANCING_TYPE")</f>
        <v>#NAME?</v>
      </c>
      <c r="J263" t="e">
        <f ca="1">BDP("13013JGQ Muni","BICS_LEVEL_2_INDUSTRY_GROUP_NAME")</f>
        <v>#NAME?</v>
      </c>
      <c r="K263" t="e">
        <f ca="1">BDP("13013JGQ Muni","SELF_REPRTD_GREEN_INSTR_INDCTR")</f>
        <v>#NAME?</v>
      </c>
      <c r="L263" t="e">
        <f ca="1">BDP("13013JGQ Muni","GB_MANAGEMENT_PROCEEDS")</f>
        <v>#NAME?</v>
      </c>
      <c r="M263" t="e">
        <f ca="1">BDP("13013JGQ Muni","GB_REPORTING")</f>
        <v>#NAME?</v>
      </c>
      <c r="N263" t="e">
        <f ca="1">BDP("13013JGQ Muni","GB_ASSURANCE_PROVIDERS")</f>
        <v>#NAME?</v>
      </c>
      <c r="O263" t="e">
        <f ca="1">BDP("13013JGQ Muni","GB_PROJECT_SELECTION_PROCESS")</f>
        <v>#NAME?</v>
      </c>
      <c r="P263" t="e">
        <f ca="1">BDP("13013JGQ Muni","ESG_FRAMEWORK_INDICATOR")</f>
        <v>#NAME?</v>
      </c>
      <c r="Q263" t="e">
        <f ca="1">BDP("13013JGQ Muni","BLOOMBERG_SECTOR_CODE")</f>
        <v>#NAME?</v>
      </c>
      <c r="R263" t="e">
        <f ca="1">BDP("13013JGQ Muni","ISSUER_TYPE")</f>
        <v>#NAME?</v>
      </c>
      <c r="S263" t="e">
        <f ca="1">BDS("13013JGQ Muni","ESG_PROJECT_CATEGORY", "aggregate=y")</f>
        <v>#NAME?</v>
      </c>
      <c r="T263" t="e">
        <f ca="1">BDS("13013JGQ Muni","ESG_PROJECT_SUBCATEGORY", "aggregate=y")</f>
        <v>#NAME?</v>
      </c>
    </row>
    <row r="264" spans="1:20" x14ac:dyDescent="0.25">
      <c r="A264" t="e">
        <f ca="1">BDP("79771FGD Muni","ID_CUSIP")</f>
        <v>#NAME?</v>
      </c>
      <c r="B264" t="e">
        <f ca="1">BDP("79771FGD Muni","STATE_CODE")</f>
        <v>#NAME?</v>
      </c>
      <c r="C264" t="s">
        <v>37</v>
      </c>
      <c r="D264" t="e">
        <f ca="1">BDP("79771FGD Muni","YIELD_ON_ISSUE_DATE")</f>
        <v>#NAME?</v>
      </c>
      <c r="E264">
        <v>21225000</v>
      </c>
      <c r="F264" t="e">
        <f ca="1">BDP("79771FGD Muni","ISSUE_DT")</f>
        <v>#NAME?</v>
      </c>
      <c r="G264" t="e">
        <f ca="1">BDP("79771FGD Muni","MATURITY")</f>
        <v>#NAME?</v>
      </c>
      <c r="H264" t="e">
        <f ca="1">BDP("79771FGD Muni","MUNI_TAX_PROV")</f>
        <v>#NAME?</v>
      </c>
      <c r="I264" t="e">
        <f ca="1">BDP("79771FGD Muni","FINANCING_TYPE")</f>
        <v>#NAME?</v>
      </c>
      <c r="J264" t="e">
        <f ca="1">BDP("79771FGD Muni","BICS_LEVEL_2_INDUSTRY_GROUP_NAME")</f>
        <v>#NAME?</v>
      </c>
      <c r="K264" t="e">
        <f ca="1">BDP("79771FGD Muni","SELF_REPRTD_GREEN_INSTR_INDCTR")</f>
        <v>#NAME?</v>
      </c>
      <c r="L264" t="e">
        <f ca="1">BDP("79771FGD Muni","GB_MANAGEMENT_PROCEEDS")</f>
        <v>#NAME?</v>
      </c>
      <c r="M264" t="e">
        <f ca="1">BDP("79771FGD Muni","GB_REPORTING")</f>
        <v>#NAME?</v>
      </c>
      <c r="N264" t="e">
        <f ca="1">BDP("79771FGD Muni","GB_ASSURANCE_PROVIDERS")</f>
        <v>#NAME?</v>
      </c>
      <c r="O264" t="e">
        <f ca="1">BDP("79771FGD Muni","GB_PROJECT_SELECTION_PROCESS")</f>
        <v>#NAME?</v>
      </c>
      <c r="P264" t="e">
        <f ca="1">BDP("79771FGD Muni","ESG_FRAMEWORK_INDICATOR")</f>
        <v>#NAME?</v>
      </c>
      <c r="Q264" t="e">
        <f ca="1">BDP("79771FGD Muni","BLOOMBERG_SECTOR_CODE")</f>
        <v>#NAME?</v>
      </c>
      <c r="R264" t="e">
        <f ca="1">BDP("79771FGD Muni","ISSUER_TYPE")</f>
        <v>#NAME?</v>
      </c>
      <c r="S264" t="e">
        <f ca="1">BDS("79771FGD Muni","ESG_PROJECT_CATEGORY", "aggregate=y")</f>
        <v>#NAME?</v>
      </c>
      <c r="T264" t="e">
        <f ca="1">BDS("79771FGD Muni","ESG_PROJECT_SUBCATEGORY", "aggregate=y")</f>
        <v>#NAME?</v>
      </c>
    </row>
    <row r="265" spans="1:20" x14ac:dyDescent="0.25">
      <c r="A265" t="e">
        <f ca="1">BDP("959215GN Muni","ID_CUSIP")</f>
        <v>#NAME?</v>
      </c>
      <c r="B265" t="e">
        <f ca="1">BDP("959215GN Muni","STATE_CODE")</f>
        <v>#NAME?</v>
      </c>
      <c r="C265" t="s">
        <v>26</v>
      </c>
      <c r="D265" t="e">
        <f ca="1">BDP("959215GN Muni","YIELD_ON_ISSUE_DATE")</f>
        <v>#NAME?</v>
      </c>
      <c r="E265">
        <v>980000</v>
      </c>
      <c r="F265" t="e">
        <f ca="1">BDP("959215GN Muni","ISSUE_DT")</f>
        <v>#NAME?</v>
      </c>
      <c r="G265" t="e">
        <f ca="1">BDP("959215GN Muni","MATURITY")</f>
        <v>#NAME?</v>
      </c>
      <c r="H265" t="e">
        <f ca="1">BDP("959215GN Muni","MUNI_TAX_PROV")</f>
        <v>#NAME?</v>
      </c>
      <c r="I265" t="e">
        <f ca="1">BDP("959215GN Muni","FINANCING_TYPE")</f>
        <v>#NAME?</v>
      </c>
      <c r="J265" t="e">
        <f ca="1">BDP("959215GN Muni","BICS_LEVEL_2_INDUSTRY_GROUP_NAME")</f>
        <v>#NAME?</v>
      </c>
      <c r="K265" t="e">
        <f ca="1">BDP("959215GN Muni","SELF_REPRTD_GREEN_INSTR_INDCTR")</f>
        <v>#NAME?</v>
      </c>
      <c r="L265" t="e">
        <f ca="1">BDP("959215GN Muni","GB_MANAGEMENT_PROCEEDS")</f>
        <v>#NAME?</v>
      </c>
      <c r="M265" t="e">
        <f ca="1">BDP("959215GN Muni","GB_REPORTING")</f>
        <v>#NAME?</v>
      </c>
      <c r="N265" t="e">
        <f ca="1">BDP("959215GN Muni","GB_ASSURANCE_PROVIDERS")</f>
        <v>#NAME?</v>
      </c>
      <c r="O265" t="e">
        <f ca="1">BDP("959215GN Muni","GB_PROJECT_SELECTION_PROCESS")</f>
        <v>#NAME?</v>
      </c>
      <c r="P265" t="e">
        <f ca="1">BDP("959215GN Muni","ESG_FRAMEWORK_INDICATOR")</f>
        <v>#NAME?</v>
      </c>
      <c r="Q265" t="e">
        <f ca="1">BDP("959215GN Muni","BLOOMBERG_SECTOR_CODE")</f>
        <v>#NAME?</v>
      </c>
      <c r="R265" t="e">
        <f ca="1">BDP("959215GN Muni","ISSUER_TYPE")</f>
        <v>#NAME?</v>
      </c>
      <c r="S265" t="e">
        <f ca="1">BDS("959215GN Muni","ESG_PROJECT_CATEGORY", "aggregate=y")</f>
        <v>#NAME?</v>
      </c>
      <c r="T265" t="e">
        <f ca="1">BDS("959215GN Muni","ESG_PROJECT_SUBCATEGORY", "aggregate=y")</f>
        <v>#NAME?</v>
      </c>
    </row>
    <row r="266" spans="1:20" x14ac:dyDescent="0.25">
      <c r="A266" t="e">
        <f ca="1">BDP("5444455U Muni","ID_CUSIP")</f>
        <v>#NAME?</v>
      </c>
      <c r="B266" t="e">
        <f ca="1">BDP("5444455U Muni","STATE_CODE")</f>
        <v>#NAME?</v>
      </c>
      <c r="C266" t="s">
        <v>34</v>
      </c>
      <c r="D266" t="e">
        <f ca="1">BDP("5444455U Muni","YIELD_ON_ISSUE_DATE")</f>
        <v>#NAME?</v>
      </c>
      <c r="E266">
        <v>27250000</v>
      </c>
      <c r="F266" t="e">
        <f ca="1">BDP("5444455U Muni","ISSUE_DT")</f>
        <v>#NAME?</v>
      </c>
      <c r="G266" t="e">
        <f ca="1">BDP("5444455U Muni","MATURITY")</f>
        <v>#NAME?</v>
      </c>
      <c r="H266" t="e">
        <f ca="1">BDP("5444455U Muni","MUNI_TAX_PROV")</f>
        <v>#NAME?</v>
      </c>
      <c r="I266" t="e">
        <f ca="1">BDP("5444455U Muni","FINANCING_TYPE")</f>
        <v>#NAME?</v>
      </c>
      <c r="J266" t="e">
        <f ca="1">BDP("5444455U Muni","BICS_LEVEL_2_INDUSTRY_GROUP_NAME")</f>
        <v>#NAME?</v>
      </c>
      <c r="K266" t="e">
        <f ca="1">BDP("5444455U Muni","SELF_REPRTD_GREEN_INSTR_INDCTR")</f>
        <v>#NAME?</v>
      </c>
      <c r="L266" t="e">
        <f ca="1">BDP("5444455U Muni","GB_MANAGEMENT_PROCEEDS")</f>
        <v>#NAME?</v>
      </c>
      <c r="M266" t="e">
        <f ca="1">BDP("5444455U Muni","GB_REPORTING")</f>
        <v>#NAME?</v>
      </c>
      <c r="N266" t="e">
        <f ca="1">BDP("5444455U Muni","GB_ASSURANCE_PROVIDERS")</f>
        <v>#NAME?</v>
      </c>
      <c r="O266" t="e">
        <f ca="1">BDP("5444455U Muni","GB_PROJECT_SELECTION_PROCESS")</f>
        <v>#NAME?</v>
      </c>
      <c r="P266" t="e">
        <f ca="1">BDP("5444455U Muni","ESG_FRAMEWORK_INDICATOR")</f>
        <v>#NAME?</v>
      </c>
      <c r="Q266" t="e">
        <f ca="1">BDP("5444455U Muni","BLOOMBERG_SECTOR_CODE")</f>
        <v>#NAME?</v>
      </c>
      <c r="R266" t="e">
        <f ca="1">BDP("5444455U Muni","ISSUER_TYPE")</f>
        <v>#NAME?</v>
      </c>
      <c r="S266" t="e">
        <f ca="1">BDS("5444455U Muni","ESG_PROJECT_CATEGORY", "aggregate=y")</f>
        <v>#NAME?</v>
      </c>
      <c r="T266" t="e">
        <f ca="1">BDS("5444455U Muni","ESG_PROJECT_SUBCATEGORY", "aggregate=y")</f>
        <v>#NAME?</v>
      </c>
    </row>
    <row r="267" spans="1:20" x14ac:dyDescent="0.25">
      <c r="A267" t="e">
        <f ca="1">BDP("5444456D Muni","ID_CUSIP")</f>
        <v>#NAME?</v>
      </c>
      <c r="B267" t="e">
        <f ca="1">BDP("5444456D Muni","STATE_CODE")</f>
        <v>#NAME?</v>
      </c>
      <c r="C267" t="s">
        <v>34</v>
      </c>
      <c r="D267" t="e">
        <f ca="1">BDP("5444456D Muni","YIELD_ON_ISSUE_DATE")</f>
        <v>#NAME?</v>
      </c>
      <c r="E267">
        <v>42275000</v>
      </c>
      <c r="F267" t="e">
        <f ca="1">BDP("5444456D Muni","ISSUE_DT")</f>
        <v>#NAME?</v>
      </c>
      <c r="G267" t="e">
        <f ca="1">BDP("5444456D Muni","MATURITY")</f>
        <v>#NAME?</v>
      </c>
      <c r="H267" t="e">
        <f ca="1">BDP("5444456D Muni","MUNI_TAX_PROV")</f>
        <v>#NAME?</v>
      </c>
      <c r="I267" t="e">
        <f ca="1">BDP("5444456D Muni","FINANCING_TYPE")</f>
        <v>#NAME?</v>
      </c>
      <c r="J267" t="e">
        <f ca="1">BDP("5444456D Muni","BICS_LEVEL_2_INDUSTRY_GROUP_NAME")</f>
        <v>#NAME?</v>
      </c>
      <c r="K267" t="e">
        <f ca="1">BDP("5444456D Muni","SELF_REPRTD_GREEN_INSTR_INDCTR")</f>
        <v>#NAME?</v>
      </c>
      <c r="L267" t="e">
        <f ca="1">BDP("5444456D Muni","GB_MANAGEMENT_PROCEEDS")</f>
        <v>#NAME?</v>
      </c>
      <c r="M267" t="e">
        <f ca="1">BDP("5444456D Muni","GB_REPORTING")</f>
        <v>#NAME?</v>
      </c>
      <c r="N267" t="e">
        <f ca="1">BDP("5444456D Muni","GB_ASSURANCE_PROVIDERS")</f>
        <v>#NAME?</v>
      </c>
      <c r="O267" t="e">
        <f ca="1">BDP("5444456D Muni","GB_PROJECT_SELECTION_PROCESS")</f>
        <v>#NAME?</v>
      </c>
      <c r="P267" t="e">
        <f ca="1">BDP("5444456D Muni","ESG_FRAMEWORK_INDICATOR")</f>
        <v>#NAME?</v>
      </c>
      <c r="Q267" t="e">
        <f ca="1">BDP("5444456D Muni","BLOOMBERG_SECTOR_CODE")</f>
        <v>#NAME?</v>
      </c>
      <c r="R267" t="e">
        <f ca="1">BDP("5444456D Muni","ISSUER_TYPE")</f>
        <v>#NAME?</v>
      </c>
      <c r="S267" t="e">
        <f ca="1">BDS("5444456D Muni","ESG_PROJECT_CATEGORY", "aggregate=y")</f>
        <v>#NAME?</v>
      </c>
      <c r="T267" t="e">
        <f ca="1">BDS("5444456D Muni","ESG_PROJECT_SUBCATEGORY", "aggregate=y")</f>
        <v>#NAME?</v>
      </c>
    </row>
    <row r="268" spans="1:20" x14ac:dyDescent="0.25">
      <c r="A268" t="e">
        <f ca="1">BDP("5444455V Muni","ID_CUSIP")</f>
        <v>#NAME?</v>
      </c>
      <c r="B268" t="e">
        <f ca="1">BDP("5444455V Muni","STATE_CODE")</f>
        <v>#NAME?</v>
      </c>
      <c r="C268" t="s">
        <v>34</v>
      </c>
      <c r="D268" t="e">
        <f ca="1">BDP("5444455V Muni","YIELD_ON_ISSUE_DATE")</f>
        <v>#NAME?</v>
      </c>
      <c r="E268">
        <v>28615000</v>
      </c>
      <c r="F268" t="e">
        <f ca="1">BDP("5444455V Muni","ISSUE_DT")</f>
        <v>#NAME?</v>
      </c>
      <c r="G268" t="e">
        <f ca="1">BDP("5444455V Muni","MATURITY")</f>
        <v>#NAME?</v>
      </c>
      <c r="H268" t="e">
        <f ca="1">BDP("5444455V Muni","MUNI_TAX_PROV")</f>
        <v>#NAME?</v>
      </c>
      <c r="I268" t="e">
        <f ca="1">BDP("5444455V Muni","FINANCING_TYPE")</f>
        <v>#NAME?</v>
      </c>
      <c r="J268" t="e">
        <f ca="1">BDP("5444455V Muni","BICS_LEVEL_2_INDUSTRY_GROUP_NAME")</f>
        <v>#NAME?</v>
      </c>
      <c r="K268" t="e">
        <f ca="1">BDP("5444455V Muni","SELF_REPRTD_GREEN_INSTR_INDCTR")</f>
        <v>#NAME?</v>
      </c>
      <c r="L268" t="e">
        <f ca="1">BDP("5444455V Muni","GB_MANAGEMENT_PROCEEDS")</f>
        <v>#NAME?</v>
      </c>
      <c r="M268" t="e">
        <f ca="1">BDP("5444455V Muni","GB_REPORTING")</f>
        <v>#NAME?</v>
      </c>
      <c r="N268" t="e">
        <f ca="1">BDP("5444455V Muni","GB_ASSURANCE_PROVIDERS")</f>
        <v>#NAME?</v>
      </c>
      <c r="O268" t="e">
        <f ca="1">BDP("5444455V Muni","GB_PROJECT_SELECTION_PROCESS")</f>
        <v>#NAME?</v>
      </c>
      <c r="P268" t="e">
        <f ca="1">BDP("5444455V Muni","ESG_FRAMEWORK_INDICATOR")</f>
        <v>#NAME?</v>
      </c>
      <c r="Q268" t="e">
        <f ca="1">BDP("5444455V Muni","BLOOMBERG_SECTOR_CODE")</f>
        <v>#NAME?</v>
      </c>
      <c r="R268" t="e">
        <f ca="1">BDP("5444455V Muni","ISSUER_TYPE")</f>
        <v>#NAME?</v>
      </c>
      <c r="S268" t="e">
        <f ca="1">BDS("5444455V Muni","ESG_PROJECT_CATEGORY", "aggregate=y")</f>
        <v>#NAME?</v>
      </c>
      <c r="T268" t="e">
        <f ca="1">BDS("5444455V Muni","ESG_PROJECT_SUBCATEGORY", "aggregate=y")</f>
        <v>#NAME?</v>
      </c>
    </row>
    <row r="269" spans="1:20" x14ac:dyDescent="0.25">
      <c r="A269" t="e">
        <f ca="1">BDP("13013JHD Muni","ID_CUSIP")</f>
        <v>#NAME?</v>
      </c>
      <c r="B269" t="e">
        <f ca="1">BDP("13013JHD Muni","STATE_CODE")</f>
        <v>#NAME?</v>
      </c>
      <c r="C269" t="s">
        <v>30</v>
      </c>
      <c r="D269" t="e">
        <f ca="1">BDP("13013JHD Muni","YIELD_ON_ISSUE_DATE")</f>
        <v>#NAME?</v>
      </c>
      <c r="E269">
        <v>929955000</v>
      </c>
      <c r="F269" t="e">
        <f ca="1">BDP("13013JHD Muni","ISSUE_DT")</f>
        <v>#NAME?</v>
      </c>
      <c r="G269" t="e">
        <f ca="1">BDP("13013JHD Muni","MATURITY")</f>
        <v>#NAME?</v>
      </c>
      <c r="H269" t="e">
        <f ca="1">BDP("13013JHD Muni","MUNI_TAX_PROV")</f>
        <v>#NAME?</v>
      </c>
      <c r="I269" t="e">
        <f ca="1">BDP("13013JHD Muni","FINANCING_TYPE")</f>
        <v>#NAME?</v>
      </c>
      <c r="J269" t="e">
        <f ca="1">BDP("13013JHD Muni","BICS_LEVEL_2_INDUSTRY_GROUP_NAME")</f>
        <v>#NAME?</v>
      </c>
      <c r="K269" t="e">
        <f ca="1">BDP("13013JHD Muni","SELF_REPRTD_GREEN_INSTR_INDCTR")</f>
        <v>#NAME?</v>
      </c>
      <c r="L269" t="e">
        <f ca="1">BDP("13013JHD Muni","GB_MANAGEMENT_PROCEEDS")</f>
        <v>#NAME?</v>
      </c>
      <c r="M269" t="e">
        <f ca="1">BDP("13013JHD Muni","GB_REPORTING")</f>
        <v>#NAME?</v>
      </c>
      <c r="N269" t="e">
        <f ca="1">BDP("13013JHD Muni","GB_ASSURANCE_PROVIDERS")</f>
        <v>#NAME?</v>
      </c>
      <c r="O269" t="e">
        <f ca="1">BDP("13013JHD Muni","GB_PROJECT_SELECTION_PROCESS")</f>
        <v>#NAME?</v>
      </c>
      <c r="P269" t="e">
        <f ca="1">BDP("13013JHD Muni","ESG_FRAMEWORK_INDICATOR")</f>
        <v>#NAME?</v>
      </c>
      <c r="Q269" t="e">
        <f ca="1">BDP("13013JHD Muni","BLOOMBERG_SECTOR_CODE")</f>
        <v>#NAME?</v>
      </c>
      <c r="R269" t="e">
        <f ca="1">BDP("13013JHD Muni","ISSUER_TYPE")</f>
        <v>#NAME?</v>
      </c>
      <c r="S269" t="e">
        <f ca="1">BDS("13013JHD Muni","ESG_PROJECT_CATEGORY", "aggregate=y")</f>
        <v>#NAME?</v>
      </c>
      <c r="T269" t="e">
        <f ca="1">BDS("13013JHD Muni","ESG_PROJECT_SUBCATEGORY", "aggregate=y")</f>
        <v>#NAME?</v>
      </c>
    </row>
    <row r="270" spans="1:20" x14ac:dyDescent="0.25">
      <c r="A270" t="e">
        <f ca="1">BDP("5444455R Muni","ID_CUSIP")</f>
        <v>#NAME?</v>
      </c>
      <c r="B270" t="e">
        <f ca="1">BDP("5444455R Muni","STATE_CODE")</f>
        <v>#NAME?</v>
      </c>
      <c r="C270" t="s">
        <v>34</v>
      </c>
      <c r="D270" t="e">
        <f ca="1">BDP("5444455R Muni","YIELD_ON_ISSUE_DATE")</f>
        <v>#NAME?</v>
      </c>
      <c r="E270">
        <v>23540000</v>
      </c>
      <c r="F270" t="e">
        <f ca="1">BDP("5444455R Muni","ISSUE_DT")</f>
        <v>#NAME?</v>
      </c>
      <c r="G270" t="e">
        <f ca="1">BDP("5444455R Muni","MATURITY")</f>
        <v>#NAME?</v>
      </c>
      <c r="H270" t="e">
        <f ca="1">BDP("5444455R Muni","MUNI_TAX_PROV")</f>
        <v>#NAME?</v>
      </c>
      <c r="I270" t="e">
        <f ca="1">BDP("5444455R Muni","FINANCING_TYPE")</f>
        <v>#NAME?</v>
      </c>
      <c r="J270" t="e">
        <f ca="1">BDP("5444455R Muni","BICS_LEVEL_2_INDUSTRY_GROUP_NAME")</f>
        <v>#NAME?</v>
      </c>
      <c r="K270" t="e">
        <f ca="1">BDP("5444455R Muni","SELF_REPRTD_GREEN_INSTR_INDCTR")</f>
        <v>#NAME?</v>
      </c>
      <c r="L270" t="e">
        <f ca="1">BDP("5444455R Muni","GB_MANAGEMENT_PROCEEDS")</f>
        <v>#NAME?</v>
      </c>
      <c r="M270" t="e">
        <f ca="1">BDP("5444455R Muni","GB_REPORTING")</f>
        <v>#NAME?</v>
      </c>
      <c r="N270" t="e">
        <f ca="1">BDP("5444455R Muni","GB_ASSURANCE_PROVIDERS")</f>
        <v>#NAME?</v>
      </c>
      <c r="O270" t="e">
        <f ca="1">BDP("5444455R Muni","GB_PROJECT_SELECTION_PROCESS")</f>
        <v>#NAME?</v>
      </c>
      <c r="P270" t="e">
        <f ca="1">BDP("5444455R Muni","ESG_FRAMEWORK_INDICATOR")</f>
        <v>#NAME?</v>
      </c>
      <c r="Q270" t="e">
        <f ca="1">BDP("5444455R Muni","BLOOMBERG_SECTOR_CODE")</f>
        <v>#NAME?</v>
      </c>
      <c r="R270" t="e">
        <f ca="1">BDP("5444455R Muni","ISSUER_TYPE")</f>
        <v>#NAME?</v>
      </c>
      <c r="S270" t="e">
        <f ca="1">BDS("5444455R Muni","ESG_PROJECT_CATEGORY", "aggregate=y")</f>
        <v>#NAME?</v>
      </c>
      <c r="T270" t="e">
        <f ca="1">BDS("5444455R Muni","ESG_PROJECT_SUBCATEGORY", "aggregate=y")</f>
        <v>#NAME?</v>
      </c>
    </row>
    <row r="271" spans="1:20" x14ac:dyDescent="0.25">
      <c r="A271" t="e">
        <f ca="1">BDP("13034A7U Muni","ID_CUSIP")</f>
        <v>#NAME?</v>
      </c>
      <c r="B271" t="e">
        <f ca="1">BDP("13034A7U Muni","STATE_CODE")</f>
        <v>#NAME?</v>
      </c>
      <c r="C271" t="s">
        <v>27</v>
      </c>
      <c r="D271" t="e">
        <f ca="1">BDP("13034A7U Muni","YIELD_ON_ISSUE_DATE")</f>
        <v>#NAME?</v>
      </c>
      <c r="E271">
        <v>21430000</v>
      </c>
      <c r="F271" t="e">
        <f ca="1">BDP("13034A7U Muni","ISSUE_DT")</f>
        <v>#NAME?</v>
      </c>
      <c r="G271" t="e">
        <f ca="1">BDP("13034A7U Muni","MATURITY")</f>
        <v>#NAME?</v>
      </c>
      <c r="H271" t="e">
        <f ca="1">BDP("13034A7U Muni","MUNI_TAX_PROV")</f>
        <v>#NAME?</v>
      </c>
      <c r="I271" t="e">
        <f ca="1">BDP("13034A7U Muni","FINANCING_TYPE")</f>
        <v>#NAME?</v>
      </c>
      <c r="J271" t="e">
        <f ca="1">BDP("13034A7U Muni","BICS_LEVEL_2_INDUSTRY_GROUP_NAME")</f>
        <v>#NAME?</v>
      </c>
      <c r="K271" t="e">
        <f ca="1">BDP("13034A7U Muni","SELF_REPRTD_GREEN_INSTR_INDCTR")</f>
        <v>#NAME?</v>
      </c>
      <c r="L271" t="e">
        <f ca="1">BDP("13034A7U Muni","GB_MANAGEMENT_PROCEEDS")</f>
        <v>#NAME?</v>
      </c>
      <c r="M271" t="e">
        <f ca="1">BDP("13034A7U Muni","GB_REPORTING")</f>
        <v>#NAME?</v>
      </c>
      <c r="N271" t="e">
        <f ca="1">BDP("13034A7U Muni","GB_ASSURANCE_PROVIDERS")</f>
        <v>#NAME?</v>
      </c>
      <c r="O271" t="e">
        <f ca="1">BDP("13034A7U Muni","GB_PROJECT_SELECTION_PROCESS")</f>
        <v>#NAME?</v>
      </c>
      <c r="P271" t="e">
        <f ca="1">BDP("13034A7U Muni","ESG_FRAMEWORK_INDICATOR")</f>
        <v>#NAME?</v>
      </c>
      <c r="Q271" t="e">
        <f ca="1">BDP("13034A7U Muni","BLOOMBERG_SECTOR_CODE")</f>
        <v>#NAME?</v>
      </c>
      <c r="R271" t="e">
        <f ca="1">BDP("13034A7U Muni","ISSUER_TYPE")</f>
        <v>#NAME?</v>
      </c>
      <c r="S271" t="e">
        <f ca="1">BDS("13034A7U Muni","ESG_PROJECT_CATEGORY", "aggregate=y")</f>
        <v>#NAME?</v>
      </c>
      <c r="T271" t="e">
        <f ca="1">BDS("13034A7U Muni","ESG_PROJECT_SUBCATEGORY", "aggregate=y")</f>
        <v>#NAME?</v>
      </c>
    </row>
    <row r="272" spans="1:20" x14ac:dyDescent="0.25">
      <c r="A272" t="e">
        <f ca="1">BDP("88035RLD Muni","ID_CUSIP")</f>
        <v>#NAME?</v>
      </c>
      <c r="B272" t="e">
        <f ca="1">BDP("88035RLD Muni","STATE_CODE")</f>
        <v>#NAME?</v>
      </c>
      <c r="C272" t="s">
        <v>25</v>
      </c>
      <c r="D272" t="e">
        <f ca="1">BDP("88035RLD Muni","YIELD_ON_ISSUE_DATE")</f>
        <v>#NAME?</v>
      </c>
      <c r="E272">
        <v>18405000</v>
      </c>
      <c r="F272" t="e">
        <f ca="1">BDP("88035RLD Muni","ISSUE_DT")</f>
        <v>#NAME?</v>
      </c>
      <c r="G272" t="e">
        <f ca="1">BDP("88035RLD Muni","MATURITY")</f>
        <v>#NAME?</v>
      </c>
      <c r="H272" t="e">
        <f ca="1">BDP("88035RLD Muni","MUNI_TAX_PROV")</f>
        <v>#NAME?</v>
      </c>
      <c r="I272" t="e">
        <f ca="1">BDP("88035RLD Muni","FINANCING_TYPE")</f>
        <v>#NAME?</v>
      </c>
      <c r="J272" t="e">
        <f ca="1">BDP("88035RLD Muni","BICS_LEVEL_2_INDUSTRY_GROUP_NAME")</f>
        <v>#NAME?</v>
      </c>
      <c r="K272" t="e">
        <f ca="1">BDP("88035RLD Muni","SELF_REPRTD_GREEN_INSTR_INDCTR")</f>
        <v>#NAME?</v>
      </c>
      <c r="L272" t="e">
        <f ca="1">BDP("88035RLD Muni","GB_MANAGEMENT_PROCEEDS")</f>
        <v>#NAME?</v>
      </c>
      <c r="M272" t="e">
        <f ca="1">BDP("88035RLD Muni","GB_REPORTING")</f>
        <v>#NAME?</v>
      </c>
      <c r="N272" t="e">
        <f ca="1">BDP("88035RLD Muni","GB_ASSURANCE_PROVIDERS")</f>
        <v>#NAME?</v>
      </c>
      <c r="O272" t="e">
        <f ca="1">BDP("88035RLD Muni","GB_PROJECT_SELECTION_PROCESS")</f>
        <v>#NAME?</v>
      </c>
      <c r="P272" t="e">
        <f ca="1">BDP("88035RLD Muni","ESG_FRAMEWORK_INDICATOR")</f>
        <v>#NAME?</v>
      </c>
      <c r="Q272" t="e">
        <f ca="1">BDP("88035RLD Muni","BLOOMBERG_SECTOR_CODE")</f>
        <v>#NAME?</v>
      </c>
      <c r="R272" t="e">
        <f ca="1">BDP("88035RLD Muni","ISSUER_TYPE")</f>
        <v>#NAME?</v>
      </c>
      <c r="S272" t="e">
        <f ca="1">BDS("88035RLD Muni","ESG_PROJECT_CATEGORY", "aggregate=y")</f>
        <v>#NAME?</v>
      </c>
      <c r="T272" t="e">
        <f ca="1">BDS("88035RLD Muni","ESG_PROJECT_SUBCATEGORY", "aggregate=y")</f>
        <v>#NAME?</v>
      </c>
    </row>
    <row r="273" spans="1:20" x14ac:dyDescent="0.25">
      <c r="A273" t="e">
        <f ca="1">BDP("797661G7 Muni","ID_CUSIP")</f>
        <v>#NAME?</v>
      </c>
      <c r="B273" t="e">
        <f ca="1">BDP("797661G7 Muni","STATE_CODE")</f>
        <v>#NAME?</v>
      </c>
      <c r="C273" t="s">
        <v>36</v>
      </c>
      <c r="D273" t="e">
        <f ca="1">BDP("797661G7 Muni","YIELD_ON_ISSUE_DATE")</f>
        <v>#NAME?</v>
      </c>
      <c r="E273">
        <v>24710000</v>
      </c>
      <c r="F273" t="e">
        <f ca="1">BDP("797661G7 Muni","ISSUE_DT")</f>
        <v>#NAME?</v>
      </c>
      <c r="G273" t="e">
        <f ca="1">BDP("797661G7 Muni","MATURITY")</f>
        <v>#NAME?</v>
      </c>
      <c r="H273" t="e">
        <f ca="1">BDP("797661G7 Muni","MUNI_TAX_PROV")</f>
        <v>#NAME?</v>
      </c>
      <c r="I273" t="e">
        <f ca="1">BDP("797661G7 Muni","FINANCING_TYPE")</f>
        <v>#NAME?</v>
      </c>
      <c r="J273" t="e">
        <f ca="1">BDP("797661G7 Muni","BICS_LEVEL_2_INDUSTRY_GROUP_NAME")</f>
        <v>#NAME?</v>
      </c>
      <c r="K273" t="e">
        <f ca="1">BDP("797661G7 Muni","SELF_REPRTD_GREEN_INSTR_INDCTR")</f>
        <v>#NAME?</v>
      </c>
      <c r="L273" t="e">
        <f ca="1">BDP("797661G7 Muni","GB_MANAGEMENT_PROCEEDS")</f>
        <v>#NAME?</v>
      </c>
      <c r="M273" t="e">
        <f ca="1">BDP("797661G7 Muni","GB_REPORTING")</f>
        <v>#NAME?</v>
      </c>
      <c r="N273" t="e">
        <f ca="1">BDP("797661G7 Muni","GB_ASSURANCE_PROVIDERS")</f>
        <v>#NAME?</v>
      </c>
      <c r="O273" t="e">
        <f ca="1">BDP("797661G7 Muni","GB_PROJECT_SELECTION_PROCESS")</f>
        <v>#NAME?</v>
      </c>
      <c r="P273" t="e">
        <f ca="1">BDP("797661G7 Muni","ESG_FRAMEWORK_INDICATOR")</f>
        <v>#NAME?</v>
      </c>
      <c r="Q273" t="e">
        <f ca="1">BDP("797661G7 Muni","BLOOMBERG_SECTOR_CODE")</f>
        <v>#NAME?</v>
      </c>
      <c r="R273" t="e">
        <f ca="1">BDP("797661G7 Muni","ISSUER_TYPE")</f>
        <v>#NAME?</v>
      </c>
      <c r="S273" t="e">
        <f ca="1">BDS("797661G7 Muni","ESG_PROJECT_CATEGORY", "aggregate=y")</f>
        <v>#NAME?</v>
      </c>
      <c r="T273" t="e">
        <f ca="1">BDS("797661G7 Muni","ESG_PROJECT_SUBCATEGORY", "aggregate=y")</f>
        <v>#NAME?</v>
      </c>
    </row>
    <row r="274" spans="1:20" x14ac:dyDescent="0.25">
      <c r="A274" t="e">
        <f ca="1">BDP("5444455P Muni","ID_CUSIP")</f>
        <v>#NAME?</v>
      </c>
      <c r="B274" t="e">
        <f ca="1">BDP("5444455P Muni","STATE_CODE")</f>
        <v>#NAME?</v>
      </c>
      <c r="C274" t="s">
        <v>34</v>
      </c>
      <c r="D274" t="e">
        <f ca="1">BDP("5444455P Muni","YIELD_ON_ISSUE_DATE")</f>
        <v>#NAME?</v>
      </c>
      <c r="E274">
        <v>21350000</v>
      </c>
      <c r="F274" t="e">
        <f ca="1">BDP("5444455P Muni","ISSUE_DT")</f>
        <v>#NAME?</v>
      </c>
      <c r="G274" t="e">
        <f ca="1">BDP("5444455P Muni","MATURITY")</f>
        <v>#NAME?</v>
      </c>
      <c r="H274" t="e">
        <f ca="1">BDP("5444455P Muni","MUNI_TAX_PROV")</f>
        <v>#NAME?</v>
      </c>
      <c r="I274" t="e">
        <f ca="1">BDP("5444455P Muni","FINANCING_TYPE")</f>
        <v>#NAME?</v>
      </c>
      <c r="J274" t="e">
        <f ca="1">BDP("5444455P Muni","BICS_LEVEL_2_INDUSTRY_GROUP_NAME")</f>
        <v>#NAME?</v>
      </c>
      <c r="K274" t="e">
        <f ca="1">BDP("5444455P Muni","SELF_REPRTD_GREEN_INSTR_INDCTR")</f>
        <v>#NAME?</v>
      </c>
      <c r="L274" t="e">
        <f ca="1">BDP("5444455P Muni","GB_MANAGEMENT_PROCEEDS")</f>
        <v>#NAME?</v>
      </c>
      <c r="M274" t="e">
        <f ca="1">BDP("5444455P Muni","GB_REPORTING")</f>
        <v>#NAME?</v>
      </c>
      <c r="N274" t="e">
        <f ca="1">BDP("5444455P Muni","GB_ASSURANCE_PROVIDERS")</f>
        <v>#NAME?</v>
      </c>
      <c r="O274" t="e">
        <f ca="1">BDP("5444455P Muni","GB_PROJECT_SELECTION_PROCESS")</f>
        <v>#NAME?</v>
      </c>
      <c r="P274" t="e">
        <f ca="1">BDP("5444455P Muni","ESG_FRAMEWORK_INDICATOR")</f>
        <v>#NAME?</v>
      </c>
      <c r="Q274" t="e">
        <f ca="1">BDP("5444455P Muni","BLOOMBERG_SECTOR_CODE")</f>
        <v>#NAME?</v>
      </c>
      <c r="R274" t="e">
        <f ca="1">BDP("5444455P Muni","ISSUER_TYPE")</f>
        <v>#NAME?</v>
      </c>
      <c r="S274" t="e">
        <f ca="1">BDS("5444455P Muni","ESG_PROJECT_CATEGORY", "aggregate=y")</f>
        <v>#NAME?</v>
      </c>
      <c r="T274" t="e">
        <f ca="1">BDS("5444455P Muni","ESG_PROJECT_SUBCATEGORY", "aggregate=y")</f>
        <v>#NAME?</v>
      </c>
    </row>
    <row r="275" spans="1:20" x14ac:dyDescent="0.25">
      <c r="A275" t="e">
        <f ca="1">BDP("88035RMF Muni","ID_CUSIP")</f>
        <v>#NAME?</v>
      </c>
      <c r="B275" t="e">
        <f ca="1">BDP("88035RMF Muni","STATE_CODE")</f>
        <v>#NAME?</v>
      </c>
      <c r="C275" t="s">
        <v>25</v>
      </c>
      <c r="D275" t="e">
        <f ca="1">BDP("88035RMF Muni","YIELD_ON_ISSUE_DATE")</f>
        <v>#NAME?</v>
      </c>
      <c r="E275">
        <v>64010000</v>
      </c>
      <c r="F275" t="e">
        <f ca="1">BDP("88035RMF Muni","ISSUE_DT")</f>
        <v>#NAME?</v>
      </c>
      <c r="G275" t="e">
        <f ca="1">BDP("88035RMF Muni","MATURITY")</f>
        <v>#NAME?</v>
      </c>
      <c r="H275" t="e">
        <f ca="1">BDP("88035RMF Muni","MUNI_TAX_PROV")</f>
        <v>#NAME?</v>
      </c>
      <c r="I275" t="e">
        <f ca="1">BDP("88035RMF Muni","FINANCING_TYPE")</f>
        <v>#NAME?</v>
      </c>
      <c r="J275" t="e">
        <f ca="1">BDP("88035RMF Muni","BICS_LEVEL_2_INDUSTRY_GROUP_NAME")</f>
        <v>#NAME?</v>
      </c>
      <c r="K275" t="e">
        <f ca="1">BDP("88035RMF Muni","SELF_REPRTD_GREEN_INSTR_INDCTR")</f>
        <v>#NAME?</v>
      </c>
      <c r="L275" t="e">
        <f ca="1">BDP("88035RMF Muni","GB_MANAGEMENT_PROCEEDS")</f>
        <v>#NAME?</v>
      </c>
      <c r="M275" t="e">
        <f ca="1">BDP("88035RMF Muni","GB_REPORTING")</f>
        <v>#NAME?</v>
      </c>
      <c r="N275" t="e">
        <f ca="1">BDP("88035RMF Muni","GB_ASSURANCE_PROVIDERS")</f>
        <v>#NAME?</v>
      </c>
      <c r="O275" t="e">
        <f ca="1">BDP("88035RMF Muni","GB_PROJECT_SELECTION_PROCESS")</f>
        <v>#NAME?</v>
      </c>
      <c r="P275" t="e">
        <f ca="1">BDP("88035RMF Muni","ESG_FRAMEWORK_INDICATOR")</f>
        <v>#NAME?</v>
      </c>
      <c r="Q275" t="e">
        <f ca="1">BDP("88035RMF Muni","BLOOMBERG_SECTOR_CODE")</f>
        <v>#NAME?</v>
      </c>
      <c r="R275" t="e">
        <f ca="1">BDP("88035RMF Muni","ISSUER_TYPE")</f>
        <v>#NAME?</v>
      </c>
      <c r="S275" t="e">
        <f ca="1">BDS("88035RMF Muni","ESG_PROJECT_CATEGORY", "aggregate=y")</f>
        <v>#NAME?</v>
      </c>
      <c r="T275" t="e">
        <f ca="1">BDS("88035RMF Muni","ESG_PROJECT_SUBCATEGORY", "aggregate=y")</f>
        <v>#NAME?</v>
      </c>
    </row>
    <row r="276" spans="1:20" x14ac:dyDescent="0.25">
      <c r="A276" t="e">
        <f ca="1">BDP("13013JGN Muni","ID_CUSIP")</f>
        <v>#NAME?</v>
      </c>
      <c r="B276" t="e">
        <f ca="1">BDP("13013JGN Muni","STATE_CODE")</f>
        <v>#NAME?</v>
      </c>
      <c r="C276" t="s">
        <v>30</v>
      </c>
      <c r="D276" t="e">
        <f ca="1">BDP("13013JGN Muni","YIELD_ON_ISSUE_DATE")</f>
        <v>#NAME?</v>
      </c>
      <c r="E276">
        <v>8730000</v>
      </c>
      <c r="F276" t="e">
        <f ca="1">BDP("13013JGN Muni","ISSUE_DT")</f>
        <v>#NAME?</v>
      </c>
      <c r="G276" t="e">
        <f ca="1">BDP("13013JGN Muni","MATURITY")</f>
        <v>#NAME?</v>
      </c>
      <c r="H276" t="e">
        <f ca="1">BDP("13013JGN Muni","MUNI_TAX_PROV")</f>
        <v>#NAME?</v>
      </c>
      <c r="I276" t="e">
        <f ca="1">BDP("13013JGN Muni","FINANCING_TYPE")</f>
        <v>#NAME?</v>
      </c>
      <c r="J276" t="e">
        <f ca="1">BDP("13013JGN Muni","BICS_LEVEL_2_INDUSTRY_GROUP_NAME")</f>
        <v>#NAME?</v>
      </c>
      <c r="K276" t="e">
        <f ca="1">BDP("13013JGN Muni","SELF_REPRTD_GREEN_INSTR_INDCTR")</f>
        <v>#NAME?</v>
      </c>
      <c r="L276" t="e">
        <f ca="1">BDP("13013JGN Muni","GB_MANAGEMENT_PROCEEDS")</f>
        <v>#NAME?</v>
      </c>
      <c r="M276" t="e">
        <f ca="1">BDP("13013JGN Muni","GB_REPORTING")</f>
        <v>#NAME?</v>
      </c>
      <c r="N276" t="e">
        <f ca="1">BDP("13013JGN Muni","GB_ASSURANCE_PROVIDERS")</f>
        <v>#NAME?</v>
      </c>
      <c r="O276" t="e">
        <f ca="1">BDP("13013JGN Muni","GB_PROJECT_SELECTION_PROCESS")</f>
        <v>#NAME?</v>
      </c>
      <c r="P276" t="e">
        <f ca="1">BDP("13013JGN Muni","ESG_FRAMEWORK_INDICATOR")</f>
        <v>#NAME?</v>
      </c>
      <c r="Q276" t="e">
        <f ca="1">BDP("13013JGN Muni","BLOOMBERG_SECTOR_CODE")</f>
        <v>#NAME?</v>
      </c>
      <c r="R276" t="e">
        <f ca="1">BDP("13013JGN Muni","ISSUER_TYPE")</f>
        <v>#NAME?</v>
      </c>
      <c r="S276" t="e">
        <f ca="1">BDS("13013JGN Muni","ESG_PROJECT_CATEGORY", "aggregate=y")</f>
        <v>#NAME?</v>
      </c>
      <c r="T276" t="e">
        <f ca="1">BDS("13013JGN Muni","ESG_PROJECT_SUBCATEGORY", "aggregate=y")</f>
        <v>#NAME?</v>
      </c>
    </row>
    <row r="277" spans="1:20" x14ac:dyDescent="0.25">
      <c r="A277" t="e">
        <f ca="1">BDP("88035RKY Muni","ID_CUSIP")</f>
        <v>#NAME?</v>
      </c>
      <c r="B277" t="e">
        <f ca="1">BDP("88035RKY Muni","STATE_CODE")</f>
        <v>#NAME?</v>
      </c>
      <c r="C277" t="s">
        <v>25</v>
      </c>
      <c r="D277" t="e">
        <f ca="1">BDP("88035RKY Muni","YIELD_ON_ISSUE_DATE")</f>
        <v>#NAME?</v>
      </c>
      <c r="E277">
        <v>18665000</v>
      </c>
      <c r="F277" t="e">
        <f ca="1">BDP("88035RKY Muni","ISSUE_DT")</f>
        <v>#NAME?</v>
      </c>
      <c r="G277" t="e">
        <f ca="1">BDP("88035RKY Muni","MATURITY")</f>
        <v>#NAME?</v>
      </c>
      <c r="H277" t="e">
        <f ca="1">BDP("88035RKY Muni","MUNI_TAX_PROV")</f>
        <v>#NAME?</v>
      </c>
      <c r="I277" t="e">
        <f ca="1">BDP("88035RKY Muni","FINANCING_TYPE")</f>
        <v>#NAME?</v>
      </c>
      <c r="J277" t="e">
        <f ca="1">BDP("88035RKY Muni","BICS_LEVEL_2_INDUSTRY_GROUP_NAME")</f>
        <v>#NAME?</v>
      </c>
      <c r="K277" t="e">
        <f ca="1">BDP("88035RKY Muni","SELF_REPRTD_GREEN_INSTR_INDCTR")</f>
        <v>#NAME?</v>
      </c>
      <c r="L277" t="e">
        <f ca="1">BDP("88035RKY Muni","GB_MANAGEMENT_PROCEEDS")</f>
        <v>#NAME?</v>
      </c>
      <c r="M277" t="e">
        <f ca="1">BDP("88035RKY Muni","GB_REPORTING")</f>
        <v>#NAME?</v>
      </c>
      <c r="N277" t="e">
        <f ca="1">BDP("88035RKY Muni","GB_ASSURANCE_PROVIDERS")</f>
        <v>#NAME?</v>
      </c>
      <c r="O277" t="e">
        <f ca="1">BDP("88035RKY Muni","GB_PROJECT_SELECTION_PROCESS")</f>
        <v>#NAME?</v>
      </c>
      <c r="P277" t="e">
        <f ca="1">BDP("88035RKY Muni","ESG_FRAMEWORK_INDICATOR")</f>
        <v>#NAME?</v>
      </c>
      <c r="Q277" t="e">
        <f ca="1">BDP("88035RKY Muni","BLOOMBERG_SECTOR_CODE")</f>
        <v>#NAME?</v>
      </c>
      <c r="R277" t="e">
        <f ca="1">BDP("88035RKY Muni","ISSUER_TYPE")</f>
        <v>#NAME?</v>
      </c>
      <c r="S277" t="e">
        <f ca="1">BDS("88035RKY Muni","ESG_PROJECT_CATEGORY", "aggregate=y")</f>
        <v>#NAME?</v>
      </c>
      <c r="T277" t="e">
        <f ca="1">BDS("88035RKY Muni","ESG_PROJECT_SUBCATEGORY", "aggregate=y")</f>
        <v>#NAME?</v>
      </c>
    </row>
    <row r="278" spans="1:20" x14ac:dyDescent="0.25">
      <c r="A278" t="e">
        <f ca="1">BDP("79771FFS Muni","ID_CUSIP")</f>
        <v>#NAME?</v>
      </c>
      <c r="B278" t="e">
        <f ca="1">BDP("79771FFS Muni","STATE_CODE")</f>
        <v>#NAME?</v>
      </c>
      <c r="C278" t="s">
        <v>37</v>
      </c>
      <c r="D278" t="e">
        <f ca="1">BDP("79771FFS Muni","YIELD_ON_ISSUE_DATE")</f>
        <v>#NAME?</v>
      </c>
      <c r="E278">
        <v>23800000</v>
      </c>
      <c r="F278" t="e">
        <f ca="1">BDP("79771FFS Muni","ISSUE_DT")</f>
        <v>#NAME?</v>
      </c>
      <c r="G278" t="e">
        <f ca="1">BDP("79771FFS Muni","MATURITY")</f>
        <v>#NAME?</v>
      </c>
      <c r="H278" t="e">
        <f ca="1">BDP("79771FFS Muni","MUNI_TAX_PROV")</f>
        <v>#NAME?</v>
      </c>
      <c r="I278" t="e">
        <f ca="1">BDP("79771FFS Muni","FINANCING_TYPE")</f>
        <v>#NAME?</v>
      </c>
      <c r="J278" t="e">
        <f ca="1">BDP("79771FFS Muni","BICS_LEVEL_2_INDUSTRY_GROUP_NAME")</f>
        <v>#NAME?</v>
      </c>
      <c r="K278" t="e">
        <f ca="1">BDP("79771FFS Muni","SELF_REPRTD_GREEN_INSTR_INDCTR")</f>
        <v>#NAME?</v>
      </c>
      <c r="L278" t="e">
        <f ca="1">BDP("79771FFS Muni","GB_MANAGEMENT_PROCEEDS")</f>
        <v>#NAME?</v>
      </c>
      <c r="M278" t="e">
        <f ca="1">BDP("79771FFS Muni","GB_REPORTING")</f>
        <v>#NAME?</v>
      </c>
      <c r="N278" t="e">
        <f ca="1">BDP("79771FFS Muni","GB_ASSURANCE_PROVIDERS")</f>
        <v>#NAME?</v>
      </c>
      <c r="O278" t="e">
        <f ca="1">BDP("79771FFS Muni","GB_PROJECT_SELECTION_PROCESS")</f>
        <v>#NAME?</v>
      </c>
      <c r="P278" t="e">
        <f ca="1">BDP("79771FFS Muni","ESG_FRAMEWORK_INDICATOR")</f>
        <v>#NAME?</v>
      </c>
      <c r="Q278" t="e">
        <f ca="1">BDP("79771FFS Muni","BLOOMBERG_SECTOR_CODE")</f>
        <v>#NAME?</v>
      </c>
      <c r="R278" t="e">
        <f ca="1">BDP("79771FFS Muni","ISSUER_TYPE")</f>
        <v>#NAME?</v>
      </c>
      <c r="S278" t="e">
        <f ca="1">BDS("79771FFS Muni","ESG_PROJECT_CATEGORY", "aggregate=y")</f>
        <v>#NAME?</v>
      </c>
      <c r="T278" t="e">
        <f ca="1">BDS("79771FFS Muni","ESG_PROJECT_SUBCATEGORY", "aggregate=y")</f>
        <v>#NAME?</v>
      </c>
    </row>
    <row r="279" spans="1:20" x14ac:dyDescent="0.25">
      <c r="A279" t="e">
        <f ca="1">BDP("271014T4 Muni","ID_CUSIP")</f>
        <v>#NAME?</v>
      </c>
      <c r="B279" t="e">
        <f ca="1">BDP("271014T4 Muni","STATE_CODE")</f>
        <v>#NAME?</v>
      </c>
      <c r="C279" t="s">
        <v>33</v>
      </c>
      <c r="D279" t="e">
        <f ca="1">BDP("271014T4 Muni","YIELD_ON_ISSUE_DATE")</f>
        <v>#NAME?</v>
      </c>
      <c r="E279">
        <v>103650000</v>
      </c>
      <c r="F279" t="e">
        <f ca="1">BDP("271014T4 Muni","ISSUE_DT")</f>
        <v>#NAME?</v>
      </c>
      <c r="G279" t="e">
        <f ca="1">BDP("271014T4 Muni","MATURITY")</f>
        <v>#NAME?</v>
      </c>
      <c r="H279" t="e">
        <f ca="1">BDP("271014T4 Muni","MUNI_TAX_PROV")</f>
        <v>#NAME?</v>
      </c>
      <c r="I279" t="e">
        <f ca="1">BDP("271014T4 Muni","FINANCING_TYPE")</f>
        <v>#NAME?</v>
      </c>
      <c r="J279" t="e">
        <f ca="1">BDP("271014T4 Muni","BICS_LEVEL_2_INDUSTRY_GROUP_NAME")</f>
        <v>#NAME?</v>
      </c>
      <c r="K279" t="e">
        <f ca="1">BDP("271014T4 Muni","SELF_REPRTD_GREEN_INSTR_INDCTR")</f>
        <v>#NAME?</v>
      </c>
      <c r="L279" t="e">
        <f ca="1">BDP("271014T4 Muni","GB_MANAGEMENT_PROCEEDS")</f>
        <v>#NAME?</v>
      </c>
      <c r="M279" t="e">
        <f ca="1">BDP("271014T4 Muni","GB_REPORTING")</f>
        <v>#NAME?</v>
      </c>
      <c r="N279" t="e">
        <f ca="1">BDP("271014T4 Muni","GB_ASSURANCE_PROVIDERS")</f>
        <v>#NAME?</v>
      </c>
      <c r="O279" t="e">
        <f ca="1">BDP("271014T4 Muni","GB_PROJECT_SELECTION_PROCESS")</f>
        <v>#NAME?</v>
      </c>
      <c r="P279" t="e">
        <f ca="1">BDP("271014T4 Muni","ESG_FRAMEWORK_INDICATOR")</f>
        <v>#NAME?</v>
      </c>
      <c r="Q279" t="e">
        <f ca="1">BDP("271014T4 Muni","BLOOMBERG_SECTOR_CODE")</f>
        <v>#NAME?</v>
      </c>
      <c r="R279" t="e">
        <f ca="1">BDP("271014T4 Muni","ISSUER_TYPE")</f>
        <v>#NAME?</v>
      </c>
      <c r="S279" t="e">
        <f ca="1">BDS("271014T4 Muni","ESG_PROJECT_CATEGORY", "aggregate=y")</f>
        <v>#NAME?</v>
      </c>
      <c r="T279" t="e">
        <f ca="1">BDS("271014T4 Muni","ESG_PROJECT_SUBCATEGORY", "aggregate=y")</f>
        <v>#NAME?</v>
      </c>
    </row>
    <row r="280" spans="1:20" x14ac:dyDescent="0.25">
      <c r="A280" t="e">
        <f ca="1">BDP("786005N7 Muni","ID_CUSIP")</f>
        <v>#NAME?</v>
      </c>
      <c r="B280" t="e">
        <f ca="1">BDP("786005N7 Muni","STATE_CODE")</f>
        <v>#NAME?</v>
      </c>
      <c r="C280" t="s">
        <v>35</v>
      </c>
      <c r="D280" t="e">
        <f ca="1">BDP("786005N7 Muni","YIELD_ON_ISSUE_DATE")</f>
        <v>#NAME?</v>
      </c>
      <c r="E280">
        <v>100000000</v>
      </c>
      <c r="F280" t="e">
        <f ca="1">BDP("786005N7 Muni","ISSUE_DT")</f>
        <v>#NAME?</v>
      </c>
      <c r="G280" t="e">
        <f ca="1">BDP("786005N7 Muni","MATURITY")</f>
        <v>#NAME?</v>
      </c>
      <c r="H280" t="e">
        <f ca="1">BDP("786005N7 Muni","MUNI_TAX_PROV")</f>
        <v>#NAME?</v>
      </c>
      <c r="I280" t="e">
        <f ca="1">BDP("786005N7 Muni","FINANCING_TYPE")</f>
        <v>#NAME?</v>
      </c>
      <c r="J280" t="e">
        <f ca="1">BDP("786005N7 Muni","BICS_LEVEL_2_INDUSTRY_GROUP_NAME")</f>
        <v>#NAME?</v>
      </c>
      <c r="K280" t="e">
        <f ca="1">BDP("786005N7 Muni","SELF_REPRTD_GREEN_INSTR_INDCTR")</f>
        <v>#NAME?</v>
      </c>
      <c r="L280" t="e">
        <f ca="1">BDP("786005N7 Muni","GB_MANAGEMENT_PROCEEDS")</f>
        <v>#NAME?</v>
      </c>
      <c r="M280" t="e">
        <f ca="1">BDP("786005N7 Muni","GB_REPORTING")</f>
        <v>#NAME?</v>
      </c>
      <c r="N280" t="e">
        <f ca="1">BDP("786005N7 Muni","GB_ASSURANCE_PROVIDERS")</f>
        <v>#NAME?</v>
      </c>
      <c r="O280" t="e">
        <f ca="1">BDP("786005N7 Muni","GB_PROJECT_SELECTION_PROCESS")</f>
        <v>#NAME?</v>
      </c>
      <c r="P280" t="e">
        <f ca="1">BDP("786005N7 Muni","ESG_FRAMEWORK_INDICATOR")</f>
        <v>#NAME?</v>
      </c>
      <c r="Q280" t="e">
        <f ca="1">BDP("786005N7 Muni","BLOOMBERG_SECTOR_CODE")</f>
        <v>#NAME?</v>
      </c>
      <c r="R280" t="e">
        <f ca="1">BDP("786005N7 Muni","ISSUER_TYPE")</f>
        <v>#NAME?</v>
      </c>
      <c r="S280" t="e">
        <f ca="1">BDS("786005N7 Muni","ESG_PROJECT_CATEGORY", "aggregate=y")</f>
        <v>#NAME?</v>
      </c>
      <c r="T280" t="e">
        <f ca="1">BDS("786005N7 Muni","ESG_PROJECT_SUBCATEGORY", "aggregate=y")</f>
        <v>#NAME?</v>
      </c>
    </row>
    <row r="281" spans="1:20" x14ac:dyDescent="0.25">
      <c r="A281" t="e">
        <f ca="1">BDP("5444452R Muni","ID_CUSIP")</f>
        <v>#NAME?</v>
      </c>
      <c r="B281" t="e">
        <f ca="1">BDP("5444452R Muni","STATE_CODE")</f>
        <v>#NAME?</v>
      </c>
      <c r="C281" t="s">
        <v>34</v>
      </c>
      <c r="D281" t="e">
        <f ca="1">BDP("5444452R Muni","YIELD_ON_ISSUE_DATE")</f>
        <v>#NAME?</v>
      </c>
      <c r="E281">
        <v>41475000</v>
      </c>
      <c r="F281" t="e">
        <f ca="1">BDP("5444452R Muni","ISSUE_DT")</f>
        <v>#NAME?</v>
      </c>
      <c r="G281" t="e">
        <f ca="1">BDP("5444452R Muni","MATURITY")</f>
        <v>#NAME?</v>
      </c>
      <c r="H281" t="e">
        <f ca="1">BDP("5444452R Muni","MUNI_TAX_PROV")</f>
        <v>#NAME?</v>
      </c>
      <c r="I281" t="e">
        <f ca="1">BDP("5444452R Muni","FINANCING_TYPE")</f>
        <v>#NAME?</v>
      </c>
      <c r="J281" t="e">
        <f ca="1">BDP("5444452R Muni","BICS_LEVEL_2_INDUSTRY_GROUP_NAME")</f>
        <v>#NAME?</v>
      </c>
      <c r="K281" t="e">
        <f ca="1">BDP("5444452R Muni","SELF_REPRTD_GREEN_INSTR_INDCTR")</f>
        <v>#NAME?</v>
      </c>
      <c r="L281" t="e">
        <f ca="1">BDP("5444452R Muni","GB_MANAGEMENT_PROCEEDS")</f>
        <v>#NAME?</v>
      </c>
      <c r="M281" t="e">
        <f ca="1">BDP("5444452R Muni","GB_REPORTING")</f>
        <v>#NAME?</v>
      </c>
      <c r="N281" t="e">
        <f ca="1">BDP("5444452R Muni","GB_ASSURANCE_PROVIDERS")</f>
        <v>#NAME?</v>
      </c>
      <c r="O281" t="e">
        <f ca="1">BDP("5444452R Muni","GB_PROJECT_SELECTION_PROCESS")</f>
        <v>#NAME?</v>
      </c>
      <c r="P281" t="e">
        <f ca="1">BDP("5444452R Muni","ESG_FRAMEWORK_INDICATOR")</f>
        <v>#NAME?</v>
      </c>
      <c r="Q281" t="e">
        <f ca="1">BDP("5444452R Muni","BLOOMBERG_SECTOR_CODE")</f>
        <v>#NAME?</v>
      </c>
      <c r="R281" t="e">
        <f ca="1">BDP("5444452R Muni","ISSUER_TYPE")</f>
        <v>#NAME?</v>
      </c>
      <c r="S281" t="e">
        <f ca="1">BDS("5444452R Muni","ESG_PROJECT_CATEGORY", "aggregate=y")</f>
        <v>#NAME?</v>
      </c>
      <c r="T281" t="e">
        <f ca="1">BDS("5444452R Muni","ESG_PROJECT_SUBCATEGORY", "aggregate=y")</f>
        <v>#NAME?</v>
      </c>
    </row>
    <row r="282" spans="1:20" x14ac:dyDescent="0.25">
      <c r="A282" t="e">
        <f ca="1">BDP("25156SKC Muni","ID_CUSIP")</f>
        <v>#NAME?</v>
      </c>
      <c r="B282" t="e">
        <f ca="1">BDP("25156SKC Muni","STATE_CODE")</f>
        <v>#NAME?</v>
      </c>
      <c r="C282" t="s">
        <v>31</v>
      </c>
      <c r="D282" t="e">
        <f ca="1">BDP("25156SKC Muni","YIELD_ON_ISSUE_DATE")</f>
        <v>#NAME?</v>
      </c>
      <c r="E282">
        <v>10745000</v>
      </c>
      <c r="F282" t="e">
        <f ca="1">BDP("25156SKC Muni","ISSUE_DT")</f>
        <v>#NAME?</v>
      </c>
      <c r="G282" t="e">
        <f ca="1">BDP("25156SKC Muni","MATURITY")</f>
        <v>#NAME?</v>
      </c>
      <c r="H282" t="e">
        <f ca="1">BDP("25156SKC Muni","MUNI_TAX_PROV")</f>
        <v>#NAME?</v>
      </c>
      <c r="I282" t="e">
        <f ca="1">BDP("25156SKC Muni","FINANCING_TYPE")</f>
        <v>#NAME?</v>
      </c>
      <c r="J282" t="e">
        <f ca="1">BDP("25156SKC Muni","BICS_LEVEL_2_INDUSTRY_GROUP_NAME")</f>
        <v>#NAME?</v>
      </c>
      <c r="K282" t="e">
        <f ca="1">BDP("25156SKC Muni","SELF_REPRTD_GREEN_INSTR_INDCTR")</f>
        <v>#NAME?</v>
      </c>
      <c r="L282" t="e">
        <f ca="1">BDP("25156SKC Muni","GB_MANAGEMENT_PROCEEDS")</f>
        <v>#NAME?</v>
      </c>
      <c r="M282" t="e">
        <f ca="1">BDP("25156SKC Muni","GB_REPORTING")</f>
        <v>#NAME?</v>
      </c>
      <c r="N282" t="e">
        <f ca="1">BDP("25156SKC Muni","GB_ASSURANCE_PROVIDERS")</f>
        <v>#NAME?</v>
      </c>
      <c r="O282" t="e">
        <f ca="1">BDP("25156SKC Muni","GB_PROJECT_SELECTION_PROCESS")</f>
        <v>#NAME?</v>
      </c>
      <c r="P282" t="e">
        <f ca="1">BDP("25156SKC Muni","ESG_FRAMEWORK_INDICATOR")</f>
        <v>#NAME?</v>
      </c>
      <c r="Q282" t="e">
        <f ca="1">BDP("25156SKC Muni","BLOOMBERG_SECTOR_CODE")</f>
        <v>#NAME?</v>
      </c>
      <c r="R282" t="e">
        <f ca="1">BDP("25156SKC Muni","ISSUER_TYPE")</f>
        <v>#NAME?</v>
      </c>
      <c r="S282" t="e">
        <f ca="1">BDS("25156SKC Muni","ESG_PROJECT_CATEGORY", "aggregate=y")</f>
        <v>#NAME?</v>
      </c>
      <c r="T282" t="e">
        <f ca="1">BDS("25156SKC Muni","ESG_PROJECT_SUBCATEGORY", "aggregate=y")</f>
        <v>#NAME?</v>
      </c>
    </row>
    <row r="283" spans="1:20" x14ac:dyDescent="0.25">
      <c r="A283" t="e">
        <f ca="1">BDP("79771FFY Muni","ID_CUSIP")</f>
        <v>#NAME?</v>
      </c>
      <c r="B283" t="e">
        <f ca="1">BDP("79771FFY Muni","STATE_CODE")</f>
        <v>#NAME?</v>
      </c>
      <c r="C283" t="s">
        <v>37</v>
      </c>
      <c r="D283" t="e">
        <f ca="1">BDP("79771FFY Muni","YIELD_ON_ISSUE_DATE")</f>
        <v>#NAME?</v>
      </c>
      <c r="E283">
        <v>40040000</v>
      </c>
      <c r="F283" t="e">
        <f ca="1">BDP("79771FFY Muni","ISSUE_DT")</f>
        <v>#NAME?</v>
      </c>
      <c r="G283" t="e">
        <f ca="1">BDP("79771FFY Muni","MATURITY")</f>
        <v>#NAME?</v>
      </c>
      <c r="H283" t="e">
        <f ca="1">BDP("79771FFY Muni","MUNI_TAX_PROV")</f>
        <v>#NAME?</v>
      </c>
      <c r="I283" t="e">
        <f ca="1">BDP("79771FFY Muni","FINANCING_TYPE")</f>
        <v>#NAME?</v>
      </c>
      <c r="J283" t="e">
        <f ca="1">BDP("79771FFY Muni","BICS_LEVEL_2_INDUSTRY_GROUP_NAME")</f>
        <v>#NAME?</v>
      </c>
      <c r="K283" t="e">
        <f ca="1">BDP("79771FFY Muni","SELF_REPRTD_GREEN_INSTR_INDCTR")</f>
        <v>#NAME?</v>
      </c>
      <c r="L283" t="e">
        <f ca="1">BDP("79771FFY Muni","GB_MANAGEMENT_PROCEEDS")</f>
        <v>#NAME?</v>
      </c>
      <c r="M283" t="e">
        <f ca="1">BDP("79771FFY Muni","GB_REPORTING")</f>
        <v>#NAME?</v>
      </c>
      <c r="N283" t="e">
        <f ca="1">BDP("79771FFY Muni","GB_ASSURANCE_PROVIDERS")</f>
        <v>#NAME?</v>
      </c>
      <c r="O283" t="e">
        <f ca="1">BDP("79771FFY Muni","GB_PROJECT_SELECTION_PROCESS")</f>
        <v>#NAME?</v>
      </c>
      <c r="P283" t="e">
        <f ca="1">BDP("79771FFY Muni","ESG_FRAMEWORK_INDICATOR")</f>
        <v>#NAME?</v>
      </c>
      <c r="Q283" t="e">
        <f ca="1">BDP("79771FFY Muni","BLOOMBERG_SECTOR_CODE")</f>
        <v>#NAME?</v>
      </c>
      <c r="R283" t="e">
        <f ca="1">BDP("79771FFY Muni","ISSUER_TYPE")</f>
        <v>#NAME?</v>
      </c>
      <c r="S283" t="e">
        <f ca="1">BDS("79771FFY Muni","ESG_PROJECT_CATEGORY", "aggregate=y")</f>
        <v>#NAME?</v>
      </c>
      <c r="T283" t="e">
        <f ca="1">BDS("79771FFY Muni","ESG_PROJECT_SUBCATEGORY", "aggregate=y")</f>
        <v>#NAME?</v>
      </c>
    </row>
    <row r="284" spans="1:20" x14ac:dyDescent="0.25">
      <c r="A284" t="e">
        <f ca="1">BDP("13013JGG Muni","ID_CUSIP")</f>
        <v>#NAME?</v>
      </c>
      <c r="B284" t="e">
        <f ca="1">BDP("13013JGG Muni","STATE_CODE")</f>
        <v>#NAME?</v>
      </c>
      <c r="C284" t="s">
        <v>30</v>
      </c>
      <c r="D284" t="e">
        <f ca="1">BDP("13013JGG Muni","YIELD_ON_ISSUE_DATE")</f>
        <v>#NAME?</v>
      </c>
      <c r="E284">
        <v>5910000</v>
      </c>
      <c r="F284" t="e">
        <f ca="1">BDP("13013JGG Muni","ISSUE_DT")</f>
        <v>#NAME?</v>
      </c>
      <c r="G284" t="e">
        <f ca="1">BDP("13013JGG Muni","MATURITY")</f>
        <v>#NAME?</v>
      </c>
      <c r="H284" t="e">
        <f ca="1">BDP("13013JGG Muni","MUNI_TAX_PROV")</f>
        <v>#NAME?</v>
      </c>
      <c r="I284" t="e">
        <f ca="1">BDP("13013JGG Muni","FINANCING_TYPE")</f>
        <v>#NAME?</v>
      </c>
      <c r="J284" t="e">
        <f ca="1">BDP("13013JGG Muni","BICS_LEVEL_2_INDUSTRY_GROUP_NAME")</f>
        <v>#NAME?</v>
      </c>
      <c r="K284" t="e">
        <f ca="1">BDP("13013JGG Muni","SELF_REPRTD_GREEN_INSTR_INDCTR")</f>
        <v>#NAME?</v>
      </c>
      <c r="L284" t="e">
        <f ca="1">BDP("13013JGG Muni","GB_MANAGEMENT_PROCEEDS")</f>
        <v>#NAME?</v>
      </c>
      <c r="M284" t="e">
        <f ca="1">BDP("13013JGG Muni","GB_REPORTING")</f>
        <v>#NAME?</v>
      </c>
      <c r="N284" t="e">
        <f ca="1">BDP("13013JGG Muni","GB_ASSURANCE_PROVIDERS")</f>
        <v>#NAME?</v>
      </c>
      <c r="O284" t="e">
        <f ca="1">BDP("13013JGG Muni","GB_PROJECT_SELECTION_PROCESS")</f>
        <v>#NAME?</v>
      </c>
      <c r="P284" t="e">
        <f ca="1">BDP("13013JGG Muni","ESG_FRAMEWORK_INDICATOR")</f>
        <v>#NAME?</v>
      </c>
      <c r="Q284" t="e">
        <f ca="1">BDP("13013JGG Muni","BLOOMBERG_SECTOR_CODE")</f>
        <v>#NAME?</v>
      </c>
      <c r="R284" t="e">
        <f ca="1">BDP("13013JGG Muni","ISSUER_TYPE")</f>
        <v>#NAME?</v>
      </c>
      <c r="S284" t="e">
        <f ca="1">BDS("13013JGG Muni","ESG_PROJECT_CATEGORY", "aggregate=y")</f>
        <v>#NAME?</v>
      </c>
      <c r="T284" t="e">
        <f ca="1">BDS("13013JGG Muni","ESG_PROJECT_SUBCATEGORY", "aggregate=y")</f>
        <v>#NAME?</v>
      </c>
    </row>
    <row r="285" spans="1:20" x14ac:dyDescent="0.25">
      <c r="A285" t="e">
        <f ca="1">BDP("797661F5 Muni","ID_CUSIP")</f>
        <v>#NAME?</v>
      </c>
      <c r="B285" t="e">
        <f ca="1">BDP("797661F5 Muni","STATE_CODE")</f>
        <v>#NAME?</v>
      </c>
      <c r="C285" t="s">
        <v>36</v>
      </c>
      <c r="D285" t="e">
        <f ca="1">BDP("797661F5 Muni","YIELD_ON_ISSUE_DATE")</f>
        <v>#NAME?</v>
      </c>
      <c r="E285">
        <v>46585000</v>
      </c>
      <c r="F285" t="e">
        <f ca="1">BDP("797661F5 Muni","ISSUE_DT")</f>
        <v>#NAME?</v>
      </c>
      <c r="G285" t="e">
        <f ca="1">BDP("797661F5 Muni","MATURITY")</f>
        <v>#NAME?</v>
      </c>
      <c r="H285" t="e">
        <f ca="1">BDP("797661F5 Muni","MUNI_TAX_PROV")</f>
        <v>#NAME?</v>
      </c>
      <c r="I285" t="e">
        <f ca="1">BDP("797661F5 Muni","FINANCING_TYPE")</f>
        <v>#NAME?</v>
      </c>
      <c r="J285" t="e">
        <f ca="1">BDP("797661F5 Muni","BICS_LEVEL_2_INDUSTRY_GROUP_NAME")</f>
        <v>#NAME?</v>
      </c>
      <c r="K285" t="e">
        <f ca="1">BDP("797661F5 Muni","SELF_REPRTD_GREEN_INSTR_INDCTR")</f>
        <v>#NAME?</v>
      </c>
      <c r="L285" t="e">
        <f ca="1">BDP("797661F5 Muni","GB_MANAGEMENT_PROCEEDS")</f>
        <v>#NAME?</v>
      </c>
      <c r="M285" t="e">
        <f ca="1">BDP("797661F5 Muni","GB_REPORTING")</f>
        <v>#NAME?</v>
      </c>
      <c r="N285" t="e">
        <f ca="1">BDP("797661F5 Muni","GB_ASSURANCE_PROVIDERS")</f>
        <v>#NAME?</v>
      </c>
      <c r="O285" t="e">
        <f ca="1">BDP("797661F5 Muni","GB_PROJECT_SELECTION_PROCESS")</f>
        <v>#NAME?</v>
      </c>
      <c r="P285" t="e">
        <f ca="1">BDP("797661F5 Muni","ESG_FRAMEWORK_INDICATOR")</f>
        <v>#NAME?</v>
      </c>
      <c r="Q285" t="e">
        <f ca="1">BDP("797661F5 Muni","BLOOMBERG_SECTOR_CODE")</f>
        <v>#NAME?</v>
      </c>
      <c r="R285" t="e">
        <f ca="1">BDP("797661F5 Muni","ISSUER_TYPE")</f>
        <v>#NAME?</v>
      </c>
      <c r="S285" t="e">
        <f ca="1">BDS("797661F5 Muni","ESG_PROJECT_CATEGORY", "aggregate=y")</f>
        <v>#NAME?</v>
      </c>
      <c r="T285" t="e">
        <f ca="1">BDS("797661F5 Muni","ESG_PROJECT_SUBCATEGORY", "aggregate=y")</f>
        <v>#NAME?</v>
      </c>
    </row>
    <row r="286" spans="1:20" x14ac:dyDescent="0.25">
      <c r="A286" t="e">
        <f ca="1">BDP("271014T3 Muni","ID_CUSIP")</f>
        <v>#NAME?</v>
      </c>
      <c r="B286" t="e">
        <f ca="1">BDP("271014T3 Muni","STATE_CODE")</f>
        <v>#NAME?</v>
      </c>
      <c r="C286" t="s">
        <v>33</v>
      </c>
      <c r="D286" t="e">
        <f ca="1">BDP("271014T3 Muni","YIELD_ON_ISSUE_DATE")</f>
        <v>#NAME?</v>
      </c>
      <c r="E286">
        <v>81210000</v>
      </c>
      <c r="F286" t="e">
        <f ca="1">BDP("271014T3 Muni","ISSUE_DT")</f>
        <v>#NAME?</v>
      </c>
      <c r="G286" t="e">
        <f ca="1">BDP("271014T3 Muni","MATURITY")</f>
        <v>#NAME?</v>
      </c>
      <c r="H286" t="e">
        <f ca="1">BDP("271014T3 Muni","MUNI_TAX_PROV")</f>
        <v>#NAME?</v>
      </c>
      <c r="I286" t="e">
        <f ca="1">BDP("271014T3 Muni","FINANCING_TYPE")</f>
        <v>#NAME?</v>
      </c>
      <c r="J286" t="e">
        <f ca="1">BDP("271014T3 Muni","BICS_LEVEL_2_INDUSTRY_GROUP_NAME")</f>
        <v>#NAME?</v>
      </c>
      <c r="K286" t="e">
        <f ca="1">BDP("271014T3 Muni","SELF_REPRTD_GREEN_INSTR_INDCTR")</f>
        <v>#NAME?</v>
      </c>
      <c r="L286" t="e">
        <f ca="1">BDP("271014T3 Muni","GB_MANAGEMENT_PROCEEDS")</f>
        <v>#NAME?</v>
      </c>
      <c r="M286" t="e">
        <f ca="1">BDP("271014T3 Muni","GB_REPORTING")</f>
        <v>#NAME?</v>
      </c>
      <c r="N286" t="e">
        <f ca="1">BDP("271014T3 Muni","GB_ASSURANCE_PROVIDERS")</f>
        <v>#NAME?</v>
      </c>
      <c r="O286" t="e">
        <f ca="1">BDP("271014T3 Muni","GB_PROJECT_SELECTION_PROCESS")</f>
        <v>#NAME?</v>
      </c>
      <c r="P286" t="e">
        <f ca="1">BDP("271014T3 Muni","ESG_FRAMEWORK_INDICATOR")</f>
        <v>#NAME?</v>
      </c>
      <c r="Q286" t="e">
        <f ca="1">BDP("271014T3 Muni","BLOOMBERG_SECTOR_CODE")</f>
        <v>#NAME?</v>
      </c>
      <c r="R286" t="e">
        <f ca="1">BDP("271014T3 Muni","ISSUER_TYPE")</f>
        <v>#NAME?</v>
      </c>
      <c r="S286" t="e">
        <f ca="1">BDS("271014T3 Muni","ESG_PROJECT_CATEGORY", "aggregate=y")</f>
        <v>#NAME?</v>
      </c>
      <c r="T286" t="e">
        <f ca="1">BDS("271014T3 Muni","ESG_PROJECT_SUBCATEGORY", "aggregate=y")</f>
        <v>#NAME?</v>
      </c>
    </row>
    <row r="287" spans="1:20" x14ac:dyDescent="0.25">
      <c r="A287" t="e">
        <f ca="1">BDP("79771FGH Muni","ID_CUSIP")</f>
        <v>#NAME?</v>
      </c>
      <c r="B287" t="e">
        <f ca="1">BDP("79771FGH Muni","STATE_CODE")</f>
        <v>#NAME?</v>
      </c>
      <c r="C287" t="s">
        <v>37</v>
      </c>
      <c r="D287" t="e">
        <f ca="1">BDP("79771FGH Muni","YIELD_ON_ISSUE_DATE")</f>
        <v>#NAME?</v>
      </c>
      <c r="E287">
        <v>5670000</v>
      </c>
      <c r="F287" t="e">
        <f ca="1">BDP("79771FGH Muni","ISSUE_DT")</f>
        <v>#NAME?</v>
      </c>
      <c r="G287" t="e">
        <f ca="1">BDP("79771FGH Muni","MATURITY")</f>
        <v>#NAME?</v>
      </c>
      <c r="H287" t="e">
        <f ca="1">BDP("79771FGH Muni","MUNI_TAX_PROV")</f>
        <v>#NAME?</v>
      </c>
      <c r="I287" t="e">
        <f ca="1">BDP("79771FGH Muni","FINANCING_TYPE")</f>
        <v>#NAME?</v>
      </c>
      <c r="J287" t="e">
        <f ca="1">BDP("79771FGH Muni","BICS_LEVEL_2_INDUSTRY_GROUP_NAME")</f>
        <v>#NAME?</v>
      </c>
      <c r="K287" t="e">
        <f ca="1">BDP("79771FGH Muni","SELF_REPRTD_GREEN_INSTR_INDCTR")</f>
        <v>#NAME?</v>
      </c>
      <c r="L287" t="e">
        <f ca="1">BDP("79771FGH Muni","GB_MANAGEMENT_PROCEEDS")</f>
        <v>#NAME?</v>
      </c>
      <c r="M287" t="e">
        <f ca="1">BDP("79771FGH Muni","GB_REPORTING")</f>
        <v>#NAME?</v>
      </c>
      <c r="N287" t="e">
        <f ca="1">BDP("79771FGH Muni","GB_ASSURANCE_PROVIDERS")</f>
        <v>#NAME?</v>
      </c>
      <c r="O287" t="e">
        <f ca="1">BDP("79771FGH Muni","GB_PROJECT_SELECTION_PROCESS")</f>
        <v>#NAME?</v>
      </c>
      <c r="P287" t="e">
        <f ca="1">BDP("79771FGH Muni","ESG_FRAMEWORK_INDICATOR")</f>
        <v>#NAME?</v>
      </c>
      <c r="Q287" t="e">
        <f ca="1">BDP("79771FGH Muni","BLOOMBERG_SECTOR_CODE")</f>
        <v>#NAME?</v>
      </c>
      <c r="R287" t="e">
        <f ca="1">BDP("79771FGH Muni","ISSUER_TYPE")</f>
        <v>#NAME?</v>
      </c>
      <c r="S287" t="e">
        <f ca="1">BDS("79771FGH Muni","ESG_PROJECT_CATEGORY", "aggregate=y")</f>
        <v>#NAME?</v>
      </c>
      <c r="T287" t="e">
        <f ca="1">BDS("79771FGH Muni","ESG_PROJECT_SUBCATEGORY", "aggregate=y")</f>
        <v>#NAME?</v>
      </c>
    </row>
    <row r="288" spans="1:20" x14ac:dyDescent="0.25">
      <c r="A288" t="e">
        <f ca="1">BDP("797669ZZ Muni","ID_CUSIP")</f>
        <v>#NAME?</v>
      </c>
      <c r="B288" t="e">
        <f ca="1">BDP("797669ZZ Muni","STATE_CODE")</f>
        <v>#NAME?</v>
      </c>
      <c r="C288" t="s">
        <v>28</v>
      </c>
      <c r="D288" t="e">
        <f ca="1">BDP("797669ZZ Muni","YIELD_ON_ISSUE_DATE")</f>
        <v>#NAME?</v>
      </c>
      <c r="E288">
        <v>19695000</v>
      </c>
      <c r="F288" t="e">
        <f ca="1">BDP("797669ZZ Muni","ISSUE_DT")</f>
        <v>#NAME?</v>
      </c>
      <c r="G288" t="e">
        <f ca="1">BDP("797669ZZ Muni","MATURITY")</f>
        <v>#NAME?</v>
      </c>
      <c r="H288" t="e">
        <f ca="1">BDP("797669ZZ Muni","MUNI_TAX_PROV")</f>
        <v>#NAME?</v>
      </c>
      <c r="I288" t="e">
        <f ca="1">BDP("797669ZZ Muni","FINANCING_TYPE")</f>
        <v>#NAME?</v>
      </c>
      <c r="J288" t="e">
        <f ca="1">BDP("797669ZZ Muni","BICS_LEVEL_2_INDUSTRY_GROUP_NAME")</f>
        <v>#NAME?</v>
      </c>
      <c r="K288" t="e">
        <f ca="1">BDP("797669ZZ Muni","SELF_REPRTD_GREEN_INSTR_INDCTR")</f>
        <v>#NAME?</v>
      </c>
      <c r="L288" t="e">
        <f ca="1">BDP("797669ZZ Muni","GB_MANAGEMENT_PROCEEDS")</f>
        <v>#NAME?</v>
      </c>
      <c r="M288" t="e">
        <f ca="1">BDP("797669ZZ Muni","GB_REPORTING")</f>
        <v>#NAME?</v>
      </c>
      <c r="N288" t="e">
        <f ca="1">BDP("797669ZZ Muni","GB_ASSURANCE_PROVIDERS")</f>
        <v>#NAME?</v>
      </c>
      <c r="O288" t="e">
        <f ca="1">BDP("797669ZZ Muni","GB_PROJECT_SELECTION_PROCESS")</f>
        <v>#NAME?</v>
      </c>
      <c r="P288" t="e">
        <f ca="1">BDP("797669ZZ Muni","ESG_FRAMEWORK_INDICATOR")</f>
        <v>#NAME?</v>
      </c>
      <c r="Q288" t="e">
        <f ca="1">BDP("797669ZZ Muni","BLOOMBERG_SECTOR_CODE")</f>
        <v>#NAME?</v>
      </c>
      <c r="R288" t="e">
        <f ca="1">BDP("797669ZZ Muni","ISSUER_TYPE")</f>
        <v>#NAME?</v>
      </c>
      <c r="S288" t="e">
        <f ca="1">BDS("797669ZZ Muni","ESG_PROJECT_CATEGORY", "aggregate=y")</f>
        <v>#NAME?</v>
      </c>
      <c r="T288" t="e">
        <f ca="1">BDS("797669ZZ Muni","ESG_PROJECT_SUBCATEGORY", "aggregate=y")</f>
        <v>#NAME?</v>
      </c>
    </row>
    <row r="289" spans="1:20" x14ac:dyDescent="0.25">
      <c r="A289" t="e">
        <f ca="1">BDP("13034A7V Muni","ID_CUSIP")</f>
        <v>#NAME?</v>
      </c>
      <c r="B289" t="e">
        <f ca="1">BDP("13034A7V Muni","STATE_CODE")</f>
        <v>#NAME?</v>
      </c>
      <c r="C289" t="s">
        <v>27</v>
      </c>
      <c r="D289" t="e">
        <f ca="1">BDP("13034A7V Muni","YIELD_ON_ISSUE_DATE")</f>
        <v>#NAME?</v>
      </c>
      <c r="E289">
        <v>22505000</v>
      </c>
      <c r="F289" t="e">
        <f ca="1">BDP("13034A7V Muni","ISSUE_DT")</f>
        <v>#NAME?</v>
      </c>
      <c r="G289" t="e">
        <f ca="1">BDP("13034A7V Muni","MATURITY")</f>
        <v>#NAME?</v>
      </c>
      <c r="H289" t="e">
        <f ca="1">BDP("13034A7V Muni","MUNI_TAX_PROV")</f>
        <v>#NAME?</v>
      </c>
      <c r="I289" t="e">
        <f ca="1">BDP("13034A7V Muni","FINANCING_TYPE")</f>
        <v>#NAME?</v>
      </c>
      <c r="J289" t="e">
        <f ca="1">BDP("13034A7V Muni","BICS_LEVEL_2_INDUSTRY_GROUP_NAME")</f>
        <v>#NAME?</v>
      </c>
      <c r="K289" t="e">
        <f ca="1">BDP("13034A7V Muni","SELF_REPRTD_GREEN_INSTR_INDCTR")</f>
        <v>#NAME?</v>
      </c>
      <c r="L289" t="e">
        <f ca="1">BDP("13034A7V Muni","GB_MANAGEMENT_PROCEEDS")</f>
        <v>#NAME?</v>
      </c>
      <c r="M289" t="e">
        <f ca="1">BDP("13034A7V Muni","GB_REPORTING")</f>
        <v>#NAME?</v>
      </c>
      <c r="N289" t="e">
        <f ca="1">BDP("13034A7V Muni","GB_ASSURANCE_PROVIDERS")</f>
        <v>#NAME?</v>
      </c>
      <c r="O289" t="e">
        <f ca="1">BDP("13034A7V Muni","GB_PROJECT_SELECTION_PROCESS")</f>
        <v>#NAME?</v>
      </c>
      <c r="P289" t="e">
        <f ca="1">BDP("13034A7V Muni","ESG_FRAMEWORK_INDICATOR")</f>
        <v>#NAME?</v>
      </c>
      <c r="Q289" t="e">
        <f ca="1">BDP("13034A7V Muni","BLOOMBERG_SECTOR_CODE")</f>
        <v>#NAME?</v>
      </c>
      <c r="R289" t="e">
        <f ca="1">BDP("13034A7V Muni","ISSUER_TYPE")</f>
        <v>#NAME?</v>
      </c>
      <c r="S289" t="e">
        <f ca="1">BDS("13034A7V Muni","ESG_PROJECT_CATEGORY", "aggregate=y")</f>
        <v>#NAME?</v>
      </c>
      <c r="T289" t="e">
        <f ca="1">BDS("13034A7V Muni","ESG_PROJECT_SUBCATEGORY", "aggregate=y")</f>
        <v>#NAME?</v>
      </c>
    </row>
    <row r="290" spans="1:20" x14ac:dyDescent="0.25">
      <c r="A290" t="e">
        <f ca="1">BDP("5444453A Muni","ID_CUSIP")</f>
        <v>#NAME?</v>
      </c>
      <c r="B290" t="e">
        <f ca="1">BDP("5444453A Muni","STATE_CODE")</f>
        <v>#NAME?</v>
      </c>
      <c r="C290" t="s">
        <v>34</v>
      </c>
      <c r="D290" t="e">
        <f ca="1">BDP("5444453A Muni","YIELD_ON_ISSUE_DATE")</f>
        <v>#NAME?</v>
      </c>
      <c r="E290">
        <v>47450000</v>
      </c>
      <c r="F290" t="e">
        <f ca="1">BDP("5444453A Muni","ISSUE_DT")</f>
        <v>#NAME?</v>
      </c>
      <c r="G290" t="e">
        <f ca="1">BDP("5444453A Muni","MATURITY")</f>
        <v>#NAME?</v>
      </c>
      <c r="H290" t="e">
        <f ca="1">BDP("5444453A Muni","MUNI_TAX_PROV")</f>
        <v>#NAME?</v>
      </c>
      <c r="I290" t="e">
        <f ca="1">BDP("5444453A Muni","FINANCING_TYPE")</f>
        <v>#NAME?</v>
      </c>
      <c r="J290" t="e">
        <f ca="1">BDP("5444453A Muni","BICS_LEVEL_2_INDUSTRY_GROUP_NAME")</f>
        <v>#NAME?</v>
      </c>
      <c r="K290" t="e">
        <f ca="1">BDP("5444453A Muni","SELF_REPRTD_GREEN_INSTR_INDCTR")</f>
        <v>#NAME?</v>
      </c>
      <c r="L290" t="e">
        <f ca="1">BDP("5444453A Muni","GB_MANAGEMENT_PROCEEDS")</f>
        <v>#NAME?</v>
      </c>
      <c r="M290" t="e">
        <f ca="1">BDP("5444453A Muni","GB_REPORTING")</f>
        <v>#NAME?</v>
      </c>
      <c r="N290" t="e">
        <f ca="1">BDP("5444453A Muni","GB_ASSURANCE_PROVIDERS")</f>
        <v>#NAME?</v>
      </c>
      <c r="O290" t="e">
        <f ca="1">BDP("5444453A Muni","GB_PROJECT_SELECTION_PROCESS")</f>
        <v>#NAME?</v>
      </c>
      <c r="P290" t="e">
        <f ca="1">BDP("5444453A Muni","ESG_FRAMEWORK_INDICATOR")</f>
        <v>#NAME?</v>
      </c>
      <c r="Q290" t="e">
        <f ca="1">BDP("5444453A Muni","BLOOMBERG_SECTOR_CODE")</f>
        <v>#NAME?</v>
      </c>
      <c r="R290" t="e">
        <f ca="1">BDP("5444453A Muni","ISSUER_TYPE")</f>
        <v>#NAME?</v>
      </c>
      <c r="S290" t="e">
        <f ca="1">BDS("5444453A Muni","ESG_PROJECT_CATEGORY", "aggregate=y")</f>
        <v>#NAME?</v>
      </c>
      <c r="T290" t="e">
        <f ca="1">BDS("5444453A Muni","ESG_PROJECT_SUBCATEGORY", "aggregate=y")</f>
        <v>#NAME?</v>
      </c>
    </row>
    <row r="291" spans="1:20" x14ac:dyDescent="0.25">
      <c r="A291" t="e">
        <f ca="1">BDP("797661F8 Muni","ID_CUSIP")</f>
        <v>#NAME?</v>
      </c>
      <c r="B291" t="e">
        <f ca="1">BDP("797661F8 Muni","STATE_CODE")</f>
        <v>#NAME?</v>
      </c>
      <c r="C291" t="s">
        <v>36</v>
      </c>
      <c r="D291" t="e">
        <f ca="1">BDP("797661F8 Muni","YIELD_ON_ISSUE_DATE")</f>
        <v>#NAME?</v>
      </c>
      <c r="E291">
        <v>25705000</v>
      </c>
      <c r="F291" t="e">
        <f ca="1">BDP("797661F8 Muni","ISSUE_DT")</f>
        <v>#NAME?</v>
      </c>
      <c r="G291" t="e">
        <f ca="1">BDP("797661F8 Muni","MATURITY")</f>
        <v>#NAME?</v>
      </c>
      <c r="H291" t="e">
        <f ca="1">BDP("797661F8 Muni","MUNI_TAX_PROV")</f>
        <v>#NAME?</v>
      </c>
      <c r="I291" t="e">
        <f ca="1">BDP("797661F8 Muni","FINANCING_TYPE")</f>
        <v>#NAME?</v>
      </c>
      <c r="J291" t="e">
        <f ca="1">BDP("797661F8 Muni","BICS_LEVEL_2_INDUSTRY_GROUP_NAME")</f>
        <v>#NAME?</v>
      </c>
      <c r="K291" t="e">
        <f ca="1">BDP("797661F8 Muni","SELF_REPRTD_GREEN_INSTR_INDCTR")</f>
        <v>#NAME?</v>
      </c>
      <c r="L291" t="e">
        <f ca="1">BDP("797661F8 Muni","GB_MANAGEMENT_PROCEEDS")</f>
        <v>#NAME?</v>
      </c>
      <c r="M291" t="e">
        <f ca="1">BDP("797661F8 Muni","GB_REPORTING")</f>
        <v>#NAME?</v>
      </c>
      <c r="N291" t="e">
        <f ca="1">BDP("797661F8 Muni","GB_ASSURANCE_PROVIDERS")</f>
        <v>#NAME?</v>
      </c>
      <c r="O291" t="e">
        <f ca="1">BDP("797661F8 Muni","GB_PROJECT_SELECTION_PROCESS")</f>
        <v>#NAME?</v>
      </c>
      <c r="P291" t="e">
        <f ca="1">BDP("797661F8 Muni","ESG_FRAMEWORK_INDICATOR")</f>
        <v>#NAME?</v>
      </c>
      <c r="Q291" t="e">
        <f ca="1">BDP("797661F8 Muni","BLOOMBERG_SECTOR_CODE")</f>
        <v>#NAME?</v>
      </c>
      <c r="R291" t="e">
        <f ca="1">BDP("797661F8 Muni","ISSUER_TYPE")</f>
        <v>#NAME?</v>
      </c>
      <c r="S291" t="e">
        <f ca="1">BDS("797661F8 Muni","ESG_PROJECT_CATEGORY", "aggregate=y")</f>
        <v>#NAME?</v>
      </c>
      <c r="T291" t="e">
        <f ca="1">BDS("797661F8 Muni","ESG_PROJECT_SUBCATEGORY", "aggregate=y")</f>
        <v>#NAME?</v>
      </c>
    </row>
    <row r="292" spans="1:20" x14ac:dyDescent="0.25">
      <c r="A292" t="e">
        <f ca="1">BDP("79771FFU Muni","ID_CUSIP")</f>
        <v>#NAME?</v>
      </c>
      <c r="B292" t="e">
        <f ca="1">BDP("79771FFU Muni","STATE_CODE")</f>
        <v>#NAME?</v>
      </c>
      <c r="C292" t="s">
        <v>37</v>
      </c>
      <c r="D292" t="e">
        <f ca="1">BDP("79771FFU Muni","YIELD_ON_ISSUE_DATE")</f>
        <v>#NAME?</v>
      </c>
      <c r="E292">
        <v>11380000</v>
      </c>
      <c r="F292" t="e">
        <f ca="1">BDP("79771FFU Muni","ISSUE_DT")</f>
        <v>#NAME?</v>
      </c>
      <c r="G292" t="e">
        <f ca="1">BDP("79771FFU Muni","MATURITY")</f>
        <v>#NAME?</v>
      </c>
      <c r="H292" t="e">
        <f ca="1">BDP("79771FFU Muni","MUNI_TAX_PROV")</f>
        <v>#NAME?</v>
      </c>
      <c r="I292" t="e">
        <f ca="1">BDP("79771FFU Muni","FINANCING_TYPE")</f>
        <v>#NAME?</v>
      </c>
      <c r="J292" t="e">
        <f ca="1">BDP("79771FFU Muni","BICS_LEVEL_2_INDUSTRY_GROUP_NAME")</f>
        <v>#NAME?</v>
      </c>
      <c r="K292" t="e">
        <f ca="1">BDP("79771FFU Muni","SELF_REPRTD_GREEN_INSTR_INDCTR")</f>
        <v>#NAME?</v>
      </c>
      <c r="L292" t="e">
        <f ca="1">BDP("79771FFU Muni","GB_MANAGEMENT_PROCEEDS")</f>
        <v>#NAME?</v>
      </c>
      <c r="M292" t="e">
        <f ca="1">BDP("79771FFU Muni","GB_REPORTING")</f>
        <v>#NAME?</v>
      </c>
      <c r="N292" t="e">
        <f ca="1">BDP("79771FFU Muni","GB_ASSURANCE_PROVIDERS")</f>
        <v>#NAME?</v>
      </c>
      <c r="O292" t="e">
        <f ca="1">BDP("79771FFU Muni","GB_PROJECT_SELECTION_PROCESS")</f>
        <v>#NAME?</v>
      </c>
      <c r="P292" t="e">
        <f ca="1">BDP("79771FFU Muni","ESG_FRAMEWORK_INDICATOR")</f>
        <v>#NAME?</v>
      </c>
      <c r="Q292" t="e">
        <f ca="1">BDP("79771FFU Muni","BLOOMBERG_SECTOR_CODE")</f>
        <v>#NAME?</v>
      </c>
      <c r="R292" t="e">
        <f ca="1">BDP("79771FFU Muni","ISSUER_TYPE")</f>
        <v>#NAME?</v>
      </c>
      <c r="S292" t="e">
        <f ca="1">BDS("79771FFU Muni","ESG_PROJECT_CATEGORY", "aggregate=y")</f>
        <v>#NAME?</v>
      </c>
      <c r="T292" t="e">
        <f ca="1">BDS("79771FFU Muni","ESG_PROJECT_SUBCATEGORY", "aggregate=y")</f>
        <v>#NAME?</v>
      </c>
    </row>
    <row r="293" spans="1:20" x14ac:dyDescent="0.25">
      <c r="A293" t="e">
        <f ca="1">BDP("5444455Q Muni","ID_CUSIP")</f>
        <v>#NAME?</v>
      </c>
      <c r="B293" t="e">
        <f ca="1">BDP("5444455Q Muni","STATE_CODE")</f>
        <v>#NAME?</v>
      </c>
      <c r="C293" t="s">
        <v>34</v>
      </c>
      <c r="D293" t="e">
        <f ca="1">BDP("5444455Q Muni","YIELD_ON_ISSUE_DATE")</f>
        <v>#NAME?</v>
      </c>
      <c r="E293">
        <v>22420000</v>
      </c>
      <c r="F293" t="e">
        <f ca="1">BDP("5444455Q Muni","ISSUE_DT")</f>
        <v>#NAME?</v>
      </c>
      <c r="G293" t="e">
        <f ca="1">BDP("5444455Q Muni","MATURITY")</f>
        <v>#NAME?</v>
      </c>
      <c r="H293" t="e">
        <f ca="1">BDP("5444455Q Muni","MUNI_TAX_PROV")</f>
        <v>#NAME?</v>
      </c>
      <c r="I293" t="e">
        <f ca="1">BDP("5444455Q Muni","FINANCING_TYPE")</f>
        <v>#NAME?</v>
      </c>
      <c r="J293" t="e">
        <f ca="1">BDP("5444455Q Muni","BICS_LEVEL_2_INDUSTRY_GROUP_NAME")</f>
        <v>#NAME?</v>
      </c>
      <c r="K293" t="e">
        <f ca="1">BDP("5444455Q Muni","SELF_REPRTD_GREEN_INSTR_INDCTR")</f>
        <v>#NAME?</v>
      </c>
      <c r="L293" t="e">
        <f ca="1">BDP("5444455Q Muni","GB_MANAGEMENT_PROCEEDS")</f>
        <v>#NAME?</v>
      </c>
      <c r="M293" t="e">
        <f ca="1">BDP("5444455Q Muni","GB_REPORTING")</f>
        <v>#NAME?</v>
      </c>
      <c r="N293" t="e">
        <f ca="1">BDP("5444455Q Muni","GB_ASSURANCE_PROVIDERS")</f>
        <v>#NAME?</v>
      </c>
      <c r="O293" t="e">
        <f ca="1">BDP("5444455Q Muni","GB_PROJECT_SELECTION_PROCESS")</f>
        <v>#NAME?</v>
      </c>
      <c r="P293" t="e">
        <f ca="1">BDP("5444455Q Muni","ESG_FRAMEWORK_INDICATOR")</f>
        <v>#NAME?</v>
      </c>
      <c r="Q293" t="e">
        <f ca="1">BDP("5444455Q Muni","BLOOMBERG_SECTOR_CODE")</f>
        <v>#NAME?</v>
      </c>
      <c r="R293" t="e">
        <f ca="1">BDP("5444455Q Muni","ISSUER_TYPE")</f>
        <v>#NAME?</v>
      </c>
      <c r="S293" t="e">
        <f ca="1">BDS("5444455Q Muni","ESG_PROJECT_CATEGORY", "aggregate=y")</f>
        <v>#NAME?</v>
      </c>
      <c r="T293" t="e">
        <f ca="1">BDS("5444455Q Muni","ESG_PROJECT_SUBCATEGORY", "aggregate=y")</f>
        <v>#NAME?</v>
      </c>
    </row>
    <row r="294" spans="1:20" x14ac:dyDescent="0.25">
      <c r="A294" t="e">
        <f ca="1">BDP("79771FGQ Muni","ID_CUSIP")</f>
        <v>#NAME?</v>
      </c>
      <c r="B294" t="e">
        <f ca="1">BDP("79771FGQ Muni","STATE_CODE")</f>
        <v>#NAME?</v>
      </c>
      <c r="C294" t="s">
        <v>37</v>
      </c>
      <c r="D294" t="e">
        <f ca="1">BDP("79771FGQ Muni","YIELD_ON_ISSUE_DATE")</f>
        <v>#NAME?</v>
      </c>
      <c r="E294">
        <v>1060000</v>
      </c>
      <c r="F294" t="e">
        <f ca="1">BDP("79771FGQ Muni","ISSUE_DT")</f>
        <v>#NAME?</v>
      </c>
      <c r="G294" t="e">
        <f ca="1">BDP("79771FGQ Muni","MATURITY")</f>
        <v>#NAME?</v>
      </c>
      <c r="H294" t="e">
        <f ca="1">BDP("79771FGQ Muni","MUNI_TAX_PROV")</f>
        <v>#NAME?</v>
      </c>
      <c r="I294" t="e">
        <f ca="1">BDP("79771FGQ Muni","FINANCING_TYPE")</f>
        <v>#NAME?</v>
      </c>
      <c r="J294" t="e">
        <f ca="1">BDP("79771FGQ Muni","BICS_LEVEL_2_INDUSTRY_GROUP_NAME")</f>
        <v>#NAME?</v>
      </c>
      <c r="K294" t="e">
        <f ca="1">BDP("79771FGQ Muni","SELF_REPRTD_GREEN_INSTR_INDCTR")</f>
        <v>#NAME?</v>
      </c>
      <c r="L294" t="e">
        <f ca="1">BDP("79771FGQ Muni","GB_MANAGEMENT_PROCEEDS")</f>
        <v>#NAME?</v>
      </c>
      <c r="M294" t="e">
        <f ca="1">BDP("79771FGQ Muni","GB_REPORTING")</f>
        <v>#NAME?</v>
      </c>
      <c r="N294" t="e">
        <f ca="1">BDP("79771FGQ Muni","GB_ASSURANCE_PROVIDERS")</f>
        <v>#NAME?</v>
      </c>
      <c r="O294" t="e">
        <f ca="1">BDP("79771FGQ Muni","GB_PROJECT_SELECTION_PROCESS")</f>
        <v>#NAME?</v>
      </c>
      <c r="P294" t="e">
        <f ca="1">BDP("79771FGQ Muni","ESG_FRAMEWORK_INDICATOR")</f>
        <v>#NAME?</v>
      </c>
      <c r="Q294" t="e">
        <f ca="1">BDP("79771FGQ Muni","BLOOMBERG_SECTOR_CODE")</f>
        <v>#NAME?</v>
      </c>
      <c r="R294" t="e">
        <f ca="1">BDP("79771FGQ Muni","ISSUER_TYPE")</f>
        <v>#NAME?</v>
      </c>
      <c r="S294" t="e">
        <f ca="1">BDS("79771FGQ Muni","ESG_PROJECT_CATEGORY", "aggregate=y")</f>
        <v>#NAME?</v>
      </c>
      <c r="T294" t="e">
        <f ca="1">BDS("79771FGQ Muni","ESG_PROJECT_SUBCATEGORY", "aggregate=y")</f>
        <v>#NAME?</v>
      </c>
    </row>
    <row r="295" spans="1:20" x14ac:dyDescent="0.25">
      <c r="A295" t="e">
        <f ca="1">BDP("5444456B Muni","ID_CUSIP")</f>
        <v>#NAME?</v>
      </c>
      <c r="B295" t="e">
        <f ca="1">BDP("5444456B Muni","STATE_CODE")</f>
        <v>#NAME?</v>
      </c>
      <c r="C295" t="s">
        <v>34</v>
      </c>
      <c r="D295" t="e">
        <f ca="1">BDP("5444456B Muni","YIELD_ON_ISSUE_DATE")</f>
        <v>#NAME?</v>
      </c>
      <c r="E295">
        <v>38345000</v>
      </c>
      <c r="F295" t="e">
        <f ca="1">BDP("5444456B Muni","ISSUE_DT")</f>
        <v>#NAME?</v>
      </c>
      <c r="G295" t="e">
        <f ca="1">BDP("5444456B Muni","MATURITY")</f>
        <v>#NAME?</v>
      </c>
      <c r="H295" t="e">
        <f ca="1">BDP("5444456B Muni","MUNI_TAX_PROV")</f>
        <v>#NAME?</v>
      </c>
      <c r="I295" t="e">
        <f ca="1">BDP("5444456B Muni","FINANCING_TYPE")</f>
        <v>#NAME?</v>
      </c>
      <c r="J295" t="e">
        <f ca="1">BDP("5444456B Muni","BICS_LEVEL_2_INDUSTRY_GROUP_NAME")</f>
        <v>#NAME?</v>
      </c>
      <c r="K295" t="e">
        <f ca="1">BDP("5444456B Muni","SELF_REPRTD_GREEN_INSTR_INDCTR")</f>
        <v>#NAME?</v>
      </c>
      <c r="L295" t="e">
        <f ca="1">BDP("5444456B Muni","GB_MANAGEMENT_PROCEEDS")</f>
        <v>#NAME?</v>
      </c>
      <c r="M295" t="e">
        <f ca="1">BDP("5444456B Muni","GB_REPORTING")</f>
        <v>#NAME?</v>
      </c>
      <c r="N295" t="e">
        <f ca="1">BDP("5444456B Muni","GB_ASSURANCE_PROVIDERS")</f>
        <v>#NAME?</v>
      </c>
      <c r="O295" t="e">
        <f ca="1">BDP("5444456B Muni","GB_PROJECT_SELECTION_PROCESS")</f>
        <v>#NAME?</v>
      </c>
      <c r="P295" t="e">
        <f ca="1">BDP("5444456B Muni","ESG_FRAMEWORK_INDICATOR")</f>
        <v>#NAME?</v>
      </c>
      <c r="Q295" t="e">
        <f ca="1">BDP("5444456B Muni","BLOOMBERG_SECTOR_CODE")</f>
        <v>#NAME?</v>
      </c>
      <c r="R295" t="e">
        <f ca="1">BDP("5444456B Muni","ISSUER_TYPE")</f>
        <v>#NAME?</v>
      </c>
      <c r="S295" t="e">
        <f ca="1">BDS("5444456B Muni","ESG_PROJECT_CATEGORY", "aggregate=y")</f>
        <v>#NAME?</v>
      </c>
      <c r="T295" t="e">
        <f ca="1">BDS("5444456B Muni","ESG_PROJECT_SUBCATEGORY", "aggregate=y")</f>
        <v>#NAME?</v>
      </c>
    </row>
    <row r="296" spans="1:20" x14ac:dyDescent="0.25">
      <c r="A296" t="e">
        <f ca="1">BDP("5444455N Muni","ID_CUSIP")</f>
        <v>#NAME?</v>
      </c>
      <c r="B296" t="e">
        <f ca="1">BDP("5444455N Muni","STATE_CODE")</f>
        <v>#NAME?</v>
      </c>
      <c r="C296" t="s">
        <v>34</v>
      </c>
      <c r="D296" t="e">
        <f ca="1">BDP("5444455N Muni","YIELD_ON_ISSUE_DATE")</f>
        <v>#NAME?</v>
      </c>
      <c r="E296">
        <v>20335000</v>
      </c>
      <c r="F296" t="e">
        <f ca="1">BDP("5444455N Muni","ISSUE_DT")</f>
        <v>#NAME?</v>
      </c>
      <c r="G296" t="e">
        <f ca="1">BDP("5444455N Muni","MATURITY")</f>
        <v>#NAME?</v>
      </c>
      <c r="H296" t="e">
        <f ca="1">BDP("5444455N Muni","MUNI_TAX_PROV")</f>
        <v>#NAME?</v>
      </c>
      <c r="I296" t="e">
        <f ca="1">BDP("5444455N Muni","FINANCING_TYPE")</f>
        <v>#NAME?</v>
      </c>
      <c r="J296" t="e">
        <f ca="1">BDP("5444455N Muni","BICS_LEVEL_2_INDUSTRY_GROUP_NAME")</f>
        <v>#NAME?</v>
      </c>
      <c r="K296" t="e">
        <f ca="1">BDP("5444455N Muni","SELF_REPRTD_GREEN_INSTR_INDCTR")</f>
        <v>#NAME?</v>
      </c>
      <c r="L296" t="e">
        <f ca="1">BDP("5444455N Muni","GB_MANAGEMENT_PROCEEDS")</f>
        <v>#NAME?</v>
      </c>
      <c r="M296" t="e">
        <f ca="1">BDP("5444455N Muni","GB_REPORTING")</f>
        <v>#NAME?</v>
      </c>
      <c r="N296" t="e">
        <f ca="1">BDP("5444455N Muni","GB_ASSURANCE_PROVIDERS")</f>
        <v>#NAME?</v>
      </c>
      <c r="O296" t="e">
        <f ca="1">BDP("5444455N Muni","GB_PROJECT_SELECTION_PROCESS")</f>
        <v>#NAME?</v>
      </c>
      <c r="P296" t="e">
        <f ca="1">BDP("5444455N Muni","ESG_FRAMEWORK_INDICATOR")</f>
        <v>#NAME?</v>
      </c>
      <c r="Q296" t="e">
        <f ca="1">BDP("5444455N Muni","BLOOMBERG_SECTOR_CODE")</f>
        <v>#NAME?</v>
      </c>
      <c r="R296" t="e">
        <f ca="1">BDP("5444455N Muni","ISSUER_TYPE")</f>
        <v>#NAME?</v>
      </c>
      <c r="S296" t="e">
        <f ca="1">BDS("5444455N Muni","ESG_PROJECT_CATEGORY", "aggregate=y")</f>
        <v>#NAME?</v>
      </c>
      <c r="T296" t="e">
        <f ca="1">BDS("5444455N Muni","ESG_PROJECT_SUBCATEGORY", "aggregate=y")</f>
        <v>#NAME?</v>
      </c>
    </row>
    <row r="297" spans="1:20" x14ac:dyDescent="0.25">
      <c r="A297" t="e">
        <f ca="1">BDP("88035RGT Muni","ID_CUSIP")</f>
        <v>#NAME?</v>
      </c>
      <c r="B297" t="e">
        <f ca="1">BDP("88035RGT Muni","STATE_CODE")</f>
        <v>#NAME?</v>
      </c>
      <c r="C297" t="s">
        <v>25</v>
      </c>
      <c r="D297" t="e">
        <f ca="1">BDP("88035RGT Muni","YIELD_ON_ISSUE_DATE")</f>
        <v>#NAME?</v>
      </c>
      <c r="E297">
        <v>11790000</v>
      </c>
      <c r="F297" t="e">
        <f ca="1">BDP("88035RGT Muni","ISSUE_DT")</f>
        <v>#NAME?</v>
      </c>
      <c r="G297" t="e">
        <f ca="1">BDP("88035RGT Muni","MATURITY")</f>
        <v>#NAME?</v>
      </c>
      <c r="H297" t="e">
        <f ca="1">BDP("88035RGT Muni","MUNI_TAX_PROV")</f>
        <v>#NAME?</v>
      </c>
      <c r="I297" t="e">
        <f ca="1">BDP("88035RGT Muni","FINANCING_TYPE")</f>
        <v>#NAME?</v>
      </c>
      <c r="J297" t="e">
        <f ca="1">BDP("88035RGT Muni","BICS_LEVEL_2_INDUSTRY_GROUP_NAME")</f>
        <v>#NAME?</v>
      </c>
      <c r="K297" t="e">
        <f ca="1">BDP("88035RGT Muni","SELF_REPRTD_GREEN_INSTR_INDCTR")</f>
        <v>#NAME?</v>
      </c>
      <c r="L297" t="e">
        <f ca="1">BDP("88035RGT Muni","GB_MANAGEMENT_PROCEEDS")</f>
        <v>#NAME?</v>
      </c>
      <c r="M297" t="e">
        <f ca="1">BDP("88035RGT Muni","GB_REPORTING")</f>
        <v>#NAME?</v>
      </c>
      <c r="N297" t="e">
        <f ca="1">BDP("88035RGT Muni","GB_ASSURANCE_PROVIDERS")</f>
        <v>#NAME?</v>
      </c>
      <c r="O297" t="e">
        <f ca="1">BDP("88035RGT Muni","GB_PROJECT_SELECTION_PROCESS")</f>
        <v>#NAME?</v>
      </c>
      <c r="P297" t="e">
        <f ca="1">BDP("88035RGT Muni","ESG_FRAMEWORK_INDICATOR")</f>
        <v>#NAME?</v>
      </c>
      <c r="Q297" t="e">
        <f ca="1">BDP("88035RGT Muni","BLOOMBERG_SECTOR_CODE")</f>
        <v>#NAME?</v>
      </c>
      <c r="R297" t="e">
        <f ca="1">BDP("88035RGT Muni","ISSUER_TYPE")</f>
        <v>#NAME?</v>
      </c>
      <c r="S297" t="e">
        <f ca="1">BDS("88035RGT Muni","ESG_PROJECT_CATEGORY", "aggregate=y")</f>
        <v>#NAME?</v>
      </c>
      <c r="T297" t="e">
        <f ca="1">BDS("88035RGT Muni","ESG_PROJECT_SUBCATEGORY", "aggregate=y")</f>
        <v>#NAME?</v>
      </c>
    </row>
    <row r="298" spans="1:20" x14ac:dyDescent="0.25">
      <c r="A298" t="e">
        <f ca="1">BDP("959215FZ Muni","ID_CUSIP")</f>
        <v>#NAME?</v>
      </c>
      <c r="B298" t="e">
        <f ca="1">BDP("959215FZ Muni","STATE_CODE")</f>
        <v>#NAME?</v>
      </c>
      <c r="C298" t="s">
        <v>26</v>
      </c>
      <c r="D298" t="e">
        <f ca="1">BDP("959215FZ Muni","YIELD_ON_ISSUE_DATE")</f>
        <v>#NAME?</v>
      </c>
      <c r="E298">
        <v>415000</v>
      </c>
      <c r="F298" t="e">
        <f ca="1">BDP("959215FZ Muni","ISSUE_DT")</f>
        <v>#NAME?</v>
      </c>
      <c r="G298" t="e">
        <f ca="1">BDP("959215FZ Muni","MATURITY")</f>
        <v>#NAME?</v>
      </c>
      <c r="H298" t="e">
        <f ca="1">BDP("959215FZ Muni","MUNI_TAX_PROV")</f>
        <v>#NAME?</v>
      </c>
      <c r="I298" t="e">
        <f ca="1">BDP("959215FZ Muni","FINANCING_TYPE")</f>
        <v>#NAME?</v>
      </c>
      <c r="J298" t="e">
        <f ca="1">BDP("959215FZ Muni","BICS_LEVEL_2_INDUSTRY_GROUP_NAME")</f>
        <v>#NAME?</v>
      </c>
      <c r="K298" t="e">
        <f ca="1">BDP("959215FZ Muni","SELF_REPRTD_GREEN_INSTR_INDCTR")</f>
        <v>#NAME?</v>
      </c>
      <c r="L298" t="e">
        <f ca="1">BDP("959215FZ Muni","GB_MANAGEMENT_PROCEEDS")</f>
        <v>#NAME?</v>
      </c>
      <c r="M298" t="e">
        <f ca="1">BDP("959215FZ Muni","GB_REPORTING")</f>
        <v>#NAME?</v>
      </c>
      <c r="N298" t="e">
        <f ca="1">BDP("959215FZ Muni","GB_ASSURANCE_PROVIDERS")</f>
        <v>#NAME?</v>
      </c>
      <c r="O298" t="e">
        <f ca="1">BDP("959215FZ Muni","GB_PROJECT_SELECTION_PROCESS")</f>
        <v>#NAME?</v>
      </c>
      <c r="P298" t="e">
        <f ca="1">BDP("959215FZ Muni","ESG_FRAMEWORK_INDICATOR")</f>
        <v>#NAME?</v>
      </c>
      <c r="Q298" t="e">
        <f ca="1">BDP("959215FZ Muni","BLOOMBERG_SECTOR_CODE")</f>
        <v>#NAME?</v>
      </c>
      <c r="R298" t="e">
        <f ca="1">BDP("959215FZ Muni","ISSUER_TYPE")</f>
        <v>#NAME?</v>
      </c>
      <c r="S298" t="e">
        <f ca="1">BDS("959215FZ Muni","ESG_PROJECT_CATEGORY", "aggregate=y")</f>
        <v>#NAME?</v>
      </c>
      <c r="T298" t="e">
        <f ca="1">BDS("959215FZ Muni","ESG_PROJECT_SUBCATEGORY", "aggregate=y")</f>
        <v>#NAME?</v>
      </c>
    </row>
    <row r="299" spans="1:20" x14ac:dyDescent="0.25">
      <c r="A299" t="e">
        <f ca="1">BDP("13034A8C Muni","ID_CUSIP")</f>
        <v>#NAME?</v>
      </c>
      <c r="B299" t="e">
        <f ca="1">BDP("13034A8C Muni","STATE_CODE")</f>
        <v>#NAME?</v>
      </c>
      <c r="C299" t="s">
        <v>27</v>
      </c>
      <c r="D299" t="e">
        <f ca="1">BDP("13034A8C Muni","YIELD_ON_ISSUE_DATE")</f>
        <v>#NAME?</v>
      </c>
      <c r="E299">
        <v>31065000</v>
      </c>
      <c r="F299" t="e">
        <f ca="1">BDP("13034A8C Muni","ISSUE_DT")</f>
        <v>#NAME?</v>
      </c>
      <c r="G299" t="e">
        <f ca="1">BDP("13034A8C Muni","MATURITY")</f>
        <v>#NAME?</v>
      </c>
      <c r="H299" t="e">
        <f ca="1">BDP("13034A8C Muni","MUNI_TAX_PROV")</f>
        <v>#NAME?</v>
      </c>
      <c r="I299" t="e">
        <f ca="1">BDP("13034A8C Muni","FINANCING_TYPE")</f>
        <v>#NAME?</v>
      </c>
      <c r="J299" t="e">
        <f ca="1">BDP("13034A8C Muni","BICS_LEVEL_2_INDUSTRY_GROUP_NAME")</f>
        <v>#NAME?</v>
      </c>
      <c r="K299" t="e">
        <f ca="1">BDP("13034A8C Muni","SELF_REPRTD_GREEN_INSTR_INDCTR")</f>
        <v>#NAME?</v>
      </c>
      <c r="L299" t="e">
        <f ca="1">BDP("13034A8C Muni","GB_MANAGEMENT_PROCEEDS")</f>
        <v>#NAME?</v>
      </c>
      <c r="M299" t="e">
        <f ca="1">BDP("13034A8C Muni","GB_REPORTING")</f>
        <v>#NAME?</v>
      </c>
      <c r="N299" t="e">
        <f ca="1">BDP("13034A8C Muni","GB_ASSURANCE_PROVIDERS")</f>
        <v>#NAME?</v>
      </c>
      <c r="O299" t="e">
        <f ca="1">BDP("13034A8C Muni","GB_PROJECT_SELECTION_PROCESS")</f>
        <v>#NAME?</v>
      </c>
      <c r="P299" t="e">
        <f ca="1">BDP("13034A8C Muni","ESG_FRAMEWORK_INDICATOR")</f>
        <v>#NAME?</v>
      </c>
      <c r="Q299" t="e">
        <f ca="1">BDP("13034A8C Muni","BLOOMBERG_SECTOR_CODE")</f>
        <v>#NAME?</v>
      </c>
      <c r="R299" t="e">
        <f ca="1">BDP("13034A8C Muni","ISSUER_TYPE")</f>
        <v>#NAME?</v>
      </c>
      <c r="S299" t="e">
        <f ca="1">BDS("13034A8C Muni","ESG_PROJECT_CATEGORY", "aggregate=y")</f>
        <v>#NAME?</v>
      </c>
      <c r="T299" t="e">
        <f ca="1">BDS("13034A8C Muni","ESG_PROJECT_SUBCATEGORY", "aggregate=y")</f>
        <v>#NAME?</v>
      </c>
    </row>
    <row r="300" spans="1:20" x14ac:dyDescent="0.25">
      <c r="A300" t="e">
        <f ca="1">BDP("5444455Y Muni","ID_CUSIP")</f>
        <v>#NAME?</v>
      </c>
      <c r="B300" t="e">
        <f ca="1">BDP("5444455Y Muni","STATE_CODE")</f>
        <v>#NAME?</v>
      </c>
      <c r="C300" t="s">
        <v>34</v>
      </c>
      <c r="D300" t="e">
        <f ca="1">BDP("5444455Y Muni","YIELD_ON_ISSUE_DATE")</f>
        <v>#NAME?</v>
      </c>
      <c r="E300">
        <v>33120000</v>
      </c>
      <c r="F300" t="e">
        <f ca="1">BDP("5444455Y Muni","ISSUE_DT")</f>
        <v>#NAME?</v>
      </c>
      <c r="G300" t="e">
        <f ca="1">BDP("5444455Y Muni","MATURITY")</f>
        <v>#NAME?</v>
      </c>
      <c r="H300" t="e">
        <f ca="1">BDP("5444455Y Muni","MUNI_TAX_PROV")</f>
        <v>#NAME?</v>
      </c>
      <c r="I300" t="e">
        <f ca="1">BDP("5444455Y Muni","FINANCING_TYPE")</f>
        <v>#NAME?</v>
      </c>
      <c r="J300" t="e">
        <f ca="1">BDP("5444455Y Muni","BICS_LEVEL_2_INDUSTRY_GROUP_NAME")</f>
        <v>#NAME?</v>
      </c>
      <c r="K300" t="e">
        <f ca="1">BDP("5444455Y Muni","SELF_REPRTD_GREEN_INSTR_INDCTR")</f>
        <v>#NAME?</v>
      </c>
      <c r="L300" t="e">
        <f ca="1">BDP("5444455Y Muni","GB_MANAGEMENT_PROCEEDS")</f>
        <v>#NAME?</v>
      </c>
      <c r="M300" t="e">
        <f ca="1">BDP("5444455Y Muni","GB_REPORTING")</f>
        <v>#NAME?</v>
      </c>
      <c r="N300" t="e">
        <f ca="1">BDP("5444455Y Muni","GB_ASSURANCE_PROVIDERS")</f>
        <v>#NAME?</v>
      </c>
      <c r="O300" t="e">
        <f ca="1">BDP("5444455Y Muni","GB_PROJECT_SELECTION_PROCESS")</f>
        <v>#NAME?</v>
      </c>
      <c r="P300" t="e">
        <f ca="1">BDP("5444455Y Muni","ESG_FRAMEWORK_INDICATOR")</f>
        <v>#NAME?</v>
      </c>
      <c r="Q300" t="e">
        <f ca="1">BDP("5444455Y Muni","BLOOMBERG_SECTOR_CODE")</f>
        <v>#NAME?</v>
      </c>
      <c r="R300" t="e">
        <f ca="1">BDP("5444455Y Muni","ISSUER_TYPE")</f>
        <v>#NAME?</v>
      </c>
      <c r="S300" t="e">
        <f ca="1">BDS("5444455Y Muni","ESG_PROJECT_CATEGORY", "aggregate=y")</f>
        <v>#NAME?</v>
      </c>
      <c r="T300" t="e">
        <f ca="1">BDS("5444455Y Muni","ESG_PROJECT_SUBCATEGORY", "aggregate=y")</f>
        <v>#NAME?</v>
      </c>
    </row>
    <row r="301" spans="1:20" x14ac:dyDescent="0.25">
      <c r="A301" t="e">
        <f ca="1">BDP("88035RLA Muni","ID_CUSIP")</f>
        <v>#NAME?</v>
      </c>
      <c r="B301" t="e">
        <f ca="1">BDP("88035RLA Muni","STATE_CODE")</f>
        <v>#NAME?</v>
      </c>
      <c r="C301" t="s">
        <v>25</v>
      </c>
      <c r="D301" t="e">
        <f ca="1">BDP("88035RLA Muni","YIELD_ON_ISSUE_DATE")</f>
        <v>#NAME?</v>
      </c>
      <c r="E301">
        <v>23330000</v>
      </c>
      <c r="F301" t="e">
        <f ca="1">BDP("88035RLA Muni","ISSUE_DT")</f>
        <v>#NAME?</v>
      </c>
      <c r="G301" t="e">
        <f ca="1">BDP("88035RLA Muni","MATURITY")</f>
        <v>#NAME?</v>
      </c>
      <c r="H301" t="e">
        <f ca="1">BDP("88035RLA Muni","MUNI_TAX_PROV")</f>
        <v>#NAME?</v>
      </c>
      <c r="I301" t="e">
        <f ca="1">BDP("88035RLA Muni","FINANCING_TYPE")</f>
        <v>#NAME?</v>
      </c>
      <c r="J301" t="e">
        <f ca="1">BDP("88035RLA Muni","BICS_LEVEL_2_INDUSTRY_GROUP_NAME")</f>
        <v>#NAME?</v>
      </c>
      <c r="K301" t="e">
        <f ca="1">BDP("88035RLA Muni","SELF_REPRTD_GREEN_INSTR_INDCTR")</f>
        <v>#NAME?</v>
      </c>
      <c r="L301" t="e">
        <f ca="1">BDP("88035RLA Muni","GB_MANAGEMENT_PROCEEDS")</f>
        <v>#NAME?</v>
      </c>
      <c r="M301" t="e">
        <f ca="1">BDP("88035RLA Muni","GB_REPORTING")</f>
        <v>#NAME?</v>
      </c>
      <c r="N301" t="e">
        <f ca="1">BDP("88035RLA Muni","GB_ASSURANCE_PROVIDERS")</f>
        <v>#NAME?</v>
      </c>
      <c r="O301" t="e">
        <f ca="1">BDP("88035RLA Muni","GB_PROJECT_SELECTION_PROCESS")</f>
        <v>#NAME?</v>
      </c>
      <c r="P301" t="e">
        <f ca="1">BDP("88035RLA Muni","ESG_FRAMEWORK_INDICATOR")</f>
        <v>#NAME?</v>
      </c>
      <c r="Q301" t="e">
        <f ca="1">BDP("88035RLA Muni","BLOOMBERG_SECTOR_CODE")</f>
        <v>#NAME?</v>
      </c>
      <c r="R301" t="e">
        <f ca="1">BDP("88035RLA Muni","ISSUER_TYPE")</f>
        <v>#NAME?</v>
      </c>
      <c r="S301" t="e">
        <f ca="1">BDS("88035RLA Muni","ESG_PROJECT_CATEGORY", "aggregate=y")</f>
        <v>#NAME?</v>
      </c>
      <c r="T301" t="e">
        <f ca="1">BDS("88035RLA Muni","ESG_PROJECT_SUBCATEGORY", "aggregate=y")</f>
        <v>#NAME?</v>
      </c>
    </row>
    <row r="302" spans="1:20" x14ac:dyDescent="0.25">
      <c r="A302" t="e">
        <f ca="1">BDP("797669ZX Muni","ID_CUSIP")</f>
        <v>#NAME?</v>
      </c>
      <c r="B302" t="e">
        <f ca="1">BDP("797669ZX Muni","STATE_CODE")</f>
        <v>#NAME?</v>
      </c>
      <c r="C302" t="s">
        <v>28</v>
      </c>
      <c r="D302" t="e">
        <f ca="1">BDP("797669ZX Muni","YIELD_ON_ISSUE_DATE")</f>
        <v>#NAME?</v>
      </c>
      <c r="E302">
        <v>8375000</v>
      </c>
      <c r="F302" t="e">
        <f ca="1">BDP("797669ZX Muni","ISSUE_DT")</f>
        <v>#NAME?</v>
      </c>
      <c r="G302" t="e">
        <f ca="1">BDP("797669ZX Muni","MATURITY")</f>
        <v>#NAME?</v>
      </c>
      <c r="H302" t="e">
        <f ca="1">BDP("797669ZX Muni","MUNI_TAX_PROV")</f>
        <v>#NAME?</v>
      </c>
      <c r="I302" t="e">
        <f ca="1">BDP("797669ZX Muni","FINANCING_TYPE")</f>
        <v>#NAME?</v>
      </c>
      <c r="J302" t="e">
        <f ca="1">BDP("797669ZX Muni","BICS_LEVEL_2_INDUSTRY_GROUP_NAME")</f>
        <v>#NAME?</v>
      </c>
      <c r="K302" t="e">
        <f ca="1">BDP("797669ZX Muni","SELF_REPRTD_GREEN_INSTR_INDCTR")</f>
        <v>#NAME?</v>
      </c>
      <c r="L302" t="e">
        <f ca="1">BDP("797669ZX Muni","GB_MANAGEMENT_PROCEEDS")</f>
        <v>#NAME?</v>
      </c>
      <c r="M302" t="e">
        <f ca="1">BDP("797669ZX Muni","GB_REPORTING")</f>
        <v>#NAME?</v>
      </c>
      <c r="N302" t="e">
        <f ca="1">BDP("797669ZX Muni","GB_ASSURANCE_PROVIDERS")</f>
        <v>#NAME?</v>
      </c>
      <c r="O302" t="e">
        <f ca="1">BDP("797669ZX Muni","GB_PROJECT_SELECTION_PROCESS")</f>
        <v>#NAME?</v>
      </c>
      <c r="P302" t="e">
        <f ca="1">BDP("797669ZX Muni","ESG_FRAMEWORK_INDICATOR")</f>
        <v>#NAME?</v>
      </c>
      <c r="Q302" t="e">
        <f ca="1">BDP("797669ZX Muni","BLOOMBERG_SECTOR_CODE")</f>
        <v>#NAME?</v>
      </c>
      <c r="R302" t="e">
        <f ca="1">BDP("797669ZX Muni","ISSUER_TYPE")</f>
        <v>#NAME?</v>
      </c>
      <c r="S302" t="e">
        <f ca="1">BDS("797669ZX Muni","ESG_PROJECT_CATEGORY", "aggregate=y")</f>
        <v>#NAME?</v>
      </c>
      <c r="T302" t="e">
        <f ca="1">BDS("797669ZX Muni","ESG_PROJECT_SUBCATEGORY", "aggregate=y")</f>
        <v>#NAME?</v>
      </c>
    </row>
    <row r="303" spans="1:20" x14ac:dyDescent="0.25">
      <c r="A303" t="e">
        <f ca="1">BDP("79771FGC Muni","ID_CUSIP")</f>
        <v>#NAME?</v>
      </c>
      <c r="B303" t="e">
        <f ca="1">BDP("79771FGC Muni","STATE_CODE")</f>
        <v>#NAME?</v>
      </c>
      <c r="C303" t="s">
        <v>37</v>
      </c>
      <c r="D303" t="e">
        <f ca="1">BDP("79771FGC Muni","YIELD_ON_ISSUE_DATE")</f>
        <v>#NAME?</v>
      </c>
      <c r="E303">
        <v>38450000</v>
      </c>
      <c r="F303" t="e">
        <f ca="1">BDP("79771FGC Muni","ISSUE_DT")</f>
        <v>#NAME?</v>
      </c>
      <c r="G303" t="e">
        <f ca="1">BDP("79771FGC Muni","MATURITY")</f>
        <v>#NAME?</v>
      </c>
      <c r="H303" t="e">
        <f ca="1">BDP("79771FGC Muni","MUNI_TAX_PROV")</f>
        <v>#NAME?</v>
      </c>
      <c r="I303" t="e">
        <f ca="1">BDP("79771FGC Muni","FINANCING_TYPE")</f>
        <v>#NAME?</v>
      </c>
      <c r="J303" t="e">
        <f ca="1">BDP("79771FGC Muni","BICS_LEVEL_2_INDUSTRY_GROUP_NAME")</f>
        <v>#NAME?</v>
      </c>
      <c r="K303" t="e">
        <f ca="1">BDP("79771FGC Muni","SELF_REPRTD_GREEN_INSTR_INDCTR")</f>
        <v>#NAME?</v>
      </c>
      <c r="L303" t="e">
        <f ca="1">BDP("79771FGC Muni","GB_MANAGEMENT_PROCEEDS")</f>
        <v>#NAME?</v>
      </c>
      <c r="M303" t="e">
        <f ca="1">BDP("79771FGC Muni","GB_REPORTING")</f>
        <v>#NAME?</v>
      </c>
      <c r="N303" t="e">
        <f ca="1">BDP("79771FGC Muni","GB_ASSURANCE_PROVIDERS")</f>
        <v>#NAME?</v>
      </c>
      <c r="O303" t="e">
        <f ca="1">BDP("79771FGC Muni","GB_PROJECT_SELECTION_PROCESS")</f>
        <v>#NAME?</v>
      </c>
      <c r="P303" t="e">
        <f ca="1">BDP("79771FGC Muni","ESG_FRAMEWORK_INDICATOR")</f>
        <v>#NAME?</v>
      </c>
      <c r="Q303" t="e">
        <f ca="1">BDP("79771FGC Muni","BLOOMBERG_SECTOR_CODE")</f>
        <v>#NAME?</v>
      </c>
      <c r="R303" t="e">
        <f ca="1">BDP("79771FGC Muni","ISSUER_TYPE")</f>
        <v>#NAME?</v>
      </c>
      <c r="S303" t="e">
        <f ca="1">BDS("79771FGC Muni","ESG_PROJECT_CATEGORY", "aggregate=y")</f>
        <v>#NAME?</v>
      </c>
      <c r="T303" t="e">
        <f ca="1">BDS("79771FGC Muni","ESG_PROJECT_SUBCATEGORY", "aggregate=y")</f>
        <v>#NAME?</v>
      </c>
    </row>
    <row r="304" spans="1:20" x14ac:dyDescent="0.25">
      <c r="A304" t="e">
        <f ca="1">BDP("959215GW Muni","ID_CUSIP")</f>
        <v>#NAME?</v>
      </c>
      <c r="B304" t="e">
        <f ca="1">BDP("959215GW Muni","STATE_CODE")</f>
        <v>#NAME?</v>
      </c>
      <c r="C304" t="s">
        <v>26</v>
      </c>
      <c r="D304" t="e">
        <f ca="1">BDP("959215GW Muni","YIELD_ON_ISSUE_DATE")</f>
        <v>#NAME?</v>
      </c>
      <c r="E304">
        <v>715000</v>
      </c>
      <c r="F304" t="e">
        <f ca="1">BDP("959215GW Muni","ISSUE_DT")</f>
        <v>#NAME?</v>
      </c>
      <c r="G304" t="e">
        <f ca="1">BDP("959215GW Muni","MATURITY")</f>
        <v>#NAME?</v>
      </c>
      <c r="H304" t="e">
        <f ca="1">BDP("959215GW Muni","MUNI_TAX_PROV")</f>
        <v>#NAME?</v>
      </c>
      <c r="I304" t="e">
        <f ca="1">BDP("959215GW Muni","FINANCING_TYPE")</f>
        <v>#NAME?</v>
      </c>
      <c r="J304" t="e">
        <f ca="1">BDP("959215GW Muni","BICS_LEVEL_2_INDUSTRY_GROUP_NAME")</f>
        <v>#NAME?</v>
      </c>
      <c r="K304" t="e">
        <f ca="1">BDP("959215GW Muni","SELF_REPRTD_GREEN_INSTR_INDCTR")</f>
        <v>#NAME?</v>
      </c>
      <c r="L304" t="e">
        <f ca="1">BDP("959215GW Muni","GB_MANAGEMENT_PROCEEDS")</f>
        <v>#NAME?</v>
      </c>
      <c r="M304" t="e">
        <f ca="1">BDP("959215GW Muni","GB_REPORTING")</f>
        <v>#NAME?</v>
      </c>
      <c r="N304" t="e">
        <f ca="1">BDP("959215GW Muni","GB_ASSURANCE_PROVIDERS")</f>
        <v>#NAME?</v>
      </c>
      <c r="O304" t="e">
        <f ca="1">BDP("959215GW Muni","GB_PROJECT_SELECTION_PROCESS")</f>
        <v>#NAME?</v>
      </c>
      <c r="P304" t="e">
        <f ca="1">BDP("959215GW Muni","ESG_FRAMEWORK_INDICATOR")</f>
        <v>#NAME?</v>
      </c>
      <c r="Q304" t="e">
        <f ca="1">BDP("959215GW Muni","BLOOMBERG_SECTOR_CODE")</f>
        <v>#NAME?</v>
      </c>
      <c r="R304" t="e">
        <f ca="1">BDP("959215GW Muni","ISSUER_TYPE")</f>
        <v>#NAME?</v>
      </c>
      <c r="S304" t="e">
        <f ca="1">BDS("959215GW Muni","ESG_PROJECT_CATEGORY", "aggregate=y")</f>
        <v>#NAME?</v>
      </c>
      <c r="T304" t="e">
        <f ca="1">BDS("959215GW Muni","ESG_PROJECT_SUBCATEGORY", "aggregate=y")</f>
        <v>#NAME?</v>
      </c>
    </row>
    <row r="305" spans="1:20" x14ac:dyDescent="0.25">
      <c r="A305" t="e">
        <f ca="1">BDP("5444455T Muni","ID_CUSIP")</f>
        <v>#NAME?</v>
      </c>
      <c r="B305" t="e">
        <f ca="1">BDP("5444455T Muni","STATE_CODE")</f>
        <v>#NAME?</v>
      </c>
      <c r="C305" t="s">
        <v>34</v>
      </c>
      <c r="D305" t="e">
        <f ca="1">BDP("5444455T Muni","YIELD_ON_ISSUE_DATE")</f>
        <v>#NAME?</v>
      </c>
      <c r="E305">
        <v>25955000</v>
      </c>
      <c r="F305" t="e">
        <f ca="1">BDP("5444455T Muni","ISSUE_DT")</f>
        <v>#NAME?</v>
      </c>
      <c r="G305" t="e">
        <f ca="1">BDP("5444455T Muni","MATURITY")</f>
        <v>#NAME?</v>
      </c>
      <c r="H305" t="e">
        <f ca="1">BDP("5444455T Muni","MUNI_TAX_PROV")</f>
        <v>#NAME?</v>
      </c>
      <c r="I305" t="e">
        <f ca="1">BDP("5444455T Muni","FINANCING_TYPE")</f>
        <v>#NAME?</v>
      </c>
      <c r="J305" t="e">
        <f ca="1">BDP("5444455T Muni","BICS_LEVEL_2_INDUSTRY_GROUP_NAME")</f>
        <v>#NAME?</v>
      </c>
      <c r="K305" t="e">
        <f ca="1">BDP("5444455T Muni","SELF_REPRTD_GREEN_INSTR_INDCTR")</f>
        <v>#NAME?</v>
      </c>
      <c r="L305" t="e">
        <f ca="1">BDP("5444455T Muni","GB_MANAGEMENT_PROCEEDS")</f>
        <v>#NAME?</v>
      </c>
      <c r="M305" t="e">
        <f ca="1">BDP("5444455T Muni","GB_REPORTING")</f>
        <v>#NAME?</v>
      </c>
      <c r="N305" t="e">
        <f ca="1">BDP("5444455T Muni","GB_ASSURANCE_PROVIDERS")</f>
        <v>#NAME?</v>
      </c>
      <c r="O305" t="e">
        <f ca="1">BDP("5444455T Muni","GB_PROJECT_SELECTION_PROCESS")</f>
        <v>#NAME?</v>
      </c>
      <c r="P305" t="e">
        <f ca="1">BDP("5444455T Muni","ESG_FRAMEWORK_INDICATOR")</f>
        <v>#NAME?</v>
      </c>
      <c r="Q305" t="e">
        <f ca="1">BDP("5444455T Muni","BLOOMBERG_SECTOR_CODE")</f>
        <v>#NAME?</v>
      </c>
      <c r="R305" t="e">
        <f ca="1">BDP("5444455T Muni","ISSUER_TYPE")</f>
        <v>#NAME?</v>
      </c>
      <c r="S305" t="e">
        <f ca="1">BDS("5444455T Muni","ESG_PROJECT_CATEGORY", "aggregate=y")</f>
        <v>#NAME?</v>
      </c>
      <c r="T305" t="e">
        <f ca="1">BDS("5444455T Muni","ESG_PROJECT_SUBCATEGORY", "aggregate=y")</f>
        <v>#NAME?</v>
      </c>
    </row>
    <row r="306" spans="1:20" x14ac:dyDescent="0.25">
      <c r="A306" t="e">
        <f ca="1">BDP("959215GQ Muni","ID_CUSIP")</f>
        <v>#NAME?</v>
      </c>
      <c r="B306" t="e">
        <f ca="1">BDP("959215GQ Muni","STATE_CODE")</f>
        <v>#NAME?</v>
      </c>
      <c r="C306" t="s">
        <v>26</v>
      </c>
      <c r="D306" t="e">
        <f ca="1">BDP("959215GQ Muni","YIELD_ON_ISSUE_DATE")</f>
        <v>#NAME?</v>
      </c>
      <c r="E306">
        <v>2570000</v>
      </c>
      <c r="F306" t="e">
        <f ca="1">BDP("959215GQ Muni","ISSUE_DT")</f>
        <v>#NAME?</v>
      </c>
      <c r="G306" t="e">
        <f ca="1">BDP("959215GQ Muni","MATURITY")</f>
        <v>#NAME?</v>
      </c>
      <c r="H306" t="e">
        <f ca="1">BDP("959215GQ Muni","MUNI_TAX_PROV")</f>
        <v>#NAME?</v>
      </c>
      <c r="I306" t="e">
        <f ca="1">BDP("959215GQ Muni","FINANCING_TYPE")</f>
        <v>#NAME?</v>
      </c>
      <c r="J306" t="e">
        <f ca="1">BDP("959215GQ Muni","BICS_LEVEL_2_INDUSTRY_GROUP_NAME")</f>
        <v>#NAME?</v>
      </c>
      <c r="K306" t="e">
        <f ca="1">BDP("959215GQ Muni","SELF_REPRTD_GREEN_INSTR_INDCTR")</f>
        <v>#NAME?</v>
      </c>
      <c r="L306" t="e">
        <f ca="1">BDP("959215GQ Muni","GB_MANAGEMENT_PROCEEDS")</f>
        <v>#NAME?</v>
      </c>
      <c r="M306" t="e">
        <f ca="1">BDP("959215GQ Muni","GB_REPORTING")</f>
        <v>#NAME?</v>
      </c>
      <c r="N306" t="e">
        <f ca="1">BDP("959215GQ Muni","GB_ASSURANCE_PROVIDERS")</f>
        <v>#NAME?</v>
      </c>
      <c r="O306" t="e">
        <f ca="1">BDP("959215GQ Muni","GB_PROJECT_SELECTION_PROCESS")</f>
        <v>#NAME?</v>
      </c>
      <c r="P306" t="e">
        <f ca="1">BDP("959215GQ Muni","ESG_FRAMEWORK_INDICATOR")</f>
        <v>#NAME?</v>
      </c>
      <c r="Q306" t="e">
        <f ca="1">BDP("959215GQ Muni","BLOOMBERG_SECTOR_CODE")</f>
        <v>#NAME?</v>
      </c>
      <c r="R306" t="e">
        <f ca="1">BDP("959215GQ Muni","ISSUER_TYPE")</f>
        <v>#NAME?</v>
      </c>
      <c r="S306" t="e">
        <f ca="1">BDS("959215GQ Muni","ESG_PROJECT_CATEGORY", "aggregate=y")</f>
        <v>#NAME?</v>
      </c>
      <c r="T306" t="e">
        <f ca="1">BDS("959215GQ Muni","ESG_PROJECT_SUBCATEGORY", "aggregate=y")</f>
        <v>#NAME?</v>
      </c>
    </row>
    <row r="307" spans="1:20" x14ac:dyDescent="0.25">
      <c r="A307" t="e">
        <f ca="1">BDP("5444456G Muni","ID_CUSIP")</f>
        <v>#NAME?</v>
      </c>
      <c r="B307" t="e">
        <f ca="1">BDP("5444456G Muni","STATE_CODE")</f>
        <v>#NAME?</v>
      </c>
      <c r="C307" t="s">
        <v>34</v>
      </c>
      <c r="D307" t="e">
        <f ca="1">BDP("5444456G Muni","YIELD_ON_ISSUE_DATE")</f>
        <v>#NAME?</v>
      </c>
      <c r="E307">
        <v>48940000</v>
      </c>
      <c r="F307" t="e">
        <f ca="1">BDP("5444456G Muni","ISSUE_DT")</f>
        <v>#NAME?</v>
      </c>
      <c r="G307" t="e">
        <f ca="1">BDP("5444456G Muni","MATURITY")</f>
        <v>#NAME?</v>
      </c>
      <c r="H307" t="e">
        <f ca="1">BDP("5444456G Muni","MUNI_TAX_PROV")</f>
        <v>#NAME?</v>
      </c>
      <c r="I307" t="e">
        <f ca="1">BDP("5444456G Muni","FINANCING_TYPE")</f>
        <v>#NAME?</v>
      </c>
      <c r="J307" t="e">
        <f ca="1">BDP("5444456G Muni","BICS_LEVEL_2_INDUSTRY_GROUP_NAME")</f>
        <v>#NAME?</v>
      </c>
      <c r="K307" t="e">
        <f ca="1">BDP("5444456G Muni","SELF_REPRTD_GREEN_INSTR_INDCTR")</f>
        <v>#NAME?</v>
      </c>
      <c r="L307" t="e">
        <f ca="1">BDP("5444456G Muni","GB_MANAGEMENT_PROCEEDS")</f>
        <v>#NAME?</v>
      </c>
      <c r="M307" t="e">
        <f ca="1">BDP("5444456G Muni","GB_REPORTING")</f>
        <v>#NAME?</v>
      </c>
      <c r="N307" t="e">
        <f ca="1">BDP("5444456G Muni","GB_ASSURANCE_PROVIDERS")</f>
        <v>#NAME?</v>
      </c>
      <c r="O307" t="e">
        <f ca="1">BDP("5444456G Muni","GB_PROJECT_SELECTION_PROCESS")</f>
        <v>#NAME?</v>
      </c>
      <c r="P307" t="e">
        <f ca="1">BDP("5444456G Muni","ESG_FRAMEWORK_INDICATOR")</f>
        <v>#NAME?</v>
      </c>
      <c r="Q307" t="e">
        <f ca="1">BDP("5444456G Muni","BLOOMBERG_SECTOR_CODE")</f>
        <v>#NAME?</v>
      </c>
      <c r="R307" t="e">
        <f ca="1">BDP("5444456G Muni","ISSUER_TYPE")</f>
        <v>#NAME?</v>
      </c>
      <c r="S307" t="e">
        <f ca="1">BDS("5444456G Muni","ESG_PROJECT_CATEGORY", "aggregate=y")</f>
        <v>#NAME?</v>
      </c>
      <c r="T307" t="e">
        <f ca="1">BDS("5444456G Muni","ESG_PROJECT_SUBCATEGORY", "aggregate=y")</f>
        <v>#NAME?</v>
      </c>
    </row>
    <row r="308" spans="1:20" x14ac:dyDescent="0.25">
      <c r="A308" t="e">
        <f ca="1">BDP("88035RLB Muni","ID_CUSIP")</f>
        <v>#NAME?</v>
      </c>
      <c r="B308" t="e">
        <f ca="1">BDP("88035RLB Muni","STATE_CODE")</f>
        <v>#NAME?</v>
      </c>
      <c r="C308" t="s">
        <v>25</v>
      </c>
      <c r="D308" t="e">
        <f ca="1">BDP("88035RLB Muni","YIELD_ON_ISSUE_DATE")</f>
        <v>#NAME?</v>
      </c>
      <c r="E308">
        <v>14725000</v>
      </c>
      <c r="F308" t="e">
        <f ca="1">BDP("88035RLB Muni","ISSUE_DT")</f>
        <v>#NAME?</v>
      </c>
      <c r="G308" t="e">
        <f ca="1">BDP("88035RLB Muni","MATURITY")</f>
        <v>#NAME?</v>
      </c>
      <c r="H308" t="e">
        <f ca="1">BDP("88035RLB Muni","MUNI_TAX_PROV")</f>
        <v>#NAME?</v>
      </c>
      <c r="I308" t="e">
        <f ca="1">BDP("88035RLB Muni","FINANCING_TYPE")</f>
        <v>#NAME?</v>
      </c>
      <c r="J308" t="e">
        <f ca="1">BDP("88035RLB Muni","BICS_LEVEL_2_INDUSTRY_GROUP_NAME")</f>
        <v>#NAME?</v>
      </c>
      <c r="K308" t="e">
        <f ca="1">BDP("88035RLB Muni","SELF_REPRTD_GREEN_INSTR_INDCTR")</f>
        <v>#NAME?</v>
      </c>
      <c r="L308" t="e">
        <f ca="1">BDP("88035RLB Muni","GB_MANAGEMENT_PROCEEDS")</f>
        <v>#NAME?</v>
      </c>
      <c r="M308" t="e">
        <f ca="1">BDP("88035RLB Muni","GB_REPORTING")</f>
        <v>#NAME?</v>
      </c>
      <c r="N308" t="e">
        <f ca="1">BDP("88035RLB Muni","GB_ASSURANCE_PROVIDERS")</f>
        <v>#NAME?</v>
      </c>
      <c r="O308" t="e">
        <f ca="1">BDP("88035RLB Muni","GB_PROJECT_SELECTION_PROCESS")</f>
        <v>#NAME?</v>
      </c>
      <c r="P308" t="e">
        <f ca="1">BDP("88035RLB Muni","ESG_FRAMEWORK_INDICATOR")</f>
        <v>#NAME?</v>
      </c>
      <c r="Q308" t="e">
        <f ca="1">BDP("88035RLB Muni","BLOOMBERG_SECTOR_CODE")</f>
        <v>#NAME?</v>
      </c>
      <c r="R308" t="e">
        <f ca="1">BDP("88035RLB Muni","ISSUER_TYPE")</f>
        <v>#NAME?</v>
      </c>
      <c r="S308" t="e">
        <f ca="1">BDS("88035RLB Muni","ESG_PROJECT_CATEGORY", "aggregate=y")</f>
        <v>#NAME?</v>
      </c>
      <c r="T308" t="e">
        <f ca="1">BDS("88035RLB Muni","ESG_PROJECT_SUBCATEGORY", "aggregate=y")</f>
        <v>#NAME?</v>
      </c>
    </row>
    <row r="309" spans="1:20" x14ac:dyDescent="0.25">
      <c r="A309" t="e">
        <f ca="1">BDP("861431EB Muni","ID_CUSIP")</f>
        <v>#NAME?</v>
      </c>
      <c r="B309" t="e">
        <f ca="1">BDP("861431EB Muni","STATE_CODE")</f>
        <v>#NAME?</v>
      </c>
      <c r="C309" t="s">
        <v>24</v>
      </c>
      <c r="D309" t="e">
        <f ca="1">BDP("861431EB Muni","YIELD_ON_ISSUE_DATE")</f>
        <v>#NAME?</v>
      </c>
      <c r="E309">
        <v>7010000</v>
      </c>
      <c r="F309" t="e">
        <f ca="1">BDP("861431EB Muni","ISSUE_DT")</f>
        <v>#NAME?</v>
      </c>
      <c r="G309" t="e">
        <f ca="1">BDP("861431EB Muni","MATURITY")</f>
        <v>#NAME?</v>
      </c>
      <c r="H309" t="e">
        <f ca="1">BDP("861431EB Muni","MUNI_TAX_PROV")</f>
        <v>#NAME?</v>
      </c>
      <c r="I309" t="e">
        <f ca="1">BDP("861431EB Muni","FINANCING_TYPE")</f>
        <v>#NAME?</v>
      </c>
      <c r="J309" t="e">
        <f ca="1">BDP("861431EB Muni","BICS_LEVEL_2_INDUSTRY_GROUP_NAME")</f>
        <v>#NAME?</v>
      </c>
      <c r="K309" t="e">
        <f ca="1">BDP("861431EB Muni","SELF_REPRTD_GREEN_INSTR_INDCTR")</f>
        <v>#NAME?</v>
      </c>
      <c r="L309" t="e">
        <f ca="1">BDP("861431EB Muni","GB_MANAGEMENT_PROCEEDS")</f>
        <v>#NAME?</v>
      </c>
      <c r="M309" t="e">
        <f ca="1">BDP("861431EB Muni","GB_REPORTING")</f>
        <v>#NAME?</v>
      </c>
      <c r="N309" t="e">
        <f ca="1">BDP("861431EB Muni","GB_ASSURANCE_PROVIDERS")</f>
        <v>#NAME?</v>
      </c>
      <c r="O309" t="e">
        <f ca="1">BDP("861431EB Muni","GB_PROJECT_SELECTION_PROCESS")</f>
        <v>#NAME?</v>
      </c>
      <c r="P309" t="e">
        <f ca="1">BDP("861431EB Muni","ESG_FRAMEWORK_INDICATOR")</f>
        <v>#NAME?</v>
      </c>
      <c r="Q309" t="e">
        <f ca="1">BDP("861431EB Muni","BLOOMBERG_SECTOR_CODE")</f>
        <v>#NAME?</v>
      </c>
      <c r="R309" t="e">
        <f ca="1">BDP("861431EB Muni","ISSUER_TYPE")</f>
        <v>#NAME?</v>
      </c>
      <c r="S309" t="e">
        <f ca="1">BDS("861431EB Muni","ESG_PROJECT_CATEGORY", "aggregate=y")</f>
        <v>#NAME?</v>
      </c>
      <c r="T309" t="e">
        <f ca="1">BDS("861431EB Muni","ESG_PROJECT_SUBCATEGORY", "aggregate=y")</f>
        <v>#NAME?</v>
      </c>
    </row>
    <row r="310" spans="1:20" x14ac:dyDescent="0.25">
      <c r="A310" t="e">
        <f ca="1">BDP("797661D9 Muni","ID_CUSIP")</f>
        <v>#NAME?</v>
      </c>
      <c r="B310" t="e">
        <f ca="1">BDP("797661D9 Muni","STATE_CODE")</f>
        <v>#NAME?</v>
      </c>
      <c r="C310" t="s">
        <v>36</v>
      </c>
      <c r="D310" t="e">
        <f ca="1">BDP("797661D9 Muni","YIELD_ON_ISSUE_DATE")</f>
        <v>#NAME?</v>
      </c>
      <c r="E310">
        <v>25940000</v>
      </c>
      <c r="F310" t="e">
        <f ca="1">BDP("797661D9 Muni","ISSUE_DT")</f>
        <v>#NAME?</v>
      </c>
      <c r="G310" t="e">
        <f ca="1">BDP("797661D9 Muni","MATURITY")</f>
        <v>#NAME?</v>
      </c>
      <c r="H310" t="e">
        <f ca="1">BDP("797661D9 Muni","MUNI_TAX_PROV")</f>
        <v>#NAME?</v>
      </c>
      <c r="I310" t="e">
        <f ca="1">BDP("797661D9 Muni","FINANCING_TYPE")</f>
        <v>#NAME?</v>
      </c>
      <c r="J310" t="e">
        <f ca="1">BDP("797661D9 Muni","BICS_LEVEL_2_INDUSTRY_GROUP_NAME")</f>
        <v>#NAME?</v>
      </c>
      <c r="K310" t="e">
        <f ca="1">BDP("797661D9 Muni","SELF_REPRTD_GREEN_INSTR_INDCTR")</f>
        <v>#NAME?</v>
      </c>
      <c r="L310" t="e">
        <f ca="1">BDP("797661D9 Muni","GB_MANAGEMENT_PROCEEDS")</f>
        <v>#NAME?</v>
      </c>
      <c r="M310" t="e">
        <f ca="1">BDP("797661D9 Muni","GB_REPORTING")</f>
        <v>#NAME?</v>
      </c>
      <c r="N310" t="e">
        <f ca="1">BDP("797661D9 Muni","GB_ASSURANCE_PROVIDERS")</f>
        <v>#NAME?</v>
      </c>
      <c r="O310" t="e">
        <f ca="1">BDP("797661D9 Muni","GB_PROJECT_SELECTION_PROCESS")</f>
        <v>#NAME?</v>
      </c>
      <c r="P310" t="e">
        <f ca="1">BDP("797661D9 Muni","ESG_FRAMEWORK_INDICATOR")</f>
        <v>#NAME?</v>
      </c>
      <c r="Q310" t="e">
        <f ca="1">BDP("797661D9 Muni","BLOOMBERG_SECTOR_CODE")</f>
        <v>#NAME?</v>
      </c>
      <c r="R310" t="e">
        <f ca="1">BDP("797661D9 Muni","ISSUER_TYPE")</f>
        <v>#NAME?</v>
      </c>
      <c r="S310" t="e">
        <f ca="1">BDS("797661D9 Muni","ESG_PROJECT_CATEGORY", "aggregate=y")</f>
        <v>#NAME?</v>
      </c>
      <c r="T310" t="e">
        <f ca="1">BDS("797661D9 Muni","ESG_PROJECT_SUBCATEGORY", "aggregate=y")</f>
        <v>#NAME?</v>
      </c>
    </row>
    <row r="311" spans="1:20" x14ac:dyDescent="0.25">
      <c r="A311" t="e">
        <f ca="1">BDP("797661E3 Muni","ID_CUSIP")</f>
        <v>#NAME?</v>
      </c>
      <c r="B311" t="e">
        <f ca="1">BDP("797661E3 Muni","STATE_CODE")</f>
        <v>#NAME?</v>
      </c>
      <c r="C311" t="s">
        <v>36</v>
      </c>
      <c r="D311" t="e">
        <f ca="1">BDP("797661E3 Muni","YIELD_ON_ISSUE_DATE")</f>
        <v>#NAME?</v>
      </c>
      <c r="E311">
        <v>28600000</v>
      </c>
      <c r="F311" t="e">
        <f ca="1">BDP("797661E3 Muni","ISSUE_DT")</f>
        <v>#NAME?</v>
      </c>
      <c r="G311" t="e">
        <f ca="1">BDP("797661E3 Muni","MATURITY")</f>
        <v>#NAME?</v>
      </c>
      <c r="H311" t="e">
        <f ca="1">BDP("797661E3 Muni","MUNI_TAX_PROV")</f>
        <v>#NAME?</v>
      </c>
      <c r="I311" t="e">
        <f ca="1">BDP("797661E3 Muni","FINANCING_TYPE")</f>
        <v>#NAME?</v>
      </c>
      <c r="J311" t="e">
        <f ca="1">BDP("797661E3 Muni","BICS_LEVEL_2_INDUSTRY_GROUP_NAME")</f>
        <v>#NAME?</v>
      </c>
      <c r="K311" t="e">
        <f ca="1">BDP("797661E3 Muni","SELF_REPRTD_GREEN_INSTR_INDCTR")</f>
        <v>#NAME?</v>
      </c>
      <c r="L311" t="e">
        <f ca="1">BDP("797661E3 Muni","GB_MANAGEMENT_PROCEEDS")</f>
        <v>#NAME?</v>
      </c>
      <c r="M311" t="e">
        <f ca="1">BDP("797661E3 Muni","GB_REPORTING")</f>
        <v>#NAME?</v>
      </c>
      <c r="N311" t="e">
        <f ca="1">BDP("797661E3 Muni","GB_ASSURANCE_PROVIDERS")</f>
        <v>#NAME?</v>
      </c>
      <c r="O311" t="e">
        <f ca="1">BDP("797661E3 Muni","GB_PROJECT_SELECTION_PROCESS")</f>
        <v>#NAME?</v>
      </c>
      <c r="P311" t="e">
        <f ca="1">BDP("797661E3 Muni","ESG_FRAMEWORK_INDICATOR")</f>
        <v>#NAME?</v>
      </c>
      <c r="Q311" t="e">
        <f ca="1">BDP("797661E3 Muni","BLOOMBERG_SECTOR_CODE")</f>
        <v>#NAME?</v>
      </c>
      <c r="R311" t="e">
        <f ca="1">BDP("797661E3 Muni","ISSUER_TYPE")</f>
        <v>#NAME?</v>
      </c>
      <c r="S311" t="e">
        <f ca="1">BDS("797661E3 Muni","ESG_PROJECT_CATEGORY", "aggregate=y")</f>
        <v>#NAME?</v>
      </c>
      <c r="T311" t="e">
        <f ca="1">BDS("797661E3 Muni","ESG_PROJECT_SUBCATEGORY", "aggregate=y")</f>
        <v>#NAME?</v>
      </c>
    </row>
    <row r="312" spans="1:20" x14ac:dyDescent="0.25">
      <c r="A312" t="e">
        <f ca="1">BDP("861431EC Muni","ID_CUSIP")</f>
        <v>#NAME?</v>
      </c>
      <c r="B312" t="e">
        <f ca="1">BDP("861431EC Muni","STATE_CODE")</f>
        <v>#NAME?</v>
      </c>
      <c r="C312" t="s">
        <v>24</v>
      </c>
      <c r="D312" t="e">
        <f ca="1">BDP("861431EC Muni","YIELD_ON_ISSUE_DATE")</f>
        <v>#NAME?</v>
      </c>
      <c r="E312">
        <v>6980000</v>
      </c>
      <c r="F312" t="e">
        <f ca="1">BDP("861431EC Muni","ISSUE_DT")</f>
        <v>#NAME?</v>
      </c>
      <c r="G312" t="e">
        <f ca="1">BDP("861431EC Muni","MATURITY")</f>
        <v>#NAME?</v>
      </c>
      <c r="H312" t="e">
        <f ca="1">BDP("861431EC Muni","MUNI_TAX_PROV")</f>
        <v>#NAME?</v>
      </c>
      <c r="I312" t="e">
        <f ca="1">BDP("861431EC Muni","FINANCING_TYPE")</f>
        <v>#NAME?</v>
      </c>
      <c r="J312" t="e">
        <f ca="1">BDP("861431EC Muni","BICS_LEVEL_2_INDUSTRY_GROUP_NAME")</f>
        <v>#NAME?</v>
      </c>
      <c r="K312" t="e">
        <f ca="1">BDP("861431EC Muni","SELF_REPRTD_GREEN_INSTR_INDCTR")</f>
        <v>#NAME?</v>
      </c>
      <c r="L312" t="e">
        <f ca="1">BDP("861431EC Muni","GB_MANAGEMENT_PROCEEDS")</f>
        <v>#NAME?</v>
      </c>
      <c r="M312" t="e">
        <f ca="1">BDP("861431EC Muni","GB_REPORTING")</f>
        <v>#NAME?</v>
      </c>
      <c r="N312" t="e">
        <f ca="1">BDP("861431EC Muni","GB_ASSURANCE_PROVIDERS")</f>
        <v>#NAME?</v>
      </c>
      <c r="O312" t="e">
        <f ca="1">BDP("861431EC Muni","GB_PROJECT_SELECTION_PROCESS")</f>
        <v>#NAME?</v>
      </c>
      <c r="P312" t="e">
        <f ca="1">BDP("861431EC Muni","ESG_FRAMEWORK_INDICATOR")</f>
        <v>#NAME?</v>
      </c>
      <c r="Q312" t="e">
        <f ca="1">BDP("861431EC Muni","BLOOMBERG_SECTOR_CODE")</f>
        <v>#NAME?</v>
      </c>
      <c r="R312" t="e">
        <f ca="1">BDP("861431EC Muni","ISSUER_TYPE")</f>
        <v>#NAME?</v>
      </c>
      <c r="S312" t="e">
        <f ca="1">BDS("861431EC Muni","ESG_PROJECT_CATEGORY", "aggregate=y")</f>
        <v>#NAME?</v>
      </c>
      <c r="T312" t="e">
        <f ca="1">BDS("861431EC Muni","ESG_PROJECT_SUBCATEGORY", "aggregate=y")</f>
        <v>#NAME?</v>
      </c>
    </row>
    <row r="313" spans="1:20" x14ac:dyDescent="0.25">
      <c r="A313" t="e">
        <f ca="1">BDP("13013JGK Muni","ID_CUSIP")</f>
        <v>#NAME?</v>
      </c>
      <c r="B313" t="e">
        <f ca="1">BDP("13013JGK Muni","STATE_CODE")</f>
        <v>#NAME?</v>
      </c>
      <c r="C313" t="s">
        <v>30</v>
      </c>
      <c r="D313" t="e">
        <f ca="1">BDP("13013JGK Muni","YIELD_ON_ISSUE_DATE")</f>
        <v>#NAME?</v>
      </c>
      <c r="E313">
        <v>8230000</v>
      </c>
      <c r="F313" t="e">
        <f ca="1">BDP("13013JGK Muni","ISSUE_DT")</f>
        <v>#NAME?</v>
      </c>
      <c r="G313" t="e">
        <f ca="1">BDP("13013JGK Muni","MATURITY")</f>
        <v>#NAME?</v>
      </c>
      <c r="H313" t="e">
        <f ca="1">BDP("13013JGK Muni","MUNI_TAX_PROV")</f>
        <v>#NAME?</v>
      </c>
      <c r="I313" t="e">
        <f ca="1">BDP("13013JGK Muni","FINANCING_TYPE")</f>
        <v>#NAME?</v>
      </c>
      <c r="J313" t="e">
        <f ca="1">BDP("13013JGK Muni","BICS_LEVEL_2_INDUSTRY_GROUP_NAME")</f>
        <v>#NAME?</v>
      </c>
      <c r="K313" t="e">
        <f ca="1">BDP("13013JGK Muni","SELF_REPRTD_GREEN_INSTR_INDCTR")</f>
        <v>#NAME?</v>
      </c>
      <c r="L313" t="e">
        <f ca="1">BDP("13013JGK Muni","GB_MANAGEMENT_PROCEEDS")</f>
        <v>#NAME?</v>
      </c>
      <c r="M313" t="e">
        <f ca="1">BDP("13013JGK Muni","GB_REPORTING")</f>
        <v>#NAME?</v>
      </c>
      <c r="N313" t="e">
        <f ca="1">BDP("13013JGK Muni","GB_ASSURANCE_PROVIDERS")</f>
        <v>#NAME?</v>
      </c>
      <c r="O313" t="e">
        <f ca="1">BDP("13013JGK Muni","GB_PROJECT_SELECTION_PROCESS")</f>
        <v>#NAME?</v>
      </c>
      <c r="P313" t="e">
        <f ca="1">BDP("13013JGK Muni","ESG_FRAMEWORK_INDICATOR")</f>
        <v>#NAME?</v>
      </c>
      <c r="Q313" t="e">
        <f ca="1">BDP("13013JGK Muni","BLOOMBERG_SECTOR_CODE")</f>
        <v>#NAME?</v>
      </c>
      <c r="R313" t="e">
        <f ca="1">BDP("13013JGK Muni","ISSUER_TYPE")</f>
        <v>#NAME?</v>
      </c>
      <c r="S313" t="e">
        <f ca="1">BDS("13013JGK Muni","ESG_PROJECT_CATEGORY", "aggregate=y")</f>
        <v>#NAME?</v>
      </c>
      <c r="T313" t="e">
        <f ca="1">BDS("13013JGK Muni","ESG_PROJECT_SUBCATEGORY", "aggregate=y")</f>
        <v>#NAME?</v>
      </c>
    </row>
    <row r="314" spans="1:20" x14ac:dyDescent="0.25">
      <c r="A314" t="e">
        <f ca="1">BDP("13034A8B Muni","ID_CUSIP")</f>
        <v>#NAME?</v>
      </c>
      <c r="B314" t="e">
        <f ca="1">BDP("13034A8B Muni","STATE_CODE")</f>
        <v>#NAME?</v>
      </c>
      <c r="C314" t="s">
        <v>27</v>
      </c>
      <c r="D314" t="e">
        <f ca="1">BDP("13034A8B Muni","YIELD_ON_ISSUE_DATE")</f>
        <v>#NAME?</v>
      </c>
      <c r="E314">
        <v>29870000</v>
      </c>
      <c r="F314" t="e">
        <f ca="1">BDP("13034A8B Muni","ISSUE_DT")</f>
        <v>#NAME?</v>
      </c>
      <c r="G314" t="e">
        <f ca="1">BDP("13034A8B Muni","MATURITY")</f>
        <v>#NAME?</v>
      </c>
      <c r="H314" t="e">
        <f ca="1">BDP("13034A8B Muni","MUNI_TAX_PROV")</f>
        <v>#NAME?</v>
      </c>
      <c r="I314" t="e">
        <f ca="1">BDP("13034A8B Muni","FINANCING_TYPE")</f>
        <v>#NAME?</v>
      </c>
      <c r="J314" t="e">
        <f ca="1">BDP("13034A8B Muni","BICS_LEVEL_2_INDUSTRY_GROUP_NAME")</f>
        <v>#NAME?</v>
      </c>
      <c r="K314" t="e">
        <f ca="1">BDP("13034A8B Muni","SELF_REPRTD_GREEN_INSTR_INDCTR")</f>
        <v>#NAME?</v>
      </c>
      <c r="L314" t="e">
        <f ca="1">BDP("13034A8B Muni","GB_MANAGEMENT_PROCEEDS")</f>
        <v>#NAME?</v>
      </c>
      <c r="M314" t="e">
        <f ca="1">BDP("13034A8B Muni","GB_REPORTING")</f>
        <v>#NAME?</v>
      </c>
      <c r="N314" t="e">
        <f ca="1">BDP("13034A8B Muni","GB_ASSURANCE_PROVIDERS")</f>
        <v>#NAME?</v>
      </c>
      <c r="O314" t="e">
        <f ca="1">BDP("13034A8B Muni","GB_PROJECT_SELECTION_PROCESS")</f>
        <v>#NAME?</v>
      </c>
      <c r="P314" t="e">
        <f ca="1">BDP("13034A8B Muni","ESG_FRAMEWORK_INDICATOR")</f>
        <v>#NAME?</v>
      </c>
      <c r="Q314" t="e">
        <f ca="1">BDP("13034A8B Muni","BLOOMBERG_SECTOR_CODE")</f>
        <v>#NAME?</v>
      </c>
      <c r="R314" t="e">
        <f ca="1">BDP("13034A8B Muni","ISSUER_TYPE")</f>
        <v>#NAME?</v>
      </c>
      <c r="S314" t="e">
        <f ca="1">BDS("13034A8B Muni","ESG_PROJECT_CATEGORY", "aggregate=y")</f>
        <v>#NAME?</v>
      </c>
      <c r="T314" t="e">
        <f ca="1">BDS("13034A8B Muni","ESG_PROJECT_SUBCATEGORY", "aggregate=y")</f>
        <v>#NAME?</v>
      </c>
    </row>
    <row r="315" spans="1:20" x14ac:dyDescent="0.25">
      <c r="A315" t="e">
        <f ca="1">BDP("25156SJM Muni","ID_CUSIP")</f>
        <v>#NAME?</v>
      </c>
      <c r="B315" t="e">
        <f ca="1">BDP("25156SJM Muni","STATE_CODE")</f>
        <v>#NAME?</v>
      </c>
      <c r="C315" t="s">
        <v>31</v>
      </c>
      <c r="D315" t="e">
        <f ca="1">BDP("25156SJM Muni","YIELD_ON_ISSUE_DATE")</f>
        <v>#NAME?</v>
      </c>
      <c r="E315">
        <v>14995000</v>
      </c>
      <c r="F315" t="e">
        <f ca="1">BDP("25156SJM Muni","ISSUE_DT")</f>
        <v>#NAME?</v>
      </c>
      <c r="G315" t="e">
        <f ca="1">BDP("25156SJM Muni","MATURITY")</f>
        <v>#NAME?</v>
      </c>
      <c r="H315" t="e">
        <f ca="1">BDP("25156SJM Muni","MUNI_TAX_PROV")</f>
        <v>#NAME?</v>
      </c>
      <c r="I315" t="e">
        <f ca="1">BDP("25156SJM Muni","FINANCING_TYPE")</f>
        <v>#NAME?</v>
      </c>
      <c r="J315" t="e">
        <f ca="1">BDP("25156SJM Muni","BICS_LEVEL_2_INDUSTRY_GROUP_NAME")</f>
        <v>#NAME?</v>
      </c>
      <c r="K315" t="e">
        <f ca="1">BDP("25156SJM Muni","SELF_REPRTD_GREEN_INSTR_INDCTR")</f>
        <v>#NAME?</v>
      </c>
      <c r="L315" t="e">
        <f ca="1">BDP("25156SJM Muni","GB_MANAGEMENT_PROCEEDS")</f>
        <v>#NAME?</v>
      </c>
      <c r="M315" t="e">
        <f ca="1">BDP("25156SJM Muni","GB_REPORTING")</f>
        <v>#NAME?</v>
      </c>
      <c r="N315" t="e">
        <f ca="1">BDP("25156SJM Muni","GB_ASSURANCE_PROVIDERS")</f>
        <v>#NAME?</v>
      </c>
      <c r="O315" t="e">
        <f ca="1">BDP("25156SJM Muni","GB_PROJECT_SELECTION_PROCESS")</f>
        <v>#NAME?</v>
      </c>
      <c r="P315" t="e">
        <f ca="1">BDP("25156SJM Muni","ESG_FRAMEWORK_INDICATOR")</f>
        <v>#NAME?</v>
      </c>
      <c r="Q315" t="e">
        <f ca="1">BDP("25156SJM Muni","BLOOMBERG_SECTOR_CODE")</f>
        <v>#NAME?</v>
      </c>
      <c r="R315" t="e">
        <f ca="1">BDP("25156SJM Muni","ISSUER_TYPE")</f>
        <v>#NAME?</v>
      </c>
      <c r="S315" t="e">
        <f ca="1">BDS("25156SJM Muni","ESG_PROJECT_CATEGORY", "aggregate=y")</f>
        <v>#NAME?</v>
      </c>
      <c r="T315" t="e">
        <f ca="1">BDS("25156SJM Muni","ESG_PROJECT_SUBCATEGORY", "aggregate=y")</f>
        <v>#NAME?</v>
      </c>
    </row>
    <row r="316" spans="1:20" x14ac:dyDescent="0.25">
      <c r="A316" t="e">
        <f ca="1">BDP("797661D5 Muni","ID_CUSIP")</f>
        <v>#NAME?</v>
      </c>
      <c r="B316" t="e">
        <f ca="1">BDP("797661D5 Muni","STATE_CODE")</f>
        <v>#NAME?</v>
      </c>
      <c r="C316" t="s">
        <v>36</v>
      </c>
      <c r="D316" t="e">
        <f ca="1">BDP("797661D5 Muni","YIELD_ON_ISSUE_DATE")</f>
        <v>#NAME?</v>
      </c>
      <c r="E316">
        <v>21340000</v>
      </c>
      <c r="F316" t="e">
        <f ca="1">BDP("797661D5 Muni","ISSUE_DT")</f>
        <v>#NAME?</v>
      </c>
      <c r="G316" t="e">
        <f ca="1">BDP("797661D5 Muni","MATURITY")</f>
        <v>#NAME?</v>
      </c>
      <c r="H316" t="e">
        <f ca="1">BDP("797661D5 Muni","MUNI_TAX_PROV")</f>
        <v>#NAME?</v>
      </c>
      <c r="I316" t="e">
        <f ca="1">BDP("797661D5 Muni","FINANCING_TYPE")</f>
        <v>#NAME?</v>
      </c>
      <c r="J316" t="e">
        <f ca="1">BDP("797661D5 Muni","BICS_LEVEL_2_INDUSTRY_GROUP_NAME")</f>
        <v>#NAME?</v>
      </c>
      <c r="K316" t="e">
        <f ca="1">BDP("797661D5 Muni","SELF_REPRTD_GREEN_INSTR_INDCTR")</f>
        <v>#NAME?</v>
      </c>
      <c r="L316" t="e">
        <f ca="1">BDP("797661D5 Muni","GB_MANAGEMENT_PROCEEDS")</f>
        <v>#NAME?</v>
      </c>
      <c r="M316" t="e">
        <f ca="1">BDP("797661D5 Muni","GB_REPORTING")</f>
        <v>#NAME?</v>
      </c>
      <c r="N316" t="e">
        <f ca="1">BDP("797661D5 Muni","GB_ASSURANCE_PROVIDERS")</f>
        <v>#NAME?</v>
      </c>
      <c r="O316" t="e">
        <f ca="1">BDP("797661D5 Muni","GB_PROJECT_SELECTION_PROCESS")</f>
        <v>#NAME?</v>
      </c>
      <c r="P316" t="e">
        <f ca="1">BDP("797661D5 Muni","ESG_FRAMEWORK_INDICATOR")</f>
        <v>#NAME?</v>
      </c>
      <c r="Q316" t="e">
        <f ca="1">BDP("797661D5 Muni","BLOOMBERG_SECTOR_CODE")</f>
        <v>#NAME?</v>
      </c>
      <c r="R316" t="e">
        <f ca="1">BDP("797661D5 Muni","ISSUER_TYPE")</f>
        <v>#NAME?</v>
      </c>
      <c r="S316" t="e">
        <f ca="1">BDS("797661D5 Muni","ESG_PROJECT_CATEGORY", "aggregate=y")</f>
        <v>#NAME?</v>
      </c>
      <c r="T316" t="e">
        <f ca="1">BDS("797661D5 Muni","ESG_PROJECT_SUBCATEGORY", "aggregate=y")</f>
        <v>#NAME?</v>
      </c>
    </row>
    <row r="317" spans="1:20" x14ac:dyDescent="0.25">
      <c r="A317" t="e">
        <f ca="1">BDP("271014S6 Muni","ID_CUSIP")</f>
        <v>#NAME?</v>
      </c>
      <c r="B317" t="e">
        <f ca="1">BDP("271014S6 Muni","STATE_CODE")</f>
        <v>#NAME?</v>
      </c>
      <c r="C317" t="s">
        <v>33</v>
      </c>
      <c r="D317" t="e">
        <f ca="1">BDP("271014S6 Muni","YIELD_ON_ISSUE_DATE")</f>
        <v>#NAME?</v>
      </c>
      <c r="E317">
        <v>11515000</v>
      </c>
      <c r="F317" t="e">
        <f ca="1">BDP("271014S6 Muni","ISSUE_DT")</f>
        <v>#NAME?</v>
      </c>
      <c r="G317" t="e">
        <f ca="1">BDP("271014S6 Muni","MATURITY")</f>
        <v>#NAME?</v>
      </c>
      <c r="H317" t="e">
        <f ca="1">BDP("271014S6 Muni","MUNI_TAX_PROV")</f>
        <v>#NAME?</v>
      </c>
      <c r="I317" t="e">
        <f ca="1">BDP("271014S6 Muni","FINANCING_TYPE")</f>
        <v>#NAME?</v>
      </c>
      <c r="J317" t="e">
        <f ca="1">BDP("271014S6 Muni","BICS_LEVEL_2_INDUSTRY_GROUP_NAME")</f>
        <v>#NAME?</v>
      </c>
      <c r="K317" t="e">
        <f ca="1">BDP("271014S6 Muni","SELF_REPRTD_GREEN_INSTR_INDCTR")</f>
        <v>#NAME?</v>
      </c>
      <c r="L317" t="e">
        <f ca="1">BDP("271014S6 Muni","GB_MANAGEMENT_PROCEEDS")</f>
        <v>#NAME?</v>
      </c>
      <c r="M317" t="e">
        <f ca="1">BDP("271014S6 Muni","GB_REPORTING")</f>
        <v>#NAME?</v>
      </c>
      <c r="N317" t="e">
        <f ca="1">BDP("271014S6 Muni","GB_ASSURANCE_PROVIDERS")</f>
        <v>#NAME?</v>
      </c>
      <c r="O317" t="e">
        <f ca="1">BDP("271014S6 Muni","GB_PROJECT_SELECTION_PROCESS")</f>
        <v>#NAME?</v>
      </c>
      <c r="P317" t="e">
        <f ca="1">BDP("271014S6 Muni","ESG_FRAMEWORK_INDICATOR")</f>
        <v>#NAME?</v>
      </c>
      <c r="Q317" t="e">
        <f ca="1">BDP("271014S6 Muni","BLOOMBERG_SECTOR_CODE")</f>
        <v>#NAME?</v>
      </c>
      <c r="R317" t="e">
        <f ca="1">BDP("271014S6 Muni","ISSUER_TYPE")</f>
        <v>#NAME?</v>
      </c>
      <c r="S317" t="e">
        <f ca="1">BDS("271014S6 Muni","ESG_PROJECT_CATEGORY", "aggregate=y")</f>
        <v>#NAME?</v>
      </c>
      <c r="T317" t="e">
        <f ca="1">BDS("271014S6 Muni","ESG_PROJECT_SUBCATEGORY", "aggregate=y")</f>
        <v>#NAME?</v>
      </c>
    </row>
    <row r="318" spans="1:20" x14ac:dyDescent="0.25">
      <c r="A318" t="e">
        <f ca="1">BDP("5444456E Muni","ID_CUSIP")</f>
        <v>#NAME?</v>
      </c>
      <c r="B318" t="e">
        <f ca="1">BDP("5444456E Muni","STATE_CODE")</f>
        <v>#NAME?</v>
      </c>
      <c r="C318" t="s">
        <v>34</v>
      </c>
      <c r="D318" t="e">
        <f ca="1">BDP("5444456E Muni","YIELD_ON_ISSUE_DATE")</f>
        <v>#NAME?</v>
      </c>
      <c r="E318">
        <v>44390000</v>
      </c>
      <c r="F318" t="e">
        <f ca="1">BDP("5444456E Muni","ISSUE_DT")</f>
        <v>#NAME?</v>
      </c>
      <c r="G318" t="e">
        <f ca="1">BDP("5444456E Muni","MATURITY")</f>
        <v>#NAME?</v>
      </c>
      <c r="H318" t="e">
        <f ca="1">BDP("5444456E Muni","MUNI_TAX_PROV")</f>
        <v>#NAME?</v>
      </c>
      <c r="I318" t="e">
        <f ca="1">BDP("5444456E Muni","FINANCING_TYPE")</f>
        <v>#NAME?</v>
      </c>
      <c r="J318" t="e">
        <f ca="1">BDP("5444456E Muni","BICS_LEVEL_2_INDUSTRY_GROUP_NAME")</f>
        <v>#NAME?</v>
      </c>
      <c r="K318" t="e">
        <f ca="1">BDP("5444456E Muni","SELF_REPRTD_GREEN_INSTR_INDCTR")</f>
        <v>#NAME?</v>
      </c>
      <c r="L318" t="e">
        <f ca="1">BDP("5444456E Muni","GB_MANAGEMENT_PROCEEDS")</f>
        <v>#NAME?</v>
      </c>
      <c r="M318" t="e">
        <f ca="1">BDP("5444456E Muni","GB_REPORTING")</f>
        <v>#NAME?</v>
      </c>
      <c r="N318" t="e">
        <f ca="1">BDP("5444456E Muni","GB_ASSURANCE_PROVIDERS")</f>
        <v>#NAME?</v>
      </c>
      <c r="O318" t="e">
        <f ca="1">BDP("5444456E Muni","GB_PROJECT_SELECTION_PROCESS")</f>
        <v>#NAME?</v>
      </c>
      <c r="P318" t="e">
        <f ca="1">BDP("5444456E Muni","ESG_FRAMEWORK_INDICATOR")</f>
        <v>#NAME?</v>
      </c>
      <c r="Q318" t="e">
        <f ca="1">BDP("5444456E Muni","BLOOMBERG_SECTOR_CODE")</f>
        <v>#NAME?</v>
      </c>
      <c r="R318" t="e">
        <f ca="1">BDP("5444456E Muni","ISSUER_TYPE")</f>
        <v>#NAME?</v>
      </c>
      <c r="S318" t="e">
        <f ca="1">BDS("5444456E Muni","ESG_PROJECT_CATEGORY", "aggregate=y")</f>
        <v>#NAME?</v>
      </c>
      <c r="T318" t="e">
        <f ca="1">BDS("5444456E Muni","ESG_PROJECT_SUBCATEGORY", "aggregate=y")</f>
        <v>#NAME?</v>
      </c>
    </row>
    <row r="319" spans="1:20" x14ac:dyDescent="0.25">
      <c r="A319" t="e">
        <f ca="1">BDP("88035PHQ Muni","ID_CUSIP")</f>
        <v>#NAME?</v>
      </c>
      <c r="B319" t="e">
        <f ca="1">BDP("88035PHQ Muni","STATE_CODE")</f>
        <v>#NAME?</v>
      </c>
      <c r="C319" t="s">
        <v>25</v>
      </c>
      <c r="D319" t="e">
        <f ca="1">BDP("88035PHQ Muni","YIELD_ON_ISSUE_DATE")</f>
        <v>#NAME?</v>
      </c>
      <c r="E319">
        <v>14000000</v>
      </c>
      <c r="F319" t="e">
        <f ca="1">BDP("88035PHQ Muni","ISSUE_DT")</f>
        <v>#NAME?</v>
      </c>
      <c r="G319" t="e">
        <f ca="1">BDP("88035PHQ Muni","MATURITY")</f>
        <v>#NAME?</v>
      </c>
      <c r="H319" t="e">
        <f ca="1">BDP("88035PHQ Muni","MUNI_TAX_PROV")</f>
        <v>#NAME?</v>
      </c>
      <c r="I319" t="e">
        <f ca="1">BDP("88035PHQ Muni","FINANCING_TYPE")</f>
        <v>#NAME?</v>
      </c>
      <c r="J319" t="e">
        <f ca="1">BDP("88035PHQ Muni","BICS_LEVEL_2_INDUSTRY_GROUP_NAME")</f>
        <v>#NAME?</v>
      </c>
      <c r="K319" t="e">
        <f ca="1">BDP("88035PHQ Muni","SELF_REPRTD_GREEN_INSTR_INDCTR")</f>
        <v>#NAME?</v>
      </c>
      <c r="L319" t="e">
        <f ca="1">BDP("88035PHQ Muni","GB_MANAGEMENT_PROCEEDS")</f>
        <v>#NAME?</v>
      </c>
      <c r="M319" t="e">
        <f ca="1">BDP("88035PHQ Muni","GB_REPORTING")</f>
        <v>#NAME?</v>
      </c>
      <c r="N319" t="e">
        <f ca="1">BDP("88035PHQ Muni","GB_ASSURANCE_PROVIDERS")</f>
        <v>#NAME?</v>
      </c>
      <c r="O319" t="e">
        <f ca="1">BDP("88035PHQ Muni","GB_PROJECT_SELECTION_PROCESS")</f>
        <v>#NAME?</v>
      </c>
      <c r="P319" t="e">
        <f ca="1">BDP("88035PHQ Muni","ESG_FRAMEWORK_INDICATOR")</f>
        <v>#NAME?</v>
      </c>
      <c r="Q319" t="e">
        <f ca="1">BDP("88035PHQ Muni","BLOOMBERG_SECTOR_CODE")</f>
        <v>#NAME?</v>
      </c>
      <c r="R319" t="e">
        <f ca="1">BDP("88035PHQ Muni","ISSUER_TYPE")</f>
        <v>#NAME?</v>
      </c>
      <c r="S319" t="e">
        <f ca="1">BDS("88035PHQ Muni","ESG_PROJECT_CATEGORY", "aggregate=y")</f>
        <v>#NAME?</v>
      </c>
      <c r="T319" t="e">
        <f ca="1">BDS("88035PHQ Muni","ESG_PROJECT_SUBCATEGORY", "aggregate=y")</f>
        <v>#NAME?</v>
      </c>
    </row>
    <row r="320" spans="1:20" x14ac:dyDescent="0.25">
      <c r="A320" t="e">
        <f ca="1">BDP("072024J9 Muni","ID_CUSIP")</f>
        <v>#NAME?</v>
      </c>
      <c r="B320" t="e">
        <f ca="1">BDP("072024J9 Muni","STATE_CODE")</f>
        <v>#NAME?</v>
      </c>
      <c r="C320" t="s">
        <v>39</v>
      </c>
      <c r="D320" t="e">
        <f ca="1">BDP("072024J9 Muni","YIELD_ON_ISSUE_DATE")</f>
        <v>#NAME?</v>
      </c>
      <c r="E320">
        <v>32900000</v>
      </c>
      <c r="F320" t="e">
        <f ca="1">BDP("072024J9 Muni","ISSUE_DT")</f>
        <v>#NAME?</v>
      </c>
      <c r="G320" t="e">
        <f ca="1">BDP("072024J9 Muni","MATURITY")</f>
        <v>#NAME?</v>
      </c>
      <c r="H320" t="e">
        <f ca="1">BDP("072024J9 Muni","MUNI_TAX_PROV")</f>
        <v>#NAME?</v>
      </c>
      <c r="I320" t="e">
        <f ca="1">BDP("072024J9 Muni","FINANCING_TYPE")</f>
        <v>#NAME?</v>
      </c>
      <c r="J320" t="e">
        <f ca="1">BDP("072024J9 Muni","BICS_LEVEL_2_INDUSTRY_GROUP_NAME")</f>
        <v>#NAME?</v>
      </c>
      <c r="K320" t="e">
        <f ca="1">BDP("072024J9 Muni","SELF_REPRTD_GREEN_INSTR_INDCTR")</f>
        <v>#NAME?</v>
      </c>
      <c r="L320" t="e">
        <f ca="1">BDP("072024J9 Muni","GB_MANAGEMENT_PROCEEDS")</f>
        <v>#NAME?</v>
      </c>
      <c r="M320" t="e">
        <f ca="1">BDP("072024J9 Muni","GB_REPORTING")</f>
        <v>#NAME?</v>
      </c>
      <c r="N320" t="e">
        <f ca="1">BDP("072024J9 Muni","GB_ASSURANCE_PROVIDERS")</f>
        <v>#NAME?</v>
      </c>
      <c r="O320" t="e">
        <f ca="1">BDP("072024J9 Muni","GB_PROJECT_SELECTION_PROCESS")</f>
        <v>#NAME?</v>
      </c>
      <c r="P320" t="e">
        <f ca="1">BDP("072024J9 Muni","ESG_FRAMEWORK_INDICATOR")</f>
        <v>#NAME?</v>
      </c>
      <c r="Q320" t="e">
        <f ca="1">BDP("072024J9 Muni","BLOOMBERG_SECTOR_CODE")</f>
        <v>#NAME?</v>
      </c>
      <c r="R320" t="e">
        <f ca="1">BDP("072024J9 Muni","ISSUER_TYPE")</f>
        <v>#NAME?</v>
      </c>
      <c r="S320" t="e">
        <f ca="1">BDS("072024J9 Muni","ESG_PROJECT_CATEGORY", "aggregate=y")</f>
        <v>#NAME?</v>
      </c>
      <c r="T320" t="e">
        <f ca="1">BDS("072024J9 Muni","ESG_PROJECT_SUBCATEGORY", "aggregate=y")</f>
        <v>#NAME?</v>
      </c>
    </row>
    <row r="321" spans="1:20" x14ac:dyDescent="0.25">
      <c r="A321" t="e">
        <f ca="1">BDP("5444452V Muni","ID_CUSIP")</f>
        <v>#NAME?</v>
      </c>
      <c r="B321" t="e">
        <f ca="1">BDP("5444452V Muni","STATE_CODE")</f>
        <v>#NAME?</v>
      </c>
      <c r="C321" t="s">
        <v>34</v>
      </c>
      <c r="D321" t="e">
        <f ca="1">BDP("5444452V Muni","YIELD_ON_ISSUE_DATE")</f>
        <v>#NAME?</v>
      </c>
      <c r="E321">
        <v>50880000</v>
      </c>
      <c r="F321" t="e">
        <f ca="1">BDP("5444452V Muni","ISSUE_DT")</f>
        <v>#NAME?</v>
      </c>
      <c r="G321" t="e">
        <f ca="1">BDP("5444452V Muni","MATURITY")</f>
        <v>#NAME?</v>
      </c>
      <c r="H321" t="e">
        <f ca="1">BDP("5444452V Muni","MUNI_TAX_PROV")</f>
        <v>#NAME?</v>
      </c>
      <c r="I321" t="e">
        <f ca="1">BDP("5444452V Muni","FINANCING_TYPE")</f>
        <v>#NAME?</v>
      </c>
      <c r="J321" t="e">
        <f ca="1">BDP("5444452V Muni","BICS_LEVEL_2_INDUSTRY_GROUP_NAME")</f>
        <v>#NAME?</v>
      </c>
      <c r="K321" t="e">
        <f ca="1">BDP("5444452V Muni","SELF_REPRTD_GREEN_INSTR_INDCTR")</f>
        <v>#NAME?</v>
      </c>
      <c r="L321" t="e">
        <f ca="1">BDP("5444452V Muni","GB_MANAGEMENT_PROCEEDS")</f>
        <v>#NAME?</v>
      </c>
      <c r="M321" t="e">
        <f ca="1">BDP("5444452V Muni","GB_REPORTING")</f>
        <v>#NAME?</v>
      </c>
      <c r="N321" t="e">
        <f ca="1">BDP("5444452V Muni","GB_ASSURANCE_PROVIDERS")</f>
        <v>#NAME?</v>
      </c>
      <c r="O321" t="e">
        <f ca="1">BDP("5444452V Muni","GB_PROJECT_SELECTION_PROCESS")</f>
        <v>#NAME?</v>
      </c>
      <c r="P321" t="e">
        <f ca="1">BDP("5444452V Muni","ESG_FRAMEWORK_INDICATOR")</f>
        <v>#NAME?</v>
      </c>
      <c r="Q321" t="e">
        <f ca="1">BDP("5444452V Muni","BLOOMBERG_SECTOR_CODE")</f>
        <v>#NAME?</v>
      </c>
      <c r="R321" t="e">
        <f ca="1">BDP("5444452V Muni","ISSUER_TYPE")</f>
        <v>#NAME?</v>
      </c>
      <c r="S321" t="e">
        <f ca="1">BDS("5444452V Muni","ESG_PROJECT_CATEGORY", "aggregate=y")</f>
        <v>#NAME?</v>
      </c>
      <c r="T321" t="e">
        <f ca="1">BDS("5444452V Muni","ESG_PROJECT_SUBCATEGORY", "aggregate=y")</f>
        <v>#NAME?</v>
      </c>
    </row>
    <row r="322" spans="1:20" x14ac:dyDescent="0.25">
      <c r="A322" t="e">
        <f ca="1">BDP("88035M7N Muni","ID_CUSIP")</f>
        <v>#NAME?</v>
      </c>
      <c r="B322" t="e">
        <f ca="1">BDP("88035M7N Muni","STATE_CODE")</f>
        <v>#NAME?</v>
      </c>
      <c r="C322" t="s">
        <v>25</v>
      </c>
      <c r="D322" t="e">
        <f ca="1">BDP("88035M7N Muni","YIELD_ON_ISSUE_DATE")</f>
        <v>#NAME?</v>
      </c>
      <c r="E322">
        <v>2400000</v>
      </c>
      <c r="F322" t="e">
        <f ca="1">BDP("88035M7N Muni","ISSUE_DT")</f>
        <v>#NAME?</v>
      </c>
      <c r="G322" t="e">
        <f ca="1">BDP("88035M7N Muni","MATURITY")</f>
        <v>#NAME?</v>
      </c>
      <c r="H322" t="e">
        <f ca="1">BDP("88035M7N Muni","MUNI_TAX_PROV")</f>
        <v>#NAME?</v>
      </c>
      <c r="I322" t="e">
        <f ca="1">BDP("88035M7N Muni","FINANCING_TYPE")</f>
        <v>#NAME?</v>
      </c>
      <c r="J322" t="e">
        <f ca="1">BDP("88035M7N Muni","BICS_LEVEL_2_INDUSTRY_GROUP_NAME")</f>
        <v>#NAME?</v>
      </c>
      <c r="K322" t="e">
        <f ca="1">BDP("88035M7N Muni","SELF_REPRTD_GREEN_INSTR_INDCTR")</f>
        <v>#NAME?</v>
      </c>
      <c r="L322" t="e">
        <f ca="1">BDP("88035M7N Muni","GB_MANAGEMENT_PROCEEDS")</f>
        <v>#NAME?</v>
      </c>
      <c r="M322" t="e">
        <f ca="1">BDP("88035M7N Muni","GB_REPORTING")</f>
        <v>#NAME?</v>
      </c>
      <c r="N322" t="e">
        <f ca="1">BDP("88035M7N Muni","GB_ASSURANCE_PROVIDERS")</f>
        <v>#NAME?</v>
      </c>
      <c r="O322" t="e">
        <f ca="1">BDP("88035M7N Muni","GB_PROJECT_SELECTION_PROCESS")</f>
        <v>#NAME?</v>
      </c>
      <c r="P322" t="e">
        <f ca="1">BDP("88035M7N Muni","ESG_FRAMEWORK_INDICATOR")</f>
        <v>#NAME?</v>
      </c>
      <c r="Q322" t="e">
        <f ca="1">BDP("88035M7N Muni","BLOOMBERG_SECTOR_CODE")</f>
        <v>#NAME?</v>
      </c>
      <c r="R322" t="e">
        <f ca="1">BDP("88035M7N Muni","ISSUER_TYPE")</f>
        <v>#NAME?</v>
      </c>
      <c r="S322" t="e">
        <f ca="1">BDS("88035M7N Muni","ESG_PROJECT_CATEGORY", "aggregate=y")</f>
        <v>#NAME?</v>
      </c>
      <c r="T322" t="e">
        <f ca="1">BDS("88035M7N Muni","ESG_PROJECT_SUBCATEGORY", "aggregate=y")</f>
        <v>#NAME?</v>
      </c>
    </row>
    <row r="323" spans="1:20" x14ac:dyDescent="0.25">
      <c r="A323" t="e">
        <f ca="1">BDP("072024H5 Muni","ID_CUSIP")</f>
        <v>#NAME?</v>
      </c>
      <c r="B323" t="e">
        <f ca="1">BDP("072024H5 Muni","STATE_CODE")</f>
        <v>#NAME?</v>
      </c>
      <c r="C323" t="s">
        <v>39</v>
      </c>
      <c r="D323" t="e">
        <f ca="1">BDP("072024H5 Muni","YIELD_ON_ISSUE_DATE")</f>
        <v>#NAME?</v>
      </c>
      <c r="E323">
        <v>31200000</v>
      </c>
      <c r="F323" t="e">
        <f ca="1">BDP("072024H5 Muni","ISSUE_DT")</f>
        <v>#NAME?</v>
      </c>
      <c r="G323" t="e">
        <f ca="1">BDP("072024H5 Muni","MATURITY")</f>
        <v>#NAME?</v>
      </c>
      <c r="H323" t="e">
        <f ca="1">BDP("072024H5 Muni","MUNI_TAX_PROV")</f>
        <v>#NAME?</v>
      </c>
      <c r="I323" t="e">
        <f ca="1">BDP("072024H5 Muni","FINANCING_TYPE")</f>
        <v>#NAME?</v>
      </c>
      <c r="J323" t="e">
        <f ca="1">BDP("072024H5 Muni","BICS_LEVEL_2_INDUSTRY_GROUP_NAME")</f>
        <v>#NAME?</v>
      </c>
      <c r="K323" t="e">
        <f ca="1">BDP("072024H5 Muni","SELF_REPRTD_GREEN_INSTR_INDCTR")</f>
        <v>#NAME?</v>
      </c>
      <c r="L323" t="e">
        <f ca="1">BDP("072024H5 Muni","GB_MANAGEMENT_PROCEEDS")</f>
        <v>#NAME?</v>
      </c>
      <c r="M323" t="e">
        <f ca="1">BDP("072024H5 Muni","GB_REPORTING")</f>
        <v>#NAME?</v>
      </c>
      <c r="N323" t="e">
        <f ca="1">BDP("072024H5 Muni","GB_ASSURANCE_PROVIDERS")</f>
        <v>#NAME?</v>
      </c>
      <c r="O323" t="e">
        <f ca="1">BDP("072024H5 Muni","GB_PROJECT_SELECTION_PROCESS")</f>
        <v>#NAME?</v>
      </c>
      <c r="P323" t="e">
        <f ca="1">BDP("072024H5 Muni","ESG_FRAMEWORK_INDICATOR")</f>
        <v>#NAME?</v>
      </c>
      <c r="Q323" t="e">
        <f ca="1">BDP("072024H5 Muni","BLOOMBERG_SECTOR_CODE")</f>
        <v>#NAME?</v>
      </c>
      <c r="R323" t="e">
        <f ca="1">BDP("072024H5 Muni","ISSUER_TYPE")</f>
        <v>#NAME?</v>
      </c>
      <c r="S323" t="e">
        <f ca="1">BDS("072024H5 Muni","ESG_PROJECT_CATEGORY", "aggregate=y")</f>
        <v>#NAME?</v>
      </c>
      <c r="T323" t="e">
        <f ca="1">BDS("072024H5 Muni","ESG_PROJECT_SUBCATEGORY", "aggregate=y")</f>
        <v>#NAME?</v>
      </c>
    </row>
    <row r="324" spans="1:20" x14ac:dyDescent="0.25">
      <c r="A324" t="e">
        <f ca="1">BDP("13013JGH Muni","ID_CUSIP")</f>
        <v>#NAME?</v>
      </c>
      <c r="B324" t="e">
        <f ca="1">BDP("13013JGH Muni","STATE_CODE")</f>
        <v>#NAME?</v>
      </c>
      <c r="C324" t="s">
        <v>30</v>
      </c>
      <c r="D324" t="e">
        <f ca="1">BDP("13013JGH Muni","YIELD_ON_ISSUE_DATE")</f>
        <v>#NAME?</v>
      </c>
      <c r="E324">
        <v>7835000</v>
      </c>
      <c r="F324" t="e">
        <f ca="1">BDP("13013JGH Muni","ISSUE_DT")</f>
        <v>#NAME?</v>
      </c>
      <c r="G324" t="e">
        <f ca="1">BDP("13013JGH Muni","MATURITY")</f>
        <v>#NAME?</v>
      </c>
      <c r="H324" t="e">
        <f ca="1">BDP("13013JGH Muni","MUNI_TAX_PROV")</f>
        <v>#NAME?</v>
      </c>
      <c r="I324" t="e">
        <f ca="1">BDP("13013JGH Muni","FINANCING_TYPE")</f>
        <v>#NAME?</v>
      </c>
      <c r="J324" t="e">
        <f ca="1">BDP("13013JGH Muni","BICS_LEVEL_2_INDUSTRY_GROUP_NAME")</f>
        <v>#NAME?</v>
      </c>
      <c r="K324" t="e">
        <f ca="1">BDP("13013JGH Muni","SELF_REPRTD_GREEN_INSTR_INDCTR")</f>
        <v>#NAME?</v>
      </c>
      <c r="L324" t="e">
        <f ca="1">BDP("13013JGH Muni","GB_MANAGEMENT_PROCEEDS")</f>
        <v>#NAME?</v>
      </c>
      <c r="M324" t="e">
        <f ca="1">BDP("13013JGH Muni","GB_REPORTING")</f>
        <v>#NAME?</v>
      </c>
      <c r="N324" t="e">
        <f ca="1">BDP("13013JGH Muni","GB_ASSURANCE_PROVIDERS")</f>
        <v>#NAME?</v>
      </c>
      <c r="O324" t="e">
        <f ca="1">BDP("13013JGH Muni","GB_PROJECT_SELECTION_PROCESS")</f>
        <v>#NAME?</v>
      </c>
      <c r="P324" t="e">
        <f ca="1">BDP("13013JGH Muni","ESG_FRAMEWORK_INDICATOR")</f>
        <v>#NAME?</v>
      </c>
      <c r="Q324" t="e">
        <f ca="1">BDP("13013JGH Muni","BLOOMBERG_SECTOR_CODE")</f>
        <v>#NAME?</v>
      </c>
      <c r="R324" t="e">
        <f ca="1">BDP("13013JGH Muni","ISSUER_TYPE")</f>
        <v>#NAME?</v>
      </c>
      <c r="S324" t="e">
        <f ca="1">BDS("13013JGH Muni","ESG_PROJECT_CATEGORY", "aggregate=y")</f>
        <v>#NAME?</v>
      </c>
      <c r="T324" t="e">
        <f ca="1">BDS("13013JGH Muni","ESG_PROJECT_SUBCATEGORY", "aggregate=y")</f>
        <v>#NAME?</v>
      </c>
    </row>
    <row r="325" spans="1:20" x14ac:dyDescent="0.25">
      <c r="A325" t="e">
        <f ca="1">BDP("13013JGP Muni","ID_CUSIP")</f>
        <v>#NAME?</v>
      </c>
      <c r="B325" t="e">
        <f ca="1">BDP("13013JGP Muni","STATE_CODE")</f>
        <v>#NAME?</v>
      </c>
      <c r="C325" t="s">
        <v>30</v>
      </c>
      <c r="D325" t="e">
        <f ca="1">BDP("13013JGP Muni","YIELD_ON_ISSUE_DATE")</f>
        <v>#NAME?</v>
      </c>
      <c r="E325">
        <v>9080000</v>
      </c>
      <c r="F325" t="e">
        <f ca="1">BDP("13013JGP Muni","ISSUE_DT")</f>
        <v>#NAME?</v>
      </c>
      <c r="G325" t="e">
        <f ca="1">BDP("13013JGP Muni","MATURITY")</f>
        <v>#NAME?</v>
      </c>
      <c r="H325" t="e">
        <f ca="1">BDP("13013JGP Muni","MUNI_TAX_PROV")</f>
        <v>#NAME?</v>
      </c>
      <c r="I325" t="e">
        <f ca="1">BDP("13013JGP Muni","FINANCING_TYPE")</f>
        <v>#NAME?</v>
      </c>
      <c r="J325" t="e">
        <f ca="1">BDP("13013JGP Muni","BICS_LEVEL_2_INDUSTRY_GROUP_NAME")</f>
        <v>#NAME?</v>
      </c>
      <c r="K325" t="e">
        <f ca="1">BDP("13013JGP Muni","SELF_REPRTD_GREEN_INSTR_INDCTR")</f>
        <v>#NAME?</v>
      </c>
      <c r="L325" t="e">
        <f ca="1">BDP("13013JGP Muni","GB_MANAGEMENT_PROCEEDS")</f>
        <v>#NAME?</v>
      </c>
      <c r="M325" t="e">
        <f ca="1">BDP("13013JGP Muni","GB_REPORTING")</f>
        <v>#NAME?</v>
      </c>
      <c r="N325" t="e">
        <f ca="1">BDP("13013JGP Muni","GB_ASSURANCE_PROVIDERS")</f>
        <v>#NAME?</v>
      </c>
      <c r="O325" t="e">
        <f ca="1">BDP("13013JGP Muni","GB_PROJECT_SELECTION_PROCESS")</f>
        <v>#NAME?</v>
      </c>
      <c r="P325" t="e">
        <f ca="1">BDP("13013JGP Muni","ESG_FRAMEWORK_INDICATOR")</f>
        <v>#NAME?</v>
      </c>
      <c r="Q325" t="e">
        <f ca="1">BDP("13013JGP Muni","BLOOMBERG_SECTOR_CODE")</f>
        <v>#NAME?</v>
      </c>
      <c r="R325" t="e">
        <f ca="1">BDP("13013JGP Muni","ISSUER_TYPE")</f>
        <v>#NAME?</v>
      </c>
      <c r="S325" t="e">
        <f ca="1">BDS("13013JGP Muni","ESG_PROJECT_CATEGORY", "aggregate=y")</f>
        <v>#NAME?</v>
      </c>
      <c r="T325" t="e">
        <f ca="1">BDS("13013JGP Muni","ESG_PROJECT_SUBCATEGORY", "aggregate=y")</f>
        <v>#NAME?</v>
      </c>
    </row>
    <row r="326" spans="1:20" x14ac:dyDescent="0.25">
      <c r="A326" t="e">
        <f ca="1">BDP("797661F4 Muni","ID_CUSIP")</f>
        <v>#NAME?</v>
      </c>
      <c r="B326" t="e">
        <f ca="1">BDP("797661F4 Muni","STATE_CODE")</f>
        <v>#NAME?</v>
      </c>
      <c r="C326" t="s">
        <v>36</v>
      </c>
      <c r="D326" t="e">
        <f ca="1">BDP("797661F4 Muni","YIELD_ON_ISSUE_DATE")</f>
        <v>#NAME?</v>
      </c>
      <c r="E326">
        <v>44370000</v>
      </c>
      <c r="F326" t="e">
        <f ca="1">BDP("797661F4 Muni","ISSUE_DT")</f>
        <v>#NAME?</v>
      </c>
      <c r="G326" t="e">
        <f ca="1">BDP("797661F4 Muni","MATURITY")</f>
        <v>#NAME?</v>
      </c>
      <c r="H326" t="e">
        <f ca="1">BDP("797661F4 Muni","MUNI_TAX_PROV")</f>
        <v>#NAME?</v>
      </c>
      <c r="I326" t="e">
        <f ca="1">BDP("797661F4 Muni","FINANCING_TYPE")</f>
        <v>#NAME?</v>
      </c>
      <c r="J326" t="e">
        <f ca="1">BDP("797661F4 Muni","BICS_LEVEL_2_INDUSTRY_GROUP_NAME")</f>
        <v>#NAME?</v>
      </c>
      <c r="K326" t="e">
        <f ca="1">BDP("797661F4 Muni","SELF_REPRTD_GREEN_INSTR_INDCTR")</f>
        <v>#NAME?</v>
      </c>
      <c r="L326" t="e">
        <f ca="1">BDP("797661F4 Muni","GB_MANAGEMENT_PROCEEDS")</f>
        <v>#NAME?</v>
      </c>
      <c r="M326" t="e">
        <f ca="1">BDP("797661F4 Muni","GB_REPORTING")</f>
        <v>#NAME?</v>
      </c>
      <c r="N326" t="e">
        <f ca="1">BDP("797661F4 Muni","GB_ASSURANCE_PROVIDERS")</f>
        <v>#NAME?</v>
      </c>
      <c r="O326" t="e">
        <f ca="1">BDP("797661F4 Muni","GB_PROJECT_SELECTION_PROCESS")</f>
        <v>#NAME?</v>
      </c>
      <c r="P326" t="e">
        <f ca="1">BDP("797661F4 Muni","ESG_FRAMEWORK_INDICATOR")</f>
        <v>#NAME?</v>
      </c>
      <c r="Q326" t="e">
        <f ca="1">BDP("797661F4 Muni","BLOOMBERG_SECTOR_CODE")</f>
        <v>#NAME?</v>
      </c>
      <c r="R326" t="e">
        <f ca="1">BDP("797661F4 Muni","ISSUER_TYPE")</f>
        <v>#NAME?</v>
      </c>
      <c r="S326" t="e">
        <f ca="1">BDS("797661F4 Muni","ESG_PROJECT_CATEGORY", "aggregate=y")</f>
        <v>#NAME?</v>
      </c>
      <c r="T326" t="e">
        <f ca="1">BDS("797661F4 Muni","ESG_PROJECT_SUBCATEGORY", "aggregate=y")</f>
        <v>#NAME?</v>
      </c>
    </row>
    <row r="327" spans="1:20" x14ac:dyDescent="0.25">
      <c r="A327" t="e">
        <f ca="1">BDP("5444452S Muni","ID_CUSIP")</f>
        <v>#NAME?</v>
      </c>
      <c r="B327" t="e">
        <f ca="1">BDP("5444452S Muni","STATE_CODE")</f>
        <v>#NAME?</v>
      </c>
      <c r="C327" t="s">
        <v>34</v>
      </c>
      <c r="D327" t="e">
        <f ca="1">BDP("5444452S Muni","YIELD_ON_ISSUE_DATE")</f>
        <v>#NAME?</v>
      </c>
      <c r="E327">
        <v>42500000</v>
      </c>
      <c r="F327" t="e">
        <f ca="1">BDP("5444452S Muni","ISSUE_DT")</f>
        <v>#NAME?</v>
      </c>
      <c r="G327" t="e">
        <f ca="1">BDP("5444452S Muni","MATURITY")</f>
        <v>#NAME?</v>
      </c>
      <c r="H327" t="e">
        <f ca="1">BDP("5444452S Muni","MUNI_TAX_PROV")</f>
        <v>#NAME?</v>
      </c>
      <c r="I327" t="e">
        <f ca="1">BDP("5444452S Muni","FINANCING_TYPE")</f>
        <v>#NAME?</v>
      </c>
      <c r="J327" t="e">
        <f ca="1">BDP("5444452S Muni","BICS_LEVEL_2_INDUSTRY_GROUP_NAME")</f>
        <v>#NAME?</v>
      </c>
      <c r="K327" t="e">
        <f ca="1">BDP("5444452S Muni","SELF_REPRTD_GREEN_INSTR_INDCTR")</f>
        <v>#NAME?</v>
      </c>
      <c r="L327" t="e">
        <f ca="1">BDP("5444452S Muni","GB_MANAGEMENT_PROCEEDS")</f>
        <v>#NAME?</v>
      </c>
      <c r="M327" t="e">
        <f ca="1">BDP("5444452S Muni","GB_REPORTING")</f>
        <v>#NAME?</v>
      </c>
      <c r="N327" t="e">
        <f ca="1">BDP("5444452S Muni","GB_ASSURANCE_PROVIDERS")</f>
        <v>#NAME?</v>
      </c>
      <c r="O327" t="e">
        <f ca="1">BDP("5444452S Muni","GB_PROJECT_SELECTION_PROCESS")</f>
        <v>#NAME?</v>
      </c>
      <c r="P327" t="e">
        <f ca="1">BDP("5444452S Muni","ESG_FRAMEWORK_INDICATOR")</f>
        <v>#NAME?</v>
      </c>
      <c r="Q327" t="e">
        <f ca="1">BDP("5444452S Muni","BLOOMBERG_SECTOR_CODE")</f>
        <v>#NAME?</v>
      </c>
      <c r="R327" t="e">
        <f ca="1">BDP("5444452S Muni","ISSUER_TYPE")</f>
        <v>#NAME?</v>
      </c>
      <c r="S327" t="e">
        <f ca="1">BDS("5444452S Muni","ESG_PROJECT_CATEGORY", "aggregate=y")</f>
        <v>#NAME?</v>
      </c>
      <c r="T327" t="e">
        <f ca="1">BDS("5444452S Muni","ESG_PROJECT_SUBCATEGORY", "aggregate=y")</f>
        <v>#NAME?</v>
      </c>
    </row>
    <row r="328" spans="1:20" x14ac:dyDescent="0.25">
      <c r="A328" t="e">
        <f ca="1">BDP("797661D4 Muni","ID_CUSIP")</f>
        <v>#NAME?</v>
      </c>
      <c r="B328" t="e">
        <f ca="1">BDP("797661D4 Muni","STATE_CODE")</f>
        <v>#NAME?</v>
      </c>
      <c r="C328" t="s">
        <v>36</v>
      </c>
      <c r="D328" t="e">
        <f ca="1">BDP("797661D4 Muni","YIELD_ON_ISSUE_DATE")</f>
        <v>#NAME?</v>
      </c>
      <c r="E328">
        <v>20325000</v>
      </c>
      <c r="F328" t="e">
        <f ca="1">BDP("797661D4 Muni","ISSUE_DT")</f>
        <v>#NAME?</v>
      </c>
      <c r="G328" t="e">
        <f ca="1">BDP("797661D4 Muni","MATURITY")</f>
        <v>#NAME?</v>
      </c>
      <c r="H328" t="e">
        <f ca="1">BDP("797661D4 Muni","MUNI_TAX_PROV")</f>
        <v>#NAME?</v>
      </c>
      <c r="I328" t="e">
        <f ca="1">BDP("797661D4 Muni","FINANCING_TYPE")</f>
        <v>#NAME?</v>
      </c>
      <c r="J328" t="e">
        <f ca="1">BDP("797661D4 Muni","BICS_LEVEL_2_INDUSTRY_GROUP_NAME")</f>
        <v>#NAME?</v>
      </c>
      <c r="K328" t="e">
        <f ca="1">BDP("797661D4 Muni","SELF_REPRTD_GREEN_INSTR_INDCTR")</f>
        <v>#NAME?</v>
      </c>
      <c r="L328" t="e">
        <f ca="1">BDP("797661D4 Muni","GB_MANAGEMENT_PROCEEDS")</f>
        <v>#NAME?</v>
      </c>
      <c r="M328" t="e">
        <f ca="1">BDP("797661D4 Muni","GB_REPORTING")</f>
        <v>#NAME?</v>
      </c>
      <c r="N328" t="e">
        <f ca="1">BDP("797661D4 Muni","GB_ASSURANCE_PROVIDERS")</f>
        <v>#NAME?</v>
      </c>
      <c r="O328" t="e">
        <f ca="1">BDP("797661D4 Muni","GB_PROJECT_SELECTION_PROCESS")</f>
        <v>#NAME?</v>
      </c>
      <c r="P328" t="e">
        <f ca="1">BDP("797661D4 Muni","ESG_FRAMEWORK_INDICATOR")</f>
        <v>#NAME?</v>
      </c>
      <c r="Q328" t="e">
        <f ca="1">BDP("797661D4 Muni","BLOOMBERG_SECTOR_CODE")</f>
        <v>#NAME?</v>
      </c>
      <c r="R328" t="e">
        <f ca="1">BDP("797661D4 Muni","ISSUER_TYPE")</f>
        <v>#NAME?</v>
      </c>
      <c r="S328" t="e">
        <f ca="1">BDS("797661D4 Muni","ESG_PROJECT_CATEGORY", "aggregate=y")</f>
        <v>#NAME?</v>
      </c>
      <c r="T328" t="e">
        <f ca="1">BDS("797661D4 Muni","ESG_PROJECT_SUBCATEGORY", "aggregate=y")</f>
        <v>#NAME?</v>
      </c>
    </row>
    <row r="329" spans="1:20" x14ac:dyDescent="0.25">
      <c r="A329" t="e">
        <f ca="1">BDP("797661G8 Muni","ID_CUSIP")</f>
        <v>#NAME?</v>
      </c>
      <c r="B329" t="e">
        <f ca="1">BDP("797661G8 Muni","STATE_CODE")</f>
        <v>#NAME?</v>
      </c>
      <c r="C329" t="s">
        <v>36</v>
      </c>
      <c r="D329" t="e">
        <f ca="1">BDP("797661G8 Muni","YIELD_ON_ISSUE_DATE")</f>
        <v>#NAME?</v>
      </c>
      <c r="E329">
        <v>25790000</v>
      </c>
      <c r="F329" t="e">
        <f ca="1">BDP("797661G8 Muni","ISSUE_DT")</f>
        <v>#NAME?</v>
      </c>
      <c r="G329" t="e">
        <f ca="1">BDP("797661G8 Muni","MATURITY")</f>
        <v>#NAME?</v>
      </c>
      <c r="H329" t="e">
        <f ca="1">BDP("797661G8 Muni","MUNI_TAX_PROV")</f>
        <v>#NAME?</v>
      </c>
      <c r="I329" t="e">
        <f ca="1">BDP("797661G8 Muni","FINANCING_TYPE")</f>
        <v>#NAME?</v>
      </c>
      <c r="J329" t="e">
        <f ca="1">BDP("797661G8 Muni","BICS_LEVEL_2_INDUSTRY_GROUP_NAME")</f>
        <v>#NAME?</v>
      </c>
      <c r="K329" t="e">
        <f ca="1">BDP("797661G8 Muni","SELF_REPRTD_GREEN_INSTR_INDCTR")</f>
        <v>#NAME?</v>
      </c>
      <c r="L329" t="e">
        <f ca="1">BDP("797661G8 Muni","GB_MANAGEMENT_PROCEEDS")</f>
        <v>#NAME?</v>
      </c>
      <c r="M329" t="e">
        <f ca="1">BDP("797661G8 Muni","GB_REPORTING")</f>
        <v>#NAME?</v>
      </c>
      <c r="N329" t="e">
        <f ca="1">BDP("797661G8 Muni","GB_ASSURANCE_PROVIDERS")</f>
        <v>#NAME?</v>
      </c>
      <c r="O329" t="e">
        <f ca="1">BDP("797661G8 Muni","GB_PROJECT_SELECTION_PROCESS")</f>
        <v>#NAME?</v>
      </c>
      <c r="P329" t="e">
        <f ca="1">BDP("797661G8 Muni","ESG_FRAMEWORK_INDICATOR")</f>
        <v>#NAME?</v>
      </c>
      <c r="Q329" t="e">
        <f ca="1">BDP("797661G8 Muni","BLOOMBERG_SECTOR_CODE")</f>
        <v>#NAME?</v>
      </c>
      <c r="R329" t="e">
        <f ca="1">BDP("797661G8 Muni","ISSUER_TYPE")</f>
        <v>#NAME?</v>
      </c>
      <c r="S329" t="e">
        <f ca="1">BDS("797661G8 Muni","ESG_PROJECT_CATEGORY", "aggregate=y")</f>
        <v>#NAME?</v>
      </c>
      <c r="T329" t="e">
        <f ca="1">BDS("797661G8 Muni","ESG_PROJECT_SUBCATEGORY", "aggregate=y")</f>
        <v>#NAME?</v>
      </c>
    </row>
    <row r="330" spans="1:20" x14ac:dyDescent="0.25">
      <c r="A330" t="e">
        <f ca="1">BDP("79771FGP Muni","ID_CUSIP")</f>
        <v>#NAME?</v>
      </c>
      <c r="B330" t="e">
        <f ca="1">BDP("79771FGP Muni","STATE_CODE")</f>
        <v>#NAME?</v>
      </c>
      <c r="C330" t="s">
        <v>37</v>
      </c>
      <c r="D330" t="e">
        <f ca="1">BDP("79771FGP Muni","YIELD_ON_ISSUE_DATE")</f>
        <v>#NAME?</v>
      </c>
      <c r="E330">
        <v>1005000</v>
      </c>
      <c r="F330" t="e">
        <f ca="1">BDP("79771FGP Muni","ISSUE_DT")</f>
        <v>#NAME?</v>
      </c>
      <c r="G330" t="e">
        <f ca="1">BDP("79771FGP Muni","MATURITY")</f>
        <v>#NAME?</v>
      </c>
      <c r="H330" t="e">
        <f ca="1">BDP("79771FGP Muni","MUNI_TAX_PROV")</f>
        <v>#NAME?</v>
      </c>
      <c r="I330" t="e">
        <f ca="1">BDP("79771FGP Muni","FINANCING_TYPE")</f>
        <v>#NAME?</v>
      </c>
      <c r="J330" t="e">
        <f ca="1">BDP("79771FGP Muni","BICS_LEVEL_2_INDUSTRY_GROUP_NAME")</f>
        <v>#NAME?</v>
      </c>
      <c r="K330" t="e">
        <f ca="1">BDP("79771FGP Muni","SELF_REPRTD_GREEN_INSTR_INDCTR")</f>
        <v>#NAME?</v>
      </c>
      <c r="L330" t="e">
        <f ca="1">BDP("79771FGP Muni","GB_MANAGEMENT_PROCEEDS")</f>
        <v>#NAME?</v>
      </c>
      <c r="M330" t="e">
        <f ca="1">BDP("79771FGP Muni","GB_REPORTING")</f>
        <v>#NAME?</v>
      </c>
      <c r="N330" t="e">
        <f ca="1">BDP("79771FGP Muni","GB_ASSURANCE_PROVIDERS")</f>
        <v>#NAME?</v>
      </c>
      <c r="O330" t="e">
        <f ca="1">BDP("79771FGP Muni","GB_PROJECT_SELECTION_PROCESS")</f>
        <v>#NAME?</v>
      </c>
      <c r="P330" t="e">
        <f ca="1">BDP("79771FGP Muni","ESG_FRAMEWORK_INDICATOR")</f>
        <v>#NAME?</v>
      </c>
      <c r="Q330" t="e">
        <f ca="1">BDP("79771FGP Muni","BLOOMBERG_SECTOR_CODE")</f>
        <v>#NAME?</v>
      </c>
      <c r="R330" t="e">
        <f ca="1">BDP("79771FGP Muni","ISSUER_TYPE")</f>
        <v>#NAME?</v>
      </c>
      <c r="S330" t="e">
        <f ca="1">BDS("79771FGP Muni","ESG_PROJECT_CATEGORY", "aggregate=y")</f>
        <v>#NAME?</v>
      </c>
      <c r="T330" t="e">
        <f ca="1">BDS("79771FGP Muni","ESG_PROJECT_SUBCATEGORY", "aggregate=y")</f>
        <v>#NAME?</v>
      </c>
    </row>
    <row r="331" spans="1:20" x14ac:dyDescent="0.25">
      <c r="A331" t="e">
        <f ca="1">BDP("959215GC Muni","ID_CUSIP")</f>
        <v>#NAME?</v>
      </c>
      <c r="B331" t="e">
        <f ca="1">BDP("959215GC Muni","STATE_CODE")</f>
        <v>#NAME?</v>
      </c>
      <c r="C331" t="s">
        <v>26</v>
      </c>
      <c r="D331" t="e">
        <f ca="1">BDP("959215GC Muni","YIELD_ON_ISSUE_DATE")</f>
        <v>#NAME?</v>
      </c>
      <c r="E331">
        <v>295000</v>
      </c>
      <c r="F331" t="e">
        <f ca="1">BDP("959215GC Muni","ISSUE_DT")</f>
        <v>#NAME?</v>
      </c>
      <c r="G331" t="e">
        <f ca="1">BDP("959215GC Muni","MATURITY")</f>
        <v>#NAME?</v>
      </c>
      <c r="H331" t="e">
        <f ca="1">BDP("959215GC Muni","MUNI_TAX_PROV")</f>
        <v>#NAME?</v>
      </c>
      <c r="I331" t="e">
        <f ca="1">BDP("959215GC Muni","FINANCING_TYPE")</f>
        <v>#NAME?</v>
      </c>
      <c r="J331" t="e">
        <f ca="1">BDP("959215GC Muni","BICS_LEVEL_2_INDUSTRY_GROUP_NAME")</f>
        <v>#NAME?</v>
      </c>
      <c r="K331" t="e">
        <f ca="1">BDP("959215GC Muni","SELF_REPRTD_GREEN_INSTR_INDCTR")</f>
        <v>#NAME?</v>
      </c>
      <c r="L331" t="e">
        <f ca="1">BDP("959215GC Muni","GB_MANAGEMENT_PROCEEDS")</f>
        <v>#NAME?</v>
      </c>
      <c r="M331" t="e">
        <f ca="1">BDP("959215GC Muni","GB_REPORTING")</f>
        <v>#NAME?</v>
      </c>
      <c r="N331" t="e">
        <f ca="1">BDP("959215GC Muni","GB_ASSURANCE_PROVIDERS")</f>
        <v>#NAME?</v>
      </c>
      <c r="O331" t="e">
        <f ca="1">BDP("959215GC Muni","GB_PROJECT_SELECTION_PROCESS")</f>
        <v>#NAME?</v>
      </c>
      <c r="P331" t="e">
        <f ca="1">BDP("959215GC Muni","ESG_FRAMEWORK_INDICATOR")</f>
        <v>#NAME?</v>
      </c>
      <c r="Q331" t="e">
        <f ca="1">BDP("959215GC Muni","BLOOMBERG_SECTOR_CODE")</f>
        <v>#NAME?</v>
      </c>
      <c r="R331" t="e">
        <f ca="1">BDP("959215GC Muni","ISSUER_TYPE")</f>
        <v>#NAME?</v>
      </c>
      <c r="S331" t="e">
        <f ca="1">BDS("959215GC Muni","ESG_PROJECT_CATEGORY", "aggregate=y")</f>
        <v>#NAME?</v>
      </c>
      <c r="T331" t="e">
        <f ca="1">BDS("959215GC Muni","ESG_PROJECT_SUBCATEGORY", "aggregate=y")</f>
        <v>#NAME?</v>
      </c>
    </row>
    <row r="332" spans="1:20" x14ac:dyDescent="0.25">
      <c r="A332" t="e">
        <f ca="1">BDP("13013JGJ Muni","ID_CUSIP")</f>
        <v>#NAME?</v>
      </c>
      <c r="B332" t="e">
        <f ca="1">BDP("13013JGJ Muni","STATE_CODE")</f>
        <v>#NAME?</v>
      </c>
      <c r="C332" t="s">
        <v>30</v>
      </c>
      <c r="D332" t="e">
        <f ca="1">BDP("13013JGJ Muni","YIELD_ON_ISSUE_DATE")</f>
        <v>#NAME?</v>
      </c>
      <c r="E332">
        <v>7895000</v>
      </c>
      <c r="F332" t="e">
        <f ca="1">BDP("13013JGJ Muni","ISSUE_DT")</f>
        <v>#NAME?</v>
      </c>
      <c r="G332" t="e">
        <f ca="1">BDP("13013JGJ Muni","MATURITY")</f>
        <v>#NAME?</v>
      </c>
      <c r="H332" t="e">
        <f ca="1">BDP("13013JGJ Muni","MUNI_TAX_PROV")</f>
        <v>#NAME?</v>
      </c>
      <c r="I332" t="e">
        <f ca="1">BDP("13013JGJ Muni","FINANCING_TYPE")</f>
        <v>#NAME?</v>
      </c>
      <c r="J332" t="e">
        <f ca="1">BDP("13013JGJ Muni","BICS_LEVEL_2_INDUSTRY_GROUP_NAME")</f>
        <v>#NAME?</v>
      </c>
      <c r="K332" t="e">
        <f ca="1">BDP("13013JGJ Muni","SELF_REPRTD_GREEN_INSTR_INDCTR")</f>
        <v>#NAME?</v>
      </c>
      <c r="L332" t="e">
        <f ca="1">BDP("13013JGJ Muni","GB_MANAGEMENT_PROCEEDS")</f>
        <v>#NAME?</v>
      </c>
      <c r="M332" t="e">
        <f ca="1">BDP("13013JGJ Muni","GB_REPORTING")</f>
        <v>#NAME?</v>
      </c>
      <c r="N332" t="e">
        <f ca="1">BDP("13013JGJ Muni","GB_ASSURANCE_PROVIDERS")</f>
        <v>#NAME?</v>
      </c>
      <c r="O332" t="e">
        <f ca="1">BDP("13013JGJ Muni","GB_PROJECT_SELECTION_PROCESS")</f>
        <v>#NAME?</v>
      </c>
      <c r="P332" t="e">
        <f ca="1">BDP("13013JGJ Muni","ESG_FRAMEWORK_INDICATOR")</f>
        <v>#NAME?</v>
      </c>
      <c r="Q332" t="e">
        <f ca="1">BDP("13013JGJ Muni","BLOOMBERG_SECTOR_CODE")</f>
        <v>#NAME?</v>
      </c>
      <c r="R332" t="e">
        <f ca="1">BDP("13013JGJ Muni","ISSUER_TYPE")</f>
        <v>#NAME?</v>
      </c>
      <c r="S332" t="e">
        <f ca="1">BDS("13013JGJ Muni","ESG_PROJECT_CATEGORY", "aggregate=y")</f>
        <v>#NAME?</v>
      </c>
      <c r="T332" t="e">
        <f ca="1">BDS("13013JGJ Muni","ESG_PROJECT_SUBCATEGORY", "aggregate=y")</f>
        <v>#NAME?</v>
      </c>
    </row>
    <row r="333" spans="1:20" x14ac:dyDescent="0.25">
      <c r="A333" t="e">
        <f ca="1">BDP("13034A8A Muni","ID_CUSIP")</f>
        <v>#NAME?</v>
      </c>
      <c r="B333" t="e">
        <f ca="1">BDP("13034A8A Muni","STATE_CODE")</f>
        <v>#NAME?</v>
      </c>
      <c r="C333" t="s">
        <v>27</v>
      </c>
      <c r="D333" t="e">
        <f ca="1">BDP("13034A8A Muni","YIELD_ON_ISSUE_DATE")</f>
        <v>#NAME?</v>
      </c>
      <c r="E333">
        <v>28720000</v>
      </c>
      <c r="F333" t="e">
        <f ca="1">BDP("13034A8A Muni","ISSUE_DT")</f>
        <v>#NAME?</v>
      </c>
      <c r="G333" t="e">
        <f ca="1">BDP("13034A8A Muni","MATURITY")</f>
        <v>#NAME?</v>
      </c>
      <c r="H333" t="e">
        <f ca="1">BDP("13034A8A Muni","MUNI_TAX_PROV")</f>
        <v>#NAME?</v>
      </c>
      <c r="I333" t="e">
        <f ca="1">BDP("13034A8A Muni","FINANCING_TYPE")</f>
        <v>#NAME?</v>
      </c>
      <c r="J333" t="e">
        <f ca="1">BDP("13034A8A Muni","BICS_LEVEL_2_INDUSTRY_GROUP_NAME")</f>
        <v>#NAME?</v>
      </c>
      <c r="K333" t="e">
        <f ca="1">BDP("13034A8A Muni","SELF_REPRTD_GREEN_INSTR_INDCTR")</f>
        <v>#NAME?</v>
      </c>
      <c r="L333" t="e">
        <f ca="1">BDP("13034A8A Muni","GB_MANAGEMENT_PROCEEDS")</f>
        <v>#NAME?</v>
      </c>
      <c r="M333" t="e">
        <f ca="1">BDP("13034A8A Muni","GB_REPORTING")</f>
        <v>#NAME?</v>
      </c>
      <c r="N333" t="e">
        <f ca="1">BDP("13034A8A Muni","GB_ASSURANCE_PROVIDERS")</f>
        <v>#NAME?</v>
      </c>
      <c r="O333" t="e">
        <f ca="1">BDP("13034A8A Muni","GB_PROJECT_SELECTION_PROCESS")</f>
        <v>#NAME?</v>
      </c>
      <c r="P333" t="e">
        <f ca="1">BDP("13034A8A Muni","ESG_FRAMEWORK_INDICATOR")</f>
        <v>#NAME?</v>
      </c>
      <c r="Q333" t="e">
        <f ca="1">BDP("13034A8A Muni","BLOOMBERG_SECTOR_CODE")</f>
        <v>#NAME?</v>
      </c>
      <c r="R333" t="e">
        <f ca="1">BDP("13034A8A Muni","ISSUER_TYPE")</f>
        <v>#NAME?</v>
      </c>
      <c r="S333" t="e">
        <f ca="1">BDS("13034A8A Muni","ESG_PROJECT_CATEGORY", "aggregate=y")</f>
        <v>#NAME?</v>
      </c>
      <c r="T333" t="e">
        <f ca="1">BDS("13034A8A Muni","ESG_PROJECT_SUBCATEGORY", "aggregate=y")</f>
        <v>#NAME?</v>
      </c>
    </row>
    <row r="334" spans="1:20" x14ac:dyDescent="0.25">
      <c r="A334" t="e">
        <f ca="1">BDP("25156SJN Muni","ID_CUSIP")</f>
        <v>#NAME?</v>
      </c>
      <c r="B334" t="e">
        <f ca="1">BDP("25156SJN Muni","STATE_CODE")</f>
        <v>#NAME?</v>
      </c>
      <c r="C334" t="s">
        <v>31</v>
      </c>
      <c r="D334" t="e">
        <f ca="1">BDP("25156SJN Muni","YIELD_ON_ISSUE_DATE")</f>
        <v>#NAME?</v>
      </c>
      <c r="E334">
        <v>5000</v>
      </c>
      <c r="F334" t="e">
        <f ca="1">BDP("25156SJN Muni","ISSUE_DT")</f>
        <v>#NAME?</v>
      </c>
      <c r="G334" t="e">
        <f ca="1">BDP("25156SJN Muni","MATURITY")</f>
        <v>#NAME?</v>
      </c>
      <c r="H334" t="e">
        <f ca="1">BDP("25156SJN Muni","MUNI_TAX_PROV")</f>
        <v>#NAME?</v>
      </c>
      <c r="I334" t="e">
        <f ca="1">BDP("25156SJN Muni","FINANCING_TYPE")</f>
        <v>#NAME?</v>
      </c>
      <c r="J334" t="e">
        <f ca="1">BDP("25156SJN Muni","BICS_LEVEL_2_INDUSTRY_GROUP_NAME")</f>
        <v>#NAME?</v>
      </c>
      <c r="K334" t="e">
        <f ca="1">BDP("25156SJN Muni","SELF_REPRTD_GREEN_INSTR_INDCTR")</f>
        <v>#NAME?</v>
      </c>
      <c r="L334" t="e">
        <f ca="1">BDP("25156SJN Muni","GB_MANAGEMENT_PROCEEDS")</f>
        <v>#NAME?</v>
      </c>
      <c r="M334" t="e">
        <f ca="1">BDP("25156SJN Muni","GB_REPORTING")</f>
        <v>#NAME?</v>
      </c>
      <c r="N334" t="e">
        <f ca="1">BDP("25156SJN Muni","GB_ASSURANCE_PROVIDERS")</f>
        <v>#NAME?</v>
      </c>
      <c r="O334" t="e">
        <f ca="1">BDP("25156SJN Muni","GB_PROJECT_SELECTION_PROCESS")</f>
        <v>#NAME?</v>
      </c>
      <c r="P334" t="e">
        <f ca="1">BDP("25156SJN Muni","ESG_FRAMEWORK_INDICATOR")</f>
        <v>#NAME?</v>
      </c>
      <c r="Q334" t="e">
        <f ca="1">BDP("25156SJN Muni","BLOOMBERG_SECTOR_CODE")</f>
        <v>#NAME?</v>
      </c>
      <c r="R334" t="e">
        <f ca="1">BDP("25156SJN Muni","ISSUER_TYPE")</f>
        <v>#NAME?</v>
      </c>
      <c r="S334" t="e">
        <f ca="1">BDS("25156SJN Muni","ESG_PROJECT_CATEGORY", "aggregate=y")</f>
        <v>#NAME?</v>
      </c>
      <c r="T334" t="e">
        <f ca="1">BDS("25156SJN Muni","ESG_PROJECT_SUBCATEGORY", "aggregate=y")</f>
        <v>#NAME?</v>
      </c>
    </row>
    <row r="335" spans="1:20" x14ac:dyDescent="0.25">
      <c r="A335" t="e">
        <f ca="1">BDP("797661E9 Muni","ID_CUSIP")</f>
        <v>#NAME?</v>
      </c>
      <c r="B335" t="e">
        <f ca="1">BDP("797661E9 Muni","STATE_CODE")</f>
        <v>#NAME?</v>
      </c>
      <c r="C335" t="s">
        <v>36</v>
      </c>
      <c r="D335" t="e">
        <f ca="1">BDP("797661E9 Muni","YIELD_ON_ISSUE_DATE")</f>
        <v>#NAME?</v>
      </c>
      <c r="E335">
        <v>38330000</v>
      </c>
      <c r="F335" t="e">
        <f ca="1">BDP("797661E9 Muni","ISSUE_DT")</f>
        <v>#NAME?</v>
      </c>
      <c r="G335" t="e">
        <f ca="1">BDP("797661E9 Muni","MATURITY")</f>
        <v>#NAME?</v>
      </c>
      <c r="H335" t="e">
        <f ca="1">BDP("797661E9 Muni","MUNI_TAX_PROV")</f>
        <v>#NAME?</v>
      </c>
      <c r="I335" t="e">
        <f ca="1">BDP("797661E9 Muni","FINANCING_TYPE")</f>
        <v>#NAME?</v>
      </c>
      <c r="J335" t="e">
        <f ca="1">BDP("797661E9 Muni","BICS_LEVEL_2_INDUSTRY_GROUP_NAME")</f>
        <v>#NAME?</v>
      </c>
      <c r="K335" t="e">
        <f ca="1">BDP("797661E9 Muni","SELF_REPRTD_GREEN_INSTR_INDCTR")</f>
        <v>#NAME?</v>
      </c>
      <c r="L335" t="e">
        <f ca="1">BDP("797661E9 Muni","GB_MANAGEMENT_PROCEEDS")</f>
        <v>#NAME?</v>
      </c>
      <c r="M335" t="e">
        <f ca="1">BDP("797661E9 Muni","GB_REPORTING")</f>
        <v>#NAME?</v>
      </c>
      <c r="N335" t="e">
        <f ca="1">BDP("797661E9 Muni","GB_ASSURANCE_PROVIDERS")</f>
        <v>#NAME?</v>
      </c>
      <c r="O335" t="e">
        <f ca="1">BDP("797661E9 Muni","GB_PROJECT_SELECTION_PROCESS")</f>
        <v>#NAME?</v>
      </c>
      <c r="P335" t="e">
        <f ca="1">BDP("797661E9 Muni","ESG_FRAMEWORK_INDICATOR")</f>
        <v>#NAME?</v>
      </c>
      <c r="Q335" t="e">
        <f ca="1">BDP("797661E9 Muni","BLOOMBERG_SECTOR_CODE")</f>
        <v>#NAME?</v>
      </c>
      <c r="R335" t="e">
        <f ca="1">BDP("797661E9 Muni","ISSUER_TYPE")</f>
        <v>#NAME?</v>
      </c>
      <c r="S335" t="e">
        <f ca="1">BDS("797661E9 Muni","ESG_PROJECT_CATEGORY", "aggregate=y")</f>
        <v>#NAME?</v>
      </c>
      <c r="T335" t="e">
        <f ca="1">BDS("797661E9 Muni","ESG_PROJECT_SUBCATEGORY", "aggregate=y")</f>
        <v>#NAME?</v>
      </c>
    </row>
    <row r="336" spans="1:20" x14ac:dyDescent="0.25">
      <c r="A336" t="e">
        <f ca="1">BDP("797661G5 Muni","ID_CUSIP")</f>
        <v>#NAME?</v>
      </c>
      <c r="B336" t="e">
        <f ca="1">BDP("797661G5 Muni","STATE_CODE")</f>
        <v>#NAME?</v>
      </c>
      <c r="C336" t="s">
        <v>36</v>
      </c>
      <c r="D336" t="e">
        <f ca="1">BDP("797661G5 Muni","YIELD_ON_ISSUE_DATE")</f>
        <v>#NAME?</v>
      </c>
      <c r="E336">
        <v>19525000</v>
      </c>
      <c r="F336" t="e">
        <f ca="1">BDP("797661G5 Muni","ISSUE_DT")</f>
        <v>#NAME?</v>
      </c>
      <c r="G336" t="e">
        <f ca="1">BDP("797661G5 Muni","MATURITY")</f>
        <v>#NAME?</v>
      </c>
      <c r="H336" t="e">
        <f ca="1">BDP("797661G5 Muni","MUNI_TAX_PROV")</f>
        <v>#NAME?</v>
      </c>
      <c r="I336" t="e">
        <f ca="1">BDP("797661G5 Muni","FINANCING_TYPE")</f>
        <v>#NAME?</v>
      </c>
      <c r="J336" t="e">
        <f ca="1">BDP("797661G5 Muni","BICS_LEVEL_2_INDUSTRY_GROUP_NAME")</f>
        <v>#NAME?</v>
      </c>
      <c r="K336" t="e">
        <f ca="1">BDP("797661G5 Muni","SELF_REPRTD_GREEN_INSTR_INDCTR")</f>
        <v>#NAME?</v>
      </c>
      <c r="L336" t="e">
        <f ca="1">BDP("797661G5 Muni","GB_MANAGEMENT_PROCEEDS")</f>
        <v>#NAME?</v>
      </c>
      <c r="M336" t="e">
        <f ca="1">BDP("797661G5 Muni","GB_REPORTING")</f>
        <v>#NAME?</v>
      </c>
      <c r="N336" t="e">
        <f ca="1">BDP("797661G5 Muni","GB_ASSURANCE_PROVIDERS")</f>
        <v>#NAME?</v>
      </c>
      <c r="O336" t="e">
        <f ca="1">BDP("797661G5 Muni","GB_PROJECT_SELECTION_PROCESS")</f>
        <v>#NAME?</v>
      </c>
      <c r="P336" t="e">
        <f ca="1">BDP("797661G5 Muni","ESG_FRAMEWORK_INDICATOR")</f>
        <v>#NAME?</v>
      </c>
      <c r="Q336" t="e">
        <f ca="1">BDP("797661G5 Muni","BLOOMBERG_SECTOR_CODE")</f>
        <v>#NAME?</v>
      </c>
      <c r="R336" t="e">
        <f ca="1">BDP("797661G5 Muni","ISSUER_TYPE")</f>
        <v>#NAME?</v>
      </c>
      <c r="S336" t="e">
        <f ca="1">BDS("797661G5 Muni","ESG_PROJECT_CATEGORY", "aggregate=y")</f>
        <v>#NAME?</v>
      </c>
      <c r="T336" t="e">
        <f ca="1">BDS("797661G5 Muni","ESG_PROJECT_SUBCATEGORY", "aggregate=y")</f>
        <v>#NAME?</v>
      </c>
    </row>
    <row r="337" spans="1:20" x14ac:dyDescent="0.25">
      <c r="A337" t="e">
        <f ca="1">BDP("79771FGE Muni","ID_CUSIP")</f>
        <v>#NAME?</v>
      </c>
      <c r="B337" t="e">
        <f ca="1">BDP("79771FGE Muni","STATE_CODE")</f>
        <v>#NAME?</v>
      </c>
      <c r="C337" t="s">
        <v>37</v>
      </c>
      <c r="D337" t="e">
        <f ca="1">BDP("79771FGE Muni","YIELD_ON_ISSUE_DATE")</f>
        <v>#NAME?</v>
      </c>
      <c r="E337">
        <v>13495000</v>
      </c>
      <c r="F337" t="e">
        <f ca="1">BDP("79771FGE Muni","ISSUE_DT")</f>
        <v>#NAME?</v>
      </c>
      <c r="G337" t="e">
        <f ca="1">BDP("79771FGE Muni","MATURITY")</f>
        <v>#NAME?</v>
      </c>
      <c r="H337" t="e">
        <f ca="1">BDP("79771FGE Muni","MUNI_TAX_PROV")</f>
        <v>#NAME?</v>
      </c>
      <c r="I337" t="e">
        <f ca="1">BDP("79771FGE Muni","FINANCING_TYPE")</f>
        <v>#NAME?</v>
      </c>
      <c r="J337" t="e">
        <f ca="1">BDP("79771FGE Muni","BICS_LEVEL_2_INDUSTRY_GROUP_NAME")</f>
        <v>#NAME?</v>
      </c>
      <c r="K337" t="e">
        <f ca="1">BDP("79771FGE Muni","SELF_REPRTD_GREEN_INSTR_INDCTR")</f>
        <v>#NAME?</v>
      </c>
      <c r="L337" t="e">
        <f ca="1">BDP("79771FGE Muni","GB_MANAGEMENT_PROCEEDS")</f>
        <v>#NAME?</v>
      </c>
      <c r="M337" t="e">
        <f ca="1">BDP("79771FGE Muni","GB_REPORTING")</f>
        <v>#NAME?</v>
      </c>
      <c r="N337" t="e">
        <f ca="1">BDP("79771FGE Muni","GB_ASSURANCE_PROVIDERS")</f>
        <v>#NAME?</v>
      </c>
      <c r="O337" t="e">
        <f ca="1">BDP("79771FGE Muni","GB_PROJECT_SELECTION_PROCESS")</f>
        <v>#NAME?</v>
      </c>
      <c r="P337" t="e">
        <f ca="1">BDP("79771FGE Muni","ESG_FRAMEWORK_INDICATOR")</f>
        <v>#NAME?</v>
      </c>
      <c r="Q337" t="e">
        <f ca="1">BDP("79771FGE Muni","BLOOMBERG_SECTOR_CODE")</f>
        <v>#NAME?</v>
      </c>
      <c r="R337" t="e">
        <f ca="1">BDP("79771FGE Muni","ISSUER_TYPE")</f>
        <v>#NAME?</v>
      </c>
      <c r="S337" t="e">
        <f ca="1">BDS("79771FGE Muni","ESG_PROJECT_CATEGORY", "aggregate=y")</f>
        <v>#NAME?</v>
      </c>
      <c r="T337" t="e">
        <f ca="1">BDS("79771FGE Muni","ESG_PROJECT_SUBCATEGORY", "aggregate=y")</f>
        <v>#NAME?</v>
      </c>
    </row>
    <row r="338" spans="1:20" x14ac:dyDescent="0.25">
      <c r="A338" t="e">
        <f ca="1">BDP("79771FGL Muni","ID_CUSIP")</f>
        <v>#NAME?</v>
      </c>
      <c r="B338" t="e">
        <f ca="1">BDP("79771FGL Muni","STATE_CODE")</f>
        <v>#NAME?</v>
      </c>
      <c r="C338" t="s">
        <v>37</v>
      </c>
      <c r="D338" t="e">
        <f ca="1">BDP("79771FGL Muni","YIELD_ON_ISSUE_DATE")</f>
        <v>#NAME?</v>
      </c>
      <c r="E338">
        <v>3275000</v>
      </c>
      <c r="F338" t="e">
        <f ca="1">BDP("79771FGL Muni","ISSUE_DT")</f>
        <v>#NAME?</v>
      </c>
      <c r="G338" t="e">
        <f ca="1">BDP("79771FGL Muni","MATURITY")</f>
        <v>#NAME?</v>
      </c>
      <c r="H338" t="e">
        <f ca="1">BDP("79771FGL Muni","MUNI_TAX_PROV")</f>
        <v>#NAME?</v>
      </c>
      <c r="I338" t="e">
        <f ca="1">BDP("79771FGL Muni","FINANCING_TYPE")</f>
        <v>#NAME?</v>
      </c>
      <c r="J338" t="e">
        <f ca="1">BDP("79771FGL Muni","BICS_LEVEL_2_INDUSTRY_GROUP_NAME")</f>
        <v>#NAME?</v>
      </c>
      <c r="K338" t="e">
        <f ca="1">BDP("79771FGL Muni","SELF_REPRTD_GREEN_INSTR_INDCTR")</f>
        <v>#NAME?</v>
      </c>
      <c r="L338" t="e">
        <f ca="1">BDP("79771FGL Muni","GB_MANAGEMENT_PROCEEDS")</f>
        <v>#NAME?</v>
      </c>
      <c r="M338" t="e">
        <f ca="1">BDP("79771FGL Muni","GB_REPORTING")</f>
        <v>#NAME?</v>
      </c>
      <c r="N338" t="e">
        <f ca="1">BDP("79771FGL Muni","GB_ASSURANCE_PROVIDERS")</f>
        <v>#NAME?</v>
      </c>
      <c r="O338" t="e">
        <f ca="1">BDP("79771FGL Muni","GB_PROJECT_SELECTION_PROCESS")</f>
        <v>#NAME?</v>
      </c>
      <c r="P338" t="e">
        <f ca="1">BDP("79771FGL Muni","ESG_FRAMEWORK_INDICATOR")</f>
        <v>#NAME?</v>
      </c>
      <c r="Q338" t="e">
        <f ca="1">BDP("79771FGL Muni","BLOOMBERG_SECTOR_CODE")</f>
        <v>#NAME?</v>
      </c>
      <c r="R338" t="e">
        <f ca="1">BDP("79771FGL Muni","ISSUER_TYPE")</f>
        <v>#NAME?</v>
      </c>
      <c r="S338" t="e">
        <f ca="1">BDS("79771FGL Muni","ESG_PROJECT_CATEGORY", "aggregate=y")</f>
        <v>#NAME?</v>
      </c>
      <c r="T338" t="e">
        <f ca="1">BDS("79771FGL Muni","ESG_PROJECT_SUBCATEGORY", "aggregate=y")</f>
        <v>#NAME?</v>
      </c>
    </row>
    <row r="339" spans="1:20" x14ac:dyDescent="0.25">
      <c r="A339" t="e">
        <f ca="1">BDP("88035PBN Muni","ID_CUSIP")</f>
        <v>#NAME?</v>
      </c>
      <c r="B339" t="e">
        <f ca="1">BDP("88035PBN Muni","STATE_CODE")</f>
        <v>#NAME?</v>
      </c>
      <c r="C339" t="s">
        <v>25</v>
      </c>
      <c r="D339" t="e">
        <f ca="1">BDP("88035PBN Muni","YIELD_ON_ISSUE_DATE")</f>
        <v>#NAME?</v>
      </c>
      <c r="E339">
        <v>1000000</v>
      </c>
      <c r="F339" t="e">
        <f ca="1">BDP("88035PBN Muni","ISSUE_DT")</f>
        <v>#NAME?</v>
      </c>
      <c r="G339" t="e">
        <f ca="1">BDP("88035PBN Muni","MATURITY")</f>
        <v>#NAME?</v>
      </c>
      <c r="H339" t="e">
        <f ca="1">BDP("88035PBN Muni","MUNI_TAX_PROV")</f>
        <v>#NAME?</v>
      </c>
      <c r="I339" t="e">
        <f ca="1">BDP("88035PBN Muni","FINANCING_TYPE")</f>
        <v>#NAME?</v>
      </c>
      <c r="J339" t="e">
        <f ca="1">BDP("88035PBN Muni","BICS_LEVEL_2_INDUSTRY_GROUP_NAME")</f>
        <v>#NAME?</v>
      </c>
      <c r="K339" t="e">
        <f ca="1">BDP("88035PBN Muni","SELF_REPRTD_GREEN_INSTR_INDCTR")</f>
        <v>#NAME?</v>
      </c>
      <c r="L339" t="e">
        <f ca="1">BDP("88035PBN Muni","GB_MANAGEMENT_PROCEEDS")</f>
        <v>#NAME?</v>
      </c>
      <c r="M339" t="e">
        <f ca="1">BDP("88035PBN Muni","GB_REPORTING")</f>
        <v>#NAME?</v>
      </c>
      <c r="N339" t="e">
        <f ca="1">BDP("88035PBN Muni","GB_ASSURANCE_PROVIDERS")</f>
        <v>#NAME?</v>
      </c>
      <c r="O339" t="e">
        <f ca="1">BDP("88035PBN Muni","GB_PROJECT_SELECTION_PROCESS")</f>
        <v>#NAME?</v>
      </c>
      <c r="P339" t="e">
        <f ca="1">BDP("88035PBN Muni","ESG_FRAMEWORK_INDICATOR")</f>
        <v>#NAME?</v>
      </c>
      <c r="Q339" t="e">
        <f ca="1">BDP("88035PBN Muni","BLOOMBERG_SECTOR_CODE")</f>
        <v>#NAME?</v>
      </c>
      <c r="R339" t="e">
        <f ca="1">BDP("88035PBN Muni","ISSUER_TYPE")</f>
        <v>#NAME?</v>
      </c>
      <c r="S339" t="e">
        <f ca="1">BDS("88035PBN Muni","ESG_PROJECT_CATEGORY", "aggregate=y")</f>
        <v>#NAME?</v>
      </c>
      <c r="T339" t="e">
        <f ca="1">BDS("88035PBN Muni","ESG_PROJECT_SUBCATEGORY", "aggregate=y")</f>
        <v>#NAME?</v>
      </c>
    </row>
    <row r="340" spans="1:20" x14ac:dyDescent="0.25">
      <c r="A340" t="e">
        <f ca="1">BDP("88035PGV Muni","ID_CUSIP")</f>
        <v>#NAME?</v>
      </c>
      <c r="B340" t="e">
        <f ca="1">BDP("88035PGV Muni","STATE_CODE")</f>
        <v>#NAME?</v>
      </c>
      <c r="C340" t="s">
        <v>25</v>
      </c>
      <c r="D340" t="e">
        <f ca="1">BDP("88035PGV Muni","YIELD_ON_ISSUE_DATE")</f>
        <v>#NAME?</v>
      </c>
      <c r="E340">
        <v>27310000</v>
      </c>
      <c r="F340" t="e">
        <f ca="1">BDP("88035PGV Muni","ISSUE_DT")</f>
        <v>#NAME?</v>
      </c>
      <c r="G340" t="e">
        <f ca="1">BDP("88035PGV Muni","MATURITY")</f>
        <v>#NAME?</v>
      </c>
      <c r="H340" t="e">
        <f ca="1">BDP("88035PGV Muni","MUNI_TAX_PROV")</f>
        <v>#NAME?</v>
      </c>
      <c r="I340" t="e">
        <f ca="1">BDP("88035PGV Muni","FINANCING_TYPE")</f>
        <v>#NAME?</v>
      </c>
      <c r="J340" t="e">
        <f ca="1">BDP("88035PGV Muni","BICS_LEVEL_2_INDUSTRY_GROUP_NAME")</f>
        <v>#NAME?</v>
      </c>
      <c r="K340" t="e">
        <f ca="1">BDP("88035PGV Muni","SELF_REPRTD_GREEN_INSTR_INDCTR")</f>
        <v>#NAME?</v>
      </c>
      <c r="L340" t="e">
        <f ca="1">BDP("88035PGV Muni","GB_MANAGEMENT_PROCEEDS")</f>
        <v>#NAME?</v>
      </c>
      <c r="M340" t="e">
        <f ca="1">BDP("88035PGV Muni","GB_REPORTING")</f>
        <v>#NAME?</v>
      </c>
      <c r="N340" t="e">
        <f ca="1">BDP("88035PGV Muni","GB_ASSURANCE_PROVIDERS")</f>
        <v>#NAME?</v>
      </c>
      <c r="O340" t="e">
        <f ca="1">BDP("88035PGV Muni","GB_PROJECT_SELECTION_PROCESS")</f>
        <v>#NAME?</v>
      </c>
      <c r="P340" t="e">
        <f ca="1">BDP("88035PGV Muni","ESG_FRAMEWORK_INDICATOR")</f>
        <v>#NAME?</v>
      </c>
      <c r="Q340" t="e">
        <f ca="1">BDP("88035PGV Muni","BLOOMBERG_SECTOR_CODE")</f>
        <v>#NAME?</v>
      </c>
      <c r="R340" t="e">
        <f ca="1">BDP("88035PGV Muni","ISSUER_TYPE")</f>
        <v>#NAME?</v>
      </c>
      <c r="S340" t="e">
        <f ca="1">BDS("88035PGV Muni","ESG_PROJECT_CATEGORY", "aggregate=y")</f>
        <v>#NAME?</v>
      </c>
      <c r="T340" t="e">
        <f ca="1">BDS("88035PGV Muni","ESG_PROJECT_SUBCATEGORY", "aggregate=y")</f>
        <v>#NAME?</v>
      </c>
    </row>
    <row r="341" spans="1:20" x14ac:dyDescent="0.25">
      <c r="A341" t="e">
        <f ca="1">BDP("88035PXZ Muni","ID_CUSIP")</f>
        <v>#NAME?</v>
      </c>
      <c r="B341" t="e">
        <f ca="1">BDP("88035PXZ Muni","STATE_CODE")</f>
        <v>#NAME?</v>
      </c>
      <c r="C341" t="s">
        <v>25</v>
      </c>
      <c r="D341" t="e">
        <f ca="1">BDP("88035PXZ Muni","YIELD_ON_ISSUE_DATE")</f>
        <v>#NAME?</v>
      </c>
      <c r="E341">
        <v>3000000</v>
      </c>
      <c r="F341" t="e">
        <f ca="1">BDP("88035PXZ Muni","ISSUE_DT")</f>
        <v>#NAME?</v>
      </c>
      <c r="G341" t="e">
        <f ca="1">BDP("88035PXZ Muni","MATURITY")</f>
        <v>#NAME?</v>
      </c>
      <c r="H341" t="e">
        <f ca="1">BDP("88035PXZ Muni","MUNI_TAX_PROV")</f>
        <v>#NAME?</v>
      </c>
      <c r="I341" t="e">
        <f ca="1">BDP("88035PXZ Muni","FINANCING_TYPE")</f>
        <v>#NAME?</v>
      </c>
      <c r="J341" t="e">
        <f ca="1">BDP("88035PXZ Muni","BICS_LEVEL_2_INDUSTRY_GROUP_NAME")</f>
        <v>#NAME?</v>
      </c>
      <c r="K341" t="e">
        <f ca="1">BDP("88035PXZ Muni","SELF_REPRTD_GREEN_INSTR_INDCTR")</f>
        <v>#NAME?</v>
      </c>
      <c r="L341" t="e">
        <f ca="1">BDP("88035PXZ Muni","GB_MANAGEMENT_PROCEEDS")</f>
        <v>#NAME?</v>
      </c>
      <c r="M341" t="e">
        <f ca="1">BDP("88035PXZ Muni","GB_REPORTING")</f>
        <v>#NAME?</v>
      </c>
      <c r="N341" t="e">
        <f ca="1">BDP("88035PXZ Muni","GB_ASSURANCE_PROVIDERS")</f>
        <v>#NAME?</v>
      </c>
      <c r="O341" t="e">
        <f ca="1">BDP("88035PXZ Muni","GB_PROJECT_SELECTION_PROCESS")</f>
        <v>#NAME?</v>
      </c>
      <c r="P341" t="e">
        <f ca="1">BDP("88035PXZ Muni","ESG_FRAMEWORK_INDICATOR")</f>
        <v>#NAME?</v>
      </c>
      <c r="Q341" t="e">
        <f ca="1">BDP("88035PXZ Muni","BLOOMBERG_SECTOR_CODE")</f>
        <v>#NAME?</v>
      </c>
      <c r="R341" t="e">
        <f ca="1">BDP("88035PXZ Muni","ISSUER_TYPE")</f>
        <v>#NAME?</v>
      </c>
      <c r="S341" t="e">
        <f ca="1">BDS("88035PXZ Muni","ESG_PROJECT_CATEGORY", "aggregate=y")</f>
        <v>#NAME?</v>
      </c>
      <c r="T341" t="e">
        <f ca="1">BDS("88035PXZ Muni","ESG_PROJECT_SUBCATEGORY", "aggregate=y")</f>
        <v>#NAME?</v>
      </c>
    </row>
    <row r="342" spans="1:20" x14ac:dyDescent="0.25">
      <c r="A342" t="e">
        <f ca="1">BDP("13013JGM Muni","ID_CUSIP")</f>
        <v>#NAME?</v>
      </c>
      <c r="B342" t="e">
        <f ca="1">BDP("13013JGM Muni","STATE_CODE")</f>
        <v>#NAME?</v>
      </c>
      <c r="C342" t="s">
        <v>30</v>
      </c>
      <c r="D342" t="e">
        <f ca="1">BDP("13013JGM Muni","YIELD_ON_ISSUE_DATE")</f>
        <v>#NAME?</v>
      </c>
      <c r="E342">
        <v>8645000</v>
      </c>
      <c r="F342" t="e">
        <f ca="1">BDP("13013JGM Muni","ISSUE_DT")</f>
        <v>#NAME?</v>
      </c>
      <c r="G342" t="e">
        <f ca="1">BDP("13013JGM Muni","MATURITY")</f>
        <v>#NAME?</v>
      </c>
      <c r="H342" t="e">
        <f ca="1">BDP("13013JGM Muni","MUNI_TAX_PROV")</f>
        <v>#NAME?</v>
      </c>
      <c r="I342" t="e">
        <f ca="1">BDP("13013JGM Muni","FINANCING_TYPE")</f>
        <v>#NAME?</v>
      </c>
      <c r="J342" t="e">
        <f ca="1">BDP("13013JGM Muni","BICS_LEVEL_2_INDUSTRY_GROUP_NAME")</f>
        <v>#NAME?</v>
      </c>
      <c r="K342" t="e">
        <f ca="1">BDP("13013JGM Muni","SELF_REPRTD_GREEN_INSTR_INDCTR")</f>
        <v>#NAME?</v>
      </c>
      <c r="L342" t="e">
        <f ca="1">BDP("13013JGM Muni","GB_MANAGEMENT_PROCEEDS")</f>
        <v>#NAME?</v>
      </c>
      <c r="M342" t="e">
        <f ca="1">BDP("13013JGM Muni","GB_REPORTING")</f>
        <v>#NAME?</v>
      </c>
      <c r="N342" t="e">
        <f ca="1">BDP("13013JGM Muni","GB_ASSURANCE_PROVIDERS")</f>
        <v>#NAME?</v>
      </c>
      <c r="O342" t="e">
        <f ca="1">BDP("13013JGM Muni","GB_PROJECT_SELECTION_PROCESS")</f>
        <v>#NAME?</v>
      </c>
      <c r="P342" t="e">
        <f ca="1">BDP("13013JGM Muni","ESG_FRAMEWORK_INDICATOR")</f>
        <v>#NAME?</v>
      </c>
      <c r="Q342" t="e">
        <f ca="1">BDP("13013JGM Muni","BLOOMBERG_SECTOR_CODE")</f>
        <v>#NAME?</v>
      </c>
      <c r="R342" t="e">
        <f ca="1">BDP("13013JGM Muni","ISSUER_TYPE")</f>
        <v>#NAME?</v>
      </c>
      <c r="S342" t="e">
        <f ca="1">BDS("13013JGM Muni","ESG_PROJECT_CATEGORY", "aggregate=y")</f>
        <v>#NAME?</v>
      </c>
      <c r="T342" t="e">
        <f ca="1">BDS("13013JGM Muni","ESG_PROJECT_SUBCATEGORY", "aggregate=y")</f>
        <v>#NAME?</v>
      </c>
    </row>
    <row r="343" spans="1:20" x14ac:dyDescent="0.25">
      <c r="A343" t="e">
        <f ca="1">BDP("271014T2 Muni","ID_CUSIP")</f>
        <v>#NAME?</v>
      </c>
      <c r="B343" t="e">
        <f ca="1">BDP("271014T2 Muni","STATE_CODE")</f>
        <v>#NAME?</v>
      </c>
      <c r="C343" t="s">
        <v>33</v>
      </c>
      <c r="D343" t="e">
        <f ca="1">BDP("271014T2 Muni","YIELD_ON_ISSUE_DATE")</f>
        <v>#NAME?</v>
      </c>
      <c r="E343">
        <v>13995000</v>
      </c>
      <c r="F343" t="e">
        <f ca="1">BDP("271014T2 Muni","ISSUE_DT")</f>
        <v>#NAME?</v>
      </c>
      <c r="G343" t="e">
        <f ca="1">BDP("271014T2 Muni","MATURITY")</f>
        <v>#NAME?</v>
      </c>
      <c r="H343" t="e">
        <f ca="1">BDP("271014T2 Muni","MUNI_TAX_PROV")</f>
        <v>#NAME?</v>
      </c>
      <c r="I343" t="e">
        <f ca="1">BDP("271014T2 Muni","FINANCING_TYPE")</f>
        <v>#NAME?</v>
      </c>
      <c r="J343" t="e">
        <f ca="1">BDP("271014T2 Muni","BICS_LEVEL_2_INDUSTRY_GROUP_NAME")</f>
        <v>#NAME?</v>
      </c>
      <c r="K343" t="e">
        <f ca="1">BDP("271014T2 Muni","SELF_REPRTD_GREEN_INSTR_INDCTR")</f>
        <v>#NAME?</v>
      </c>
      <c r="L343" t="e">
        <f ca="1">BDP("271014T2 Muni","GB_MANAGEMENT_PROCEEDS")</f>
        <v>#NAME?</v>
      </c>
      <c r="M343" t="e">
        <f ca="1">BDP("271014T2 Muni","GB_REPORTING")</f>
        <v>#NAME?</v>
      </c>
      <c r="N343" t="e">
        <f ca="1">BDP("271014T2 Muni","GB_ASSURANCE_PROVIDERS")</f>
        <v>#NAME?</v>
      </c>
      <c r="O343" t="e">
        <f ca="1">BDP("271014T2 Muni","GB_PROJECT_SELECTION_PROCESS")</f>
        <v>#NAME?</v>
      </c>
      <c r="P343" t="e">
        <f ca="1">BDP("271014T2 Muni","ESG_FRAMEWORK_INDICATOR")</f>
        <v>#NAME?</v>
      </c>
      <c r="Q343" t="e">
        <f ca="1">BDP("271014T2 Muni","BLOOMBERG_SECTOR_CODE")</f>
        <v>#NAME?</v>
      </c>
      <c r="R343" t="e">
        <f ca="1">BDP("271014T2 Muni","ISSUER_TYPE")</f>
        <v>#NAME?</v>
      </c>
      <c r="S343" t="e">
        <f ca="1">BDS("271014T2 Muni","ESG_PROJECT_CATEGORY", "aggregate=y")</f>
        <v>#NAME?</v>
      </c>
      <c r="T343" t="e">
        <f ca="1">BDS("271014T2 Muni","ESG_PROJECT_SUBCATEGORY", "aggregate=y")</f>
        <v>#NAME?</v>
      </c>
    </row>
    <row r="344" spans="1:20" x14ac:dyDescent="0.25">
      <c r="A344" t="e">
        <f ca="1">BDP("5444456F Muni","ID_CUSIP")</f>
        <v>#NAME?</v>
      </c>
      <c r="B344" t="e">
        <f ca="1">BDP("5444456F Muni","STATE_CODE")</f>
        <v>#NAME?</v>
      </c>
      <c r="C344" t="s">
        <v>34</v>
      </c>
      <c r="D344" t="e">
        <f ca="1">BDP("5444456F Muni","YIELD_ON_ISSUE_DATE")</f>
        <v>#NAME?</v>
      </c>
      <c r="E344">
        <v>46605000</v>
      </c>
      <c r="F344" t="e">
        <f ca="1">BDP("5444456F Muni","ISSUE_DT")</f>
        <v>#NAME?</v>
      </c>
      <c r="G344" t="e">
        <f ca="1">BDP("5444456F Muni","MATURITY")</f>
        <v>#NAME?</v>
      </c>
      <c r="H344" t="e">
        <f ca="1">BDP("5444456F Muni","MUNI_TAX_PROV")</f>
        <v>#NAME?</v>
      </c>
      <c r="I344" t="e">
        <f ca="1">BDP("5444456F Muni","FINANCING_TYPE")</f>
        <v>#NAME?</v>
      </c>
      <c r="J344" t="e">
        <f ca="1">BDP("5444456F Muni","BICS_LEVEL_2_INDUSTRY_GROUP_NAME")</f>
        <v>#NAME?</v>
      </c>
      <c r="K344" t="e">
        <f ca="1">BDP("5444456F Muni","SELF_REPRTD_GREEN_INSTR_INDCTR")</f>
        <v>#NAME?</v>
      </c>
      <c r="L344" t="e">
        <f ca="1">BDP("5444456F Muni","GB_MANAGEMENT_PROCEEDS")</f>
        <v>#NAME?</v>
      </c>
      <c r="M344" t="e">
        <f ca="1">BDP("5444456F Muni","GB_REPORTING")</f>
        <v>#NAME?</v>
      </c>
      <c r="N344" t="e">
        <f ca="1">BDP("5444456F Muni","GB_ASSURANCE_PROVIDERS")</f>
        <v>#NAME?</v>
      </c>
      <c r="O344" t="e">
        <f ca="1">BDP("5444456F Muni","GB_PROJECT_SELECTION_PROCESS")</f>
        <v>#NAME?</v>
      </c>
      <c r="P344" t="e">
        <f ca="1">BDP("5444456F Muni","ESG_FRAMEWORK_INDICATOR")</f>
        <v>#NAME?</v>
      </c>
      <c r="Q344" t="e">
        <f ca="1">BDP("5444456F Muni","BLOOMBERG_SECTOR_CODE")</f>
        <v>#NAME?</v>
      </c>
      <c r="R344" t="e">
        <f ca="1">BDP("5444456F Muni","ISSUER_TYPE")</f>
        <v>#NAME?</v>
      </c>
      <c r="S344" t="e">
        <f ca="1">BDS("5444456F Muni","ESG_PROJECT_CATEGORY", "aggregate=y")</f>
        <v>#NAME?</v>
      </c>
      <c r="T344" t="e">
        <f ca="1">BDS("5444456F Muni","ESG_PROJECT_SUBCATEGORY", "aggregate=y")</f>
        <v>#NAME?</v>
      </c>
    </row>
    <row r="345" spans="1:20" x14ac:dyDescent="0.25">
      <c r="A345" t="e">
        <f ca="1">BDP("797661D7 Muni","ID_CUSIP")</f>
        <v>#NAME?</v>
      </c>
      <c r="B345" t="e">
        <f ca="1">BDP("797661D7 Muni","STATE_CODE")</f>
        <v>#NAME?</v>
      </c>
      <c r="C345" t="s">
        <v>36</v>
      </c>
      <c r="D345" t="e">
        <f ca="1">BDP("797661D7 Muni","YIELD_ON_ISSUE_DATE")</f>
        <v>#NAME?</v>
      </c>
      <c r="E345">
        <v>23530000</v>
      </c>
      <c r="F345" t="e">
        <f ca="1">BDP("797661D7 Muni","ISSUE_DT")</f>
        <v>#NAME?</v>
      </c>
      <c r="G345" t="e">
        <f ca="1">BDP("797661D7 Muni","MATURITY")</f>
        <v>#NAME?</v>
      </c>
      <c r="H345" t="e">
        <f ca="1">BDP("797661D7 Muni","MUNI_TAX_PROV")</f>
        <v>#NAME?</v>
      </c>
      <c r="I345" t="e">
        <f ca="1">BDP("797661D7 Muni","FINANCING_TYPE")</f>
        <v>#NAME?</v>
      </c>
      <c r="J345" t="e">
        <f ca="1">BDP("797661D7 Muni","BICS_LEVEL_2_INDUSTRY_GROUP_NAME")</f>
        <v>#NAME?</v>
      </c>
      <c r="K345" t="e">
        <f ca="1">BDP("797661D7 Muni","SELF_REPRTD_GREEN_INSTR_INDCTR")</f>
        <v>#NAME?</v>
      </c>
      <c r="L345" t="e">
        <f ca="1">BDP("797661D7 Muni","GB_MANAGEMENT_PROCEEDS")</f>
        <v>#NAME?</v>
      </c>
      <c r="M345" t="e">
        <f ca="1">BDP("797661D7 Muni","GB_REPORTING")</f>
        <v>#NAME?</v>
      </c>
      <c r="N345" t="e">
        <f ca="1">BDP("797661D7 Muni","GB_ASSURANCE_PROVIDERS")</f>
        <v>#NAME?</v>
      </c>
      <c r="O345" t="e">
        <f ca="1">BDP("797661D7 Muni","GB_PROJECT_SELECTION_PROCESS")</f>
        <v>#NAME?</v>
      </c>
      <c r="P345" t="e">
        <f ca="1">BDP("797661D7 Muni","ESG_FRAMEWORK_INDICATOR")</f>
        <v>#NAME?</v>
      </c>
      <c r="Q345" t="e">
        <f ca="1">BDP("797661D7 Muni","BLOOMBERG_SECTOR_CODE")</f>
        <v>#NAME?</v>
      </c>
      <c r="R345" t="e">
        <f ca="1">BDP("797661D7 Muni","ISSUER_TYPE")</f>
        <v>#NAME?</v>
      </c>
      <c r="S345" t="e">
        <f ca="1">BDS("797661D7 Muni","ESG_PROJECT_CATEGORY", "aggregate=y")</f>
        <v>#NAME?</v>
      </c>
      <c r="T345" t="e">
        <f ca="1">BDS("797661D7 Muni","ESG_PROJECT_SUBCATEGORY", "aggregate=y")</f>
        <v>#NAME?</v>
      </c>
    </row>
    <row r="346" spans="1:20" x14ac:dyDescent="0.25">
      <c r="A346" t="e">
        <f ca="1">BDP("797661E8 Muni","ID_CUSIP")</f>
        <v>#NAME?</v>
      </c>
      <c r="B346" t="e">
        <f ca="1">BDP("797661E8 Muni","STATE_CODE")</f>
        <v>#NAME?</v>
      </c>
      <c r="C346" t="s">
        <v>36</v>
      </c>
      <c r="D346" t="e">
        <f ca="1">BDP("797661E8 Muni","YIELD_ON_ISSUE_DATE")</f>
        <v>#NAME?</v>
      </c>
      <c r="E346">
        <v>36500000</v>
      </c>
      <c r="F346" t="e">
        <f ca="1">BDP("797661E8 Muni","ISSUE_DT")</f>
        <v>#NAME?</v>
      </c>
      <c r="G346" t="e">
        <f ca="1">BDP("797661E8 Muni","MATURITY")</f>
        <v>#NAME?</v>
      </c>
      <c r="H346" t="e">
        <f ca="1">BDP("797661E8 Muni","MUNI_TAX_PROV")</f>
        <v>#NAME?</v>
      </c>
      <c r="I346" t="e">
        <f ca="1">BDP("797661E8 Muni","FINANCING_TYPE")</f>
        <v>#NAME?</v>
      </c>
      <c r="J346" t="e">
        <f ca="1">BDP("797661E8 Muni","BICS_LEVEL_2_INDUSTRY_GROUP_NAME")</f>
        <v>#NAME?</v>
      </c>
      <c r="K346" t="e">
        <f ca="1">BDP("797661E8 Muni","SELF_REPRTD_GREEN_INSTR_INDCTR")</f>
        <v>#NAME?</v>
      </c>
      <c r="L346" t="e">
        <f ca="1">BDP("797661E8 Muni","GB_MANAGEMENT_PROCEEDS")</f>
        <v>#NAME?</v>
      </c>
      <c r="M346" t="e">
        <f ca="1">BDP("797661E8 Muni","GB_REPORTING")</f>
        <v>#NAME?</v>
      </c>
      <c r="N346" t="e">
        <f ca="1">BDP("797661E8 Muni","GB_ASSURANCE_PROVIDERS")</f>
        <v>#NAME?</v>
      </c>
      <c r="O346" t="e">
        <f ca="1">BDP("797661E8 Muni","GB_PROJECT_SELECTION_PROCESS")</f>
        <v>#NAME?</v>
      </c>
      <c r="P346" t="e">
        <f ca="1">BDP("797661E8 Muni","ESG_FRAMEWORK_INDICATOR")</f>
        <v>#NAME?</v>
      </c>
      <c r="Q346" t="e">
        <f ca="1">BDP("797661E8 Muni","BLOOMBERG_SECTOR_CODE")</f>
        <v>#NAME?</v>
      </c>
      <c r="R346" t="e">
        <f ca="1">BDP("797661E8 Muni","ISSUER_TYPE")</f>
        <v>#NAME?</v>
      </c>
      <c r="S346" t="e">
        <f ca="1">BDS("797661E8 Muni","ESG_PROJECT_CATEGORY", "aggregate=y")</f>
        <v>#NAME?</v>
      </c>
      <c r="T346" t="e">
        <f ca="1">BDS("797661E8 Muni","ESG_PROJECT_SUBCATEGORY", "aggregate=y")</f>
        <v>#NAME?</v>
      </c>
    </row>
    <row r="347" spans="1:20" x14ac:dyDescent="0.25">
      <c r="A347" t="e">
        <f ca="1">BDP("861431DG Muni","ID_CUSIP")</f>
        <v>#NAME?</v>
      </c>
      <c r="B347" t="e">
        <f ca="1">BDP("861431DG Muni","STATE_CODE")</f>
        <v>#NAME?</v>
      </c>
      <c r="C347" t="s">
        <v>24</v>
      </c>
      <c r="D347" t="e">
        <f ca="1">BDP("861431DG Muni","YIELD_ON_ISSUE_DATE")</f>
        <v>#NAME?</v>
      </c>
      <c r="E347">
        <v>1000000</v>
      </c>
      <c r="F347" t="e">
        <f ca="1">BDP("861431DG Muni","ISSUE_DT")</f>
        <v>#NAME?</v>
      </c>
      <c r="G347" t="e">
        <f ca="1">BDP("861431DG Muni","MATURITY")</f>
        <v>#NAME?</v>
      </c>
      <c r="H347" t="e">
        <f ca="1">BDP("861431DG Muni","MUNI_TAX_PROV")</f>
        <v>#NAME?</v>
      </c>
      <c r="I347" t="e">
        <f ca="1">BDP("861431DG Muni","FINANCING_TYPE")</f>
        <v>#NAME?</v>
      </c>
      <c r="J347" t="e">
        <f ca="1">BDP("861431DG Muni","BICS_LEVEL_2_INDUSTRY_GROUP_NAME")</f>
        <v>#NAME?</v>
      </c>
      <c r="K347" t="e">
        <f ca="1">BDP("861431DG Muni","SELF_REPRTD_GREEN_INSTR_INDCTR")</f>
        <v>#NAME?</v>
      </c>
      <c r="L347" t="e">
        <f ca="1">BDP("861431DG Muni","GB_MANAGEMENT_PROCEEDS")</f>
        <v>#NAME?</v>
      </c>
      <c r="M347" t="e">
        <f ca="1">BDP("861431DG Muni","GB_REPORTING")</f>
        <v>#NAME?</v>
      </c>
      <c r="N347" t="e">
        <f ca="1">BDP("861431DG Muni","GB_ASSURANCE_PROVIDERS")</f>
        <v>#NAME?</v>
      </c>
      <c r="O347" t="e">
        <f ca="1">BDP("861431DG Muni","GB_PROJECT_SELECTION_PROCESS")</f>
        <v>#NAME?</v>
      </c>
      <c r="P347" t="e">
        <f ca="1">BDP("861431DG Muni","ESG_FRAMEWORK_INDICATOR")</f>
        <v>#NAME?</v>
      </c>
      <c r="Q347" t="e">
        <f ca="1">BDP("861431DG Muni","BLOOMBERG_SECTOR_CODE")</f>
        <v>#NAME?</v>
      </c>
      <c r="R347" t="e">
        <f ca="1">BDP("861431DG Muni","ISSUER_TYPE")</f>
        <v>#NAME?</v>
      </c>
      <c r="S347" t="e">
        <f ca="1">BDS("861431DG Muni","ESG_PROJECT_CATEGORY", "aggregate=y")</f>
        <v>#NAME?</v>
      </c>
      <c r="T347" t="e">
        <f ca="1">BDS("861431DG Muni","ESG_PROJECT_SUBCATEGORY", "aggregate=y")</f>
        <v>#NAME?</v>
      </c>
    </row>
    <row r="348" spans="1:20" x14ac:dyDescent="0.25">
      <c r="A348" t="e">
        <f ca="1">BDP("959215GS Muni","ID_CUSIP")</f>
        <v>#NAME?</v>
      </c>
      <c r="B348" t="e">
        <f ca="1">BDP("959215GS Muni","STATE_CODE")</f>
        <v>#NAME?</v>
      </c>
      <c r="C348" t="s">
        <v>26</v>
      </c>
      <c r="D348" t="e">
        <f ca="1">BDP("959215GS Muni","YIELD_ON_ISSUE_DATE")</f>
        <v>#NAME?</v>
      </c>
      <c r="E348">
        <v>280000</v>
      </c>
      <c r="F348" t="e">
        <f ca="1">BDP("959215GS Muni","ISSUE_DT")</f>
        <v>#NAME?</v>
      </c>
      <c r="G348" t="e">
        <f ca="1">BDP("959215GS Muni","MATURITY")</f>
        <v>#NAME?</v>
      </c>
      <c r="H348" t="e">
        <f ca="1">BDP("959215GS Muni","MUNI_TAX_PROV")</f>
        <v>#NAME?</v>
      </c>
      <c r="I348" t="e">
        <f ca="1">BDP("959215GS Muni","FINANCING_TYPE")</f>
        <v>#NAME?</v>
      </c>
      <c r="J348" t="e">
        <f ca="1">BDP("959215GS Muni","BICS_LEVEL_2_INDUSTRY_GROUP_NAME")</f>
        <v>#NAME?</v>
      </c>
      <c r="K348" t="e">
        <f ca="1">BDP("959215GS Muni","SELF_REPRTD_GREEN_INSTR_INDCTR")</f>
        <v>#NAME?</v>
      </c>
      <c r="L348" t="e">
        <f ca="1">BDP("959215GS Muni","GB_MANAGEMENT_PROCEEDS")</f>
        <v>#NAME?</v>
      </c>
      <c r="M348" t="e">
        <f ca="1">BDP("959215GS Muni","GB_REPORTING")</f>
        <v>#NAME?</v>
      </c>
      <c r="N348" t="e">
        <f ca="1">BDP("959215GS Muni","GB_ASSURANCE_PROVIDERS")</f>
        <v>#NAME?</v>
      </c>
      <c r="O348" t="e">
        <f ca="1">BDP("959215GS Muni","GB_PROJECT_SELECTION_PROCESS")</f>
        <v>#NAME?</v>
      </c>
      <c r="P348" t="e">
        <f ca="1">BDP("959215GS Muni","ESG_FRAMEWORK_INDICATOR")</f>
        <v>#NAME?</v>
      </c>
      <c r="Q348" t="e">
        <f ca="1">BDP("959215GS Muni","BLOOMBERG_SECTOR_CODE")</f>
        <v>#NAME?</v>
      </c>
      <c r="R348" t="e">
        <f ca="1">BDP("959215GS Muni","ISSUER_TYPE")</f>
        <v>#NAME?</v>
      </c>
      <c r="S348" t="e">
        <f ca="1">BDS("959215GS Muni","ESG_PROJECT_CATEGORY", "aggregate=y")</f>
        <v>#NAME?</v>
      </c>
      <c r="T348" t="e">
        <f ca="1">BDS("959215GS Muni","ESG_PROJECT_SUBCATEGORY", "aggregate=y")</f>
        <v>#NAME?</v>
      </c>
    </row>
    <row r="349" spans="1:20" x14ac:dyDescent="0.25">
      <c r="A349" t="e">
        <f ca="1">BDP("959215GU Muni","ID_CUSIP")</f>
        <v>#NAME?</v>
      </c>
      <c r="B349" t="e">
        <f ca="1">BDP("959215GU Muni","STATE_CODE")</f>
        <v>#NAME?</v>
      </c>
      <c r="C349" t="s">
        <v>26</v>
      </c>
      <c r="D349" t="e">
        <f ca="1">BDP("959215GU Muni","YIELD_ON_ISSUE_DATE")</f>
        <v>#NAME?</v>
      </c>
      <c r="E349">
        <v>330000</v>
      </c>
      <c r="F349" t="e">
        <f ca="1">BDP("959215GU Muni","ISSUE_DT")</f>
        <v>#NAME?</v>
      </c>
      <c r="G349" t="e">
        <f ca="1">BDP("959215GU Muni","MATURITY")</f>
        <v>#NAME?</v>
      </c>
      <c r="H349" t="e">
        <f ca="1">BDP("959215GU Muni","MUNI_TAX_PROV")</f>
        <v>#NAME?</v>
      </c>
      <c r="I349" t="e">
        <f ca="1">BDP("959215GU Muni","FINANCING_TYPE")</f>
        <v>#NAME?</v>
      </c>
      <c r="J349" t="e">
        <f ca="1">BDP("959215GU Muni","BICS_LEVEL_2_INDUSTRY_GROUP_NAME")</f>
        <v>#NAME?</v>
      </c>
      <c r="K349" t="e">
        <f ca="1">BDP("959215GU Muni","SELF_REPRTD_GREEN_INSTR_INDCTR")</f>
        <v>#NAME?</v>
      </c>
      <c r="L349" t="e">
        <f ca="1">BDP("959215GU Muni","GB_MANAGEMENT_PROCEEDS")</f>
        <v>#NAME?</v>
      </c>
      <c r="M349" t="e">
        <f ca="1">BDP("959215GU Muni","GB_REPORTING")</f>
        <v>#NAME?</v>
      </c>
      <c r="N349" t="e">
        <f ca="1">BDP("959215GU Muni","GB_ASSURANCE_PROVIDERS")</f>
        <v>#NAME?</v>
      </c>
      <c r="O349" t="e">
        <f ca="1">BDP("959215GU Muni","GB_PROJECT_SELECTION_PROCESS")</f>
        <v>#NAME?</v>
      </c>
      <c r="P349" t="e">
        <f ca="1">BDP("959215GU Muni","ESG_FRAMEWORK_INDICATOR")</f>
        <v>#NAME?</v>
      </c>
      <c r="Q349" t="e">
        <f ca="1">BDP("959215GU Muni","BLOOMBERG_SECTOR_CODE")</f>
        <v>#NAME?</v>
      </c>
      <c r="R349" t="e">
        <f ca="1">BDP("959215GU Muni","ISSUER_TYPE")</f>
        <v>#NAME?</v>
      </c>
      <c r="S349" t="e">
        <f ca="1">BDS("959215GU Muni","ESG_PROJECT_CATEGORY", "aggregate=y")</f>
        <v>#NAME?</v>
      </c>
      <c r="T349" t="e">
        <f ca="1">BDS("959215GU Muni","ESG_PROJECT_SUBCATEGORY", "aggregate=y")</f>
        <v>#NAME?</v>
      </c>
    </row>
    <row r="350" spans="1:20" x14ac:dyDescent="0.25">
      <c r="A350" t="e">
        <f ca="1">BDP("13034A7H Muni","ID_CUSIP")</f>
        <v>#NAME?</v>
      </c>
      <c r="B350" t="e">
        <f ca="1">BDP("13034A7H Muni","STATE_CODE")</f>
        <v>#NAME?</v>
      </c>
      <c r="C350" t="s">
        <v>27</v>
      </c>
      <c r="D350" t="e">
        <f ca="1">BDP("13034A7H Muni","YIELD_ON_ISSUE_DATE")</f>
        <v>#NAME?</v>
      </c>
      <c r="E350">
        <v>12530000</v>
      </c>
      <c r="F350" t="e">
        <f ca="1">BDP("13034A7H Muni","ISSUE_DT")</f>
        <v>#NAME?</v>
      </c>
      <c r="G350" t="e">
        <f ca="1">BDP("13034A7H Muni","MATURITY")</f>
        <v>#NAME?</v>
      </c>
      <c r="H350" t="e">
        <f ca="1">BDP("13034A7H Muni","MUNI_TAX_PROV")</f>
        <v>#NAME?</v>
      </c>
      <c r="I350" t="e">
        <f ca="1">BDP("13034A7H Muni","FINANCING_TYPE")</f>
        <v>#NAME?</v>
      </c>
      <c r="J350" t="e">
        <f ca="1">BDP("13034A7H Muni","BICS_LEVEL_2_INDUSTRY_GROUP_NAME")</f>
        <v>#NAME?</v>
      </c>
      <c r="K350" t="e">
        <f ca="1">BDP("13034A7H Muni","SELF_REPRTD_GREEN_INSTR_INDCTR")</f>
        <v>#NAME?</v>
      </c>
      <c r="L350" t="e">
        <f ca="1">BDP("13034A7H Muni","GB_MANAGEMENT_PROCEEDS")</f>
        <v>#NAME?</v>
      </c>
      <c r="M350" t="e">
        <f ca="1">BDP("13034A7H Muni","GB_REPORTING")</f>
        <v>#NAME?</v>
      </c>
      <c r="N350" t="e">
        <f ca="1">BDP("13034A7H Muni","GB_ASSURANCE_PROVIDERS")</f>
        <v>#NAME?</v>
      </c>
      <c r="O350" t="e">
        <f ca="1">BDP("13034A7H Muni","GB_PROJECT_SELECTION_PROCESS")</f>
        <v>#NAME?</v>
      </c>
      <c r="P350" t="e">
        <f ca="1">BDP("13034A7H Muni","ESG_FRAMEWORK_INDICATOR")</f>
        <v>#NAME?</v>
      </c>
      <c r="Q350" t="e">
        <f ca="1">BDP("13034A7H Muni","BLOOMBERG_SECTOR_CODE")</f>
        <v>#NAME?</v>
      </c>
      <c r="R350" t="e">
        <f ca="1">BDP("13034A7H Muni","ISSUER_TYPE")</f>
        <v>#NAME?</v>
      </c>
      <c r="S350" t="e">
        <f ca="1">BDS("13034A7H Muni","ESG_PROJECT_CATEGORY", "aggregate=y")</f>
        <v>#NAME?</v>
      </c>
      <c r="T350" t="e">
        <f ca="1">BDS("13034A7H Muni","ESG_PROJECT_SUBCATEGORY", "aggregate=y")</f>
        <v>#NAME?</v>
      </c>
    </row>
    <row r="351" spans="1:20" x14ac:dyDescent="0.25">
      <c r="A351" t="e">
        <f ca="1">BDP("13034A7R Muni","ID_CUSIP")</f>
        <v>#NAME?</v>
      </c>
      <c r="B351" t="e">
        <f ca="1">BDP("13034A7R Muni","STATE_CODE")</f>
        <v>#NAME?</v>
      </c>
      <c r="C351" t="s">
        <v>27</v>
      </c>
      <c r="D351" t="e">
        <f ca="1">BDP("13034A7R Muni","YIELD_ON_ISSUE_DATE")</f>
        <v>#NAME?</v>
      </c>
      <c r="E351">
        <v>18515000</v>
      </c>
      <c r="F351" t="e">
        <f ca="1">BDP("13034A7R Muni","ISSUE_DT")</f>
        <v>#NAME?</v>
      </c>
      <c r="G351" t="e">
        <f ca="1">BDP("13034A7R Muni","MATURITY")</f>
        <v>#NAME?</v>
      </c>
      <c r="H351" t="e">
        <f ca="1">BDP("13034A7R Muni","MUNI_TAX_PROV")</f>
        <v>#NAME?</v>
      </c>
      <c r="I351" t="e">
        <f ca="1">BDP("13034A7R Muni","FINANCING_TYPE")</f>
        <v>#NAME?</v>
      </c>
      <c r="J351" t="e">
        <f ca="1">BDP("13034A7R Muni","BICS_LEVEL_2_INDUSTRY_GROUP_NAME")</f>
        <v>#NAME?</v>
      </c>
      <c r="K351" t="e">
        <f ca="1">BDP("13034A7R Muni","SELF_REPRTD_GREEN_INSTR_INDCTR")</f>
        <v>#NAME?</v>
      </c>
      <c r="L351" t="e">
        <f ca="1">BDP("13034A7R Muni","GB_MANAGEMENT_PROCEEDS")</f>
        <v>#NAME?</v>
      </c>
      <c r="M351" t="e">
        <f ca="1">BDP("13034A7R Muni","GB_REPORTING")</f>
        <v>#NAME?</v>
      </c>
      <c r="N351" t="e">
        <f ca="1">BDP("13034A7R Muni","GB_ASSURANCE_PROVIDERS")</f>
        <v>#NAME?</v>
      </c>
      <c r="O351" t="e">
        <f ca="1">BDP("13034A7R Muni","GB_PROJECT_SELECTION_PROCESS")</f>
        <v>#NAME?</v>
      </c>
      <c r="P351" t="e">
        <f ca="1">BDP("13034A7R Muni","ESG_FRAMEWORK_INDICATOR")</f>
        <v>#NAME?</v>
      </c>
      <c r="Q351" t="e">
        <f ca="1">BDP("13034A7R Muni","BLOOMBERG_SECTOR_CODE")</f>
        <v>#NAME?</v>
      </c>
      <c r="R351" t="e">
        <f ca="1">BDP("13034A7R Muni","ISSUER_TYPE")</f>
        <v>#NAME?</v>
      </c>
      <c r="S351" t="e">
        <f ca="1">BDS("13034A7R Muni","ESG_PROJECT_CATEGORY", "aggregate=y")</f>
        <v>#NAME?</v>
      </c>
      <c r="T351" t="e">
        <f ca="1">BDS("13034A7R Muni","ESG_PROJECT_SUBCATEGORY", "aggregate=y")</f>
        <v>#NAME?</v>
      </c>
    </row>
    <row r="352" spans="1:20" x14ac:dyDescent="0.25">
      <c r="A352" t="e">
        <f ca="1">BDP("5444456A Muni","ID_CUSIP")</f>
        <v>#NAME?</v>
      </c>
      <c r="B352" t="e">
        <f ca="1">BDP("5444456A Muni","STATE_CODE")</f>
        <v>#NAME?</v>
      </c>
      <c r="C352" t="s">
        <v>34</v>
      </c>
      <c r="D352" t="e">
        <f ca="1">BDP("5444456A Muni","YIELD_ON_ISSUE_DATE")</f>
        <v>#NAME?</v>
      </c>
      <c r="E352">
        <v>36520000</v>
      </c>
      <c r="F352" t="e">
        <f ca="1">BDP("5444456A Muni","ISSUE_DT")</f>
        <v>#NAME?</v>
      </c>
      <c r="G352" t="e">
        <f ca="1">BDP("5444456A Muni","MATURITY")</f>
        <v>#NAME?</v>
      </c>
      <c r="H352" t="e">
        <f ca="1">BDP("5444456A Muni","MUNI_TAX_PROV")</f>
        <v>#NAME?</v>
      </c>
      <c r="I352" t="e">
        <f ca="1">BDP("5444456A Muni","FINANCING_TYPE")</f>
        <v>#NAME?</v>
      </c>
      <c r="J352" t="e">
        <f ca="1">BDP("5444456A Muni","BICS_LEVEL_2_INDUSTRY_GROUP_NAME")</f>
        <v>#NAME?</v>
      </c>
      <c r="K352" t="e">
        <f ca="1">BDP("5444456A Muni","SELF_REPRTD_GREEN_INSTR_INDCTR")</f>
        <v>#NAME?</v>
      </c>
      <c r="L352" t="e">
        <f ca="1">BDP("5444456A Muni","GB_MANAGEMENT_PROCEEDS")</f>
        <v>#NAME?</v>
      </c>
      <c r="M352" t="e">
        <f ca="1">BDP("5444456A Muni","GB_REPORTING")</f>
        <v>#NAME?</v>
      </c>
      <c r="N352" t="e">
        <f ca="1">BDP("5444456A Muni","GB_ASSURANCE_PROVIDERS")</f>
        <v>#NAME?</v>
      </c>
      <c r="O352" t="e">
        <f ca="1">BDP("5444456A Muni","GB_PROJECT_SELECTION_PROCESS")</f>
        <v>#NAME?</v>
      </c>
      <c r="P352" t="e">
        <f ca="1">BDP("5444456A Muni","ESG_FRAMEWORK_INDICATOR")</f>
        <v>#NAME?</v>
      </c>
      <c r="Q352" t="e">
        <f ca="1">BDP("5444456A Muni","BLOOMBERG_SECTOR_CODE")</f>
        <v>#NAME?</v>
      </c>
      <c r="R352" t="e">
        <f ca="1">BDP("5444456A Muni","ISSUER_TYPE")</f>
        <v>#NAME?</v>
      </c>
      <c r="S352" t="e">
        <f ca="1">BDS("5444456A Muni","ESG_PROJECT_CATEGORY", "aggregate=y")</f>
        <v>#NAME?</v>
      </c>
      <c r="T352" t="e">
        <f ca="1">BDS("5444456A Muni","ESG_PROJECT_SUBCATEGORY", "aggregate=y")</f>
        <v>#NAME?</v>
      </c>
    </row>
    <row r="353" spans="1:20" x14ac:dyDescent="0.25">
      <c r="A353" t="e">
        <f ca="1">BDP("786005M7 Muni","ID_CUSIP")</f>
        <v>#NAME?</v>
      </c>
      <c r="B353" t="e">
        <f ca="1">BDP("786005M7 Muni","STATE_CODE")</f>
        <v>#NAME?</v>
      </c>
      <c r="C353" t="s">
        <v>35</v>
      </c>
      <c r="D353" t="e">
        <f ca="1">BDP("786005M7 Muni","YIELD_ON_ISSUE_DATE")</f>
        <v>#NAME?</v>
      </c>
      <c r="E353">
        <v>6080000</v>
      </c>
      <c r="F353" t="e">
        <f ca="1">BDP("786005M7 Muni","ISSUE_DT")</f>
        <v>#NAME?</v>
      </c>
      <c r="G353" t="e">
        <f ca="1">BDP("786005M7 Muni","MATURITY")</f>
        <v>#NAME?</v>
      </c>
      <c r="H353" t="e">
        <f ca="1">BDP("786005M7 Muni","MUNI_TAX_PROV")</f>
        <v>#NAME?</v>
      </c>
      <c r="I353" t="e">
        <f ca="1">BDP("786005M7 Muni","FINANCING_TYPE")</f>
        <v>#NAME?</v>
      </c>
      <c r="J353" t="e">
        <f ca="1">BDP("786005M7 Muni","BICS_LEVEL_2_INDUSTRY_GROUP_NAME")</f>
        <v>#NAME?</v>
      </c>
      <c r="K353" t="e">
        <f ca="1">BDP("786005M7 Muni","SELF_REPRTD_GREEN_INSTR_INDCTR")</f>
        <v>#NAME?</v>
      </c>
      <c r="L353" t="e">
        <f ca="1">BDP("786005M7 Muni","GB_MANAGEMENT_PROCEEDS")</f>
        <v>#NAME?</v>
      </c>
      <c r="M353" t="e">
        <f ca="1">BDP("786005M7 Muni","GB_REPORTING")</f>
        <v>#NAME?</v>
      </c>
      <c r="N353" t="e">
        <f ca="1">BDP("786005M7 Muni","GB_ASSURANCE_PROVIDERS")</f>
        <v>#NAME?</v>
      </c>
      <c r="O353" t="e">
        <f ca="1">BDP("786005M7 Muni","GB_PROJECT_SELECTION_PROCESS")</f>
        <v>#NAME?</v>
      </c>
      <c r="P353" t="e">
        <f ca="1">BDP("786005M7 Muni","ESG_FRAMEWORK_INDICATOR")</f>
        <v>#NAME?</v>
      </c>
      <c r="Q353" t="e">
        <f ca="1">BDP("786005M7 Muni","BLOOMBERG_SECTOR_CODE")</f>
        <v>#NAME?</v>
      </c>
      <c r="R353" t="e">
        <f ca="1">BDP("786005M7 Muni","ISSUER_TYPE")</f>
        <v>#NAME?</v>
      </c>
      <c r="S353" t="e">
        <f ca="1">BDS("786005M7 Muni","ESG_PROJECT_CATEGORY", "aggregate=y")</f>
        <v>#NAME?</v>
      </c>
      <c r="T353" t="e">
        <f ca="1">BDS("786005M7 Muni","ESG_PROJECT_SUBCATEGORY", "aggregate=y")</f>
        <v>#NAME?</v>
      </c>
    </row>
    <row r="354" spans="1:20" x14ac:dyDescent="0.25">
      <c r="A354" t="e">
        <f ca="1">BDP("797661E6 Muni","ID_CUSIP")</f>
        <v>#NAME?</v>
      </c>
      <c r="B354" t="e">
        <f ca="1">BDP("797661E6 Muni","STATE_CODE")</f>
        <v>#NAME?</v>
      </c>
      <c r="C354" t="s">
        <v>36</v>
      </c>
      <c r="D354" t="e">
        <f ca="1">BDP("797661E6 Muni","YIELD_ON_ISSUE_DATE")</f>
        <v>#NAME?</v>
      </c>
      <c r="E354">
        <v>33110000</v>
      </c>
      <c r="F354" t="e">
        <f ca="1">BDP("797661E6 Muni","ISSUE_DT")</f>
        <v>#NAME?</v>
      </c>
      <c r="G354" t="e">
        <f ca="1">BDP("797661E6 Muni","MATURITY")</f>
        <v>#NAME?</v>
      </c>
      <c r="H354" t="e">
        <f ca="1">BDP("797661E6 Muni","MUNI_TAX_PROV")</f>
        <v>#NAME?</v>
      </c>
      <c r="I354" t="e">
        <f ca="1">BDP("797661E6 Muni","FINANCING_TYPE")</f>
        <v>#NAME?</v>
      </c>
      <c r="J354" t="e">
        <f ca="1">BDP("797661E6 Muni","BICS_LEVEL_2_INDUSTRY_GROUP_NAME")</f>
        <v>#NAME?</v>
      </c>
      <c r="K354" t="e">
        <f ca="1">BDP("797661E6 Muni","SELF_REPRTD_GREEN_INSTR_INDCTR")</f>
        <v>#NAME?</v>
      </c>
      <c r="L354" t="e">
        <f ca="1">BDP("797661E6 Muni","GB_MANAGEMENT_PROCEEDS")</f>
        <v>#NAME?</v>
      </c>
      <c r="M354" t="e">
        <f ca="1">BDP("797661E6 Muni","GB_REPORTING")</f>
        <v>#NAME?</v>
      </c>
      <c r="N354" t="e">
        <f ca="1">BDP("797661E6 Muni","GB_ASSURANCE_PROVIDERS")</f>
        <v>#NAME?</v>
      </c>
      <c r="O354" t="e">
        <f ca="1">BDP("797661E6 Muni","GB_PROJECT_SELECTION_PROCESS")</f>
        <v>#NAME?</v>
      </c>
      <c r="P354" t="e">
        <f ca="1">BDP("797661E6 Muni","ESG_FRAMEWORK_INDICATOR")</f>
        <v>#NAME?</v>
      </c>
      <c r="Q354" t="e">
        <f ca="1">BDP("797661E6 Muni","BLOOMBERG_SECTOR_CODE")</f>
        <v>#NAME?</v>
      </c>
      <c r="R354" t="e">
        <f ca="1">BDP("797661E6 Muni","ISSUER_TYPE")</f>
        <v>#NAME?</v>
      </c>
      <c r="S354" t="e">
        <f ca="1">BDS("797661E6 Muni","ESG_PROJECT_CATEGORY", "aggregate=y")</f>
        <v>#NAME?</v>
      </c>
      <c r="T354" t="e">
        <f ca="1">BDS("797661E6 Muni","ESG_PROJECT_SUBCATEGORY", "aggregate=y")</f>
        <v>#NAME?</v>
      </c>
    </row>
    <row r="355" spans="1:20" x14ac:dyDescent="0.25">
      <c r="A355" t="e">
        <f ca="1">BDP("797661G3 Muni","ID_CUSIP")</f>
        <v>#NAME?</v>
      </c>
      <c r="B355" t="e">
        <f ca="1">BDP("797661G3 Muni","STATE_CODE")</f>
        <v>#NAME?</v>
      </c>
      <c r="C355" t="s">
        <v>36</v>
      </c>
      <c r="D355" t="e">
        <f ca="1">BDP("797661G3 Muni","YIELD_ON_ISSUE_DATE")</f>
        <v>#NAME?</v>
      </c>
      <c r="E355">
        <v>16010000</v>
      </c>
      <c r="F355" t="e">
        <f ca="1">BDP("797661G3 Muni","ISSUE_DT")</f>
        <v>#NAME?</v>
      </c>
      <c r="G355" t="e">
        <f ca="1">BDP("797661G3 Muni","MATURITY")</f>
        <v>#NAME?</v>
      </c>
      <c r="H355" t="e">
        <f ca="1">BDP("797661G3 Muni","MUNI_TAX_PROV")</f>
        <v>#NAME?</v>
      </c>
      <c r="I355" t="e">
        <f ca="1">BDP("797661G3 Muni","FINANCING_TYPE")</f>
        <v>#NAME?</v>
      </c>
      <c r="J355" t="e">
        <f ca="1">BDP("797661G3 Muni","BICS_LEVEL_2_INDUSTRY_GROUP_NAME")</f>
        <v>#NAME?</v>
      </c>
      <c r="K355" t="e">
        <f ca="1">BDP("797661G3 Muni","SELF_REPRTD_GREEN_INSTR_INDCTR")</f>
        <v>#NAME?</v>
      </c>
      <c r="L355" t="e">
        <f ca="1">BDP("797661G3 Muni","GB_MANAGEMENT_PROCEEDS")</f>
        <v>#NAME?</v>
      </c>
      <c r="M355" t="e">
        <f ca="1">BDP("797661G3 Muni","GB_REPORTING")</f>
        <v>#NAME?</v>
      </c>
      <c r="N355" t="e">
        <f ca="1">BDP("797661G3 Muni","GB_ASSURANCE_PROVIDERS")</f>
        <v>#NAME?</v>
      </c>
      <c r="O355" t="e">
        <f ca="1">BDP("797661G3 Muni","GB_PROJECT_SELECTION_PROCESS")</f>
        <v>#NAME?</v>
      </c>
      <c r="P355" t="e">
        <f ca="1">BDP("797661G3 Muni","ESG_FRAMEWORK_INDICATOR")</f>
        <v>#NAME?</v>
      </c>
      <c r="Q355" t="e">
        <f ca="1">BDP("797661G3 Muni","BLOOMBERG_SECTOR_CODE")</f>
        <v>#NAME?</v>
      </c>
      <c r="R355" t="e">
        <f ca="1">BDP("797661G3 Muni","ISSUER_TYPE")</f>
        <v>#NAME?</v>
      </c>
      <c r="S355" t="e">
        <f ca="1">BDS("797661G3 Muni","ESG_PROJECT_CATEGORY", "aggregate=y")</f>
        <v>#NAME?</v>
      </c>
      <c r="T355" t="e">
        <f ca="1">BDS("797661G3 Muni","ESG_PROJECT_SUBCATEGORY", "aggregate=y")</f>
        <v>#NAME?</v>
      </c>
    </row>
    <row r="356" spans="1:20" x14ac:dyDescent="0.25">
      <c r="A356" t="e">
        <f ca="1">BDP("797669A5 Muni","ID_CUSIP")</f>
        <v>#NAME?</v>
      </c>
      <c r="B356" t="e">
        <f ca="1">BDP("797669A5 Muni","STATE_CODE")</f>
        <v>#NAME?</v>
      </c>
      <c r="C356" t="s">
        <v>28</v>
      </c>
      <c r="D356" t="e">
        <f ca="1">BDP("797669A5 Muni","YIELD_ON_ISSUE_DATE")</f>
        <v>#NAME?</v>
      </c>
      <c r="E356">
        <v>4525000</v>
      </c>
      <c r="F356" t="e">
        <f ca="1">BDP("797669A5 Muni","ISSUE_DT")</f>
        <v>#NAME?</v>
      </c>
      <c r="G356" t="e">
        <f ca="1">BDP("797669A5 Muni","MATURITY")</f>
        <v>#NAME?</v>
      </c>
      <c r="H356" t="e">
        <f ca="1">BDP("797669A5 Muni","MUNI_TAX_PROV")</f>
        <v>#NAME?</v>
      </c>
      <c r="I356" t="e">
        <f ca="1">BDP("797669A5 Muni","FINANCING_TYPE")</f>
        <v>#NAME?</v>
      </c>
      <c r="J356" t="e">
        <f ca="1">BDP("797669A5 Muni","BICS_LEVEL_2_INDUSTRY_GROUP_NAME")</f>
        <v>#NAME?</v>
      </c>
      <c r="K356" t="e">
        <f ca="1">BDP("797669A5 Muni","SELF_REPRTD_GREEN_INSTR_INDCTR")</f>
        <v>#NAME?</v>
      </c>
      <c r="L356" t="e">
        <f ca="1">BDP("797669A5 Muni","GB_MANAGEMENT_PROCEEDS")</f>
        <v>#NAME?</v>
      </c>
      <c r="M356" t="e">
        <f ca="1">BDP("797669A5 Muni","GB_REPORTING")</f>
        <v>#NAME?</v>
      </c>
      <c r="N356" t="e">
        <f ca="1">BDP("797669A5 Muni","GB_ASSURANCE_PROVIDERS")</f>
        <v>#NAME?</v>
      </c>
      <c r="O356" t="e">
        <f ca="1">BDP("797669A5 Muni","GB_PROJECT_SELECTION_PROCESS")</f>
        <v>#NAME?</v>
      </c>
      <c r="P356" t="e">
        <f ca="1">BDP("797669A5 Muni","ESG_FRAMEWORK_INDICATOR")</f>
        <v>#NAME?</v>
      </c>
      <c r="Q356" t="e">
        <f ca="1">BDP("797669A5 Muni","BLOOMBERG_SECTOR_CODE")</f>
        <v>#NAME?</v>
      </c>
      <c r="R356" t="e">
        <f ca="1">BDP("797669A5 Muni","ISSUER_TYPE")</f>
        <v>#NAME?</v>
      </c>
      <c r="S356" t="e">
        <f ca="1">BDS("797669A5 Muni","ESG_PROJECT_CATEGORY", "aggregate=y")</f>
        <v>#NAME?</v>
      </c>
      <c r="T356" t="e">
        <f ca="1">BDS("797669A5 Muni","ESG_PROJECT_SUBCATEGORY", "aggregate=y")</f>
        <v>#NAME?</v>
      </c>
    </row>
    <row r="357" spans="1:20" x14ac:dyDescent="0.25">
      <c r="A357" t="e">
        <f ca="1">BDP("79771FGB Muni","ID_CUSIP")</f>
        <v>#NAME?</v>
      </c>
      <c r="B357" t="e">
        <f ca="1">BDP("79771FGB Muni","STATE_CODE")</f>
        <v>#NAME?</v>
      </c>
      <c r="C357" t="s">
        <v>37</v>
      </c>
      <c r="D357" t="e">
        <f ca="1">BDP("79771FGB Muni","YIELD_ON_ISSUE_DATE")</f>
        <v>#NAME?</v>
      </c>
      <c r="E357">
        <v>48680000</v>
      </c>
      <c r="F357" t="e">
        <f ca="1">BDP("79771FGB Muni","ISSUE_DT")</f>
        <v>#NAME?</v>
      </c>
      <c r="G357" t="e">
        <f ca="1">BDP("79771FGB Muni","MATURITY")</f>
        <v>#NAME?</v>
      </c>
      <c r="H357" t="e">
        <f ca="1">BDP("79771FGB Muni","MUNI_TAX_PROV")</f>
        <v>#NAME?</v>
      </c>
      <c r="I357" t="e">
        <f ca="1">BDP("79771FGB Muni","FINANCING_TYPE")</f>
        <v>#NAME?</v>
      </c>
      <c r="J357" t="e">
        <f ca="1">BDP("79771FGB Muni","BICS_LEVEL_2_INDUSTRY_GROUP_NAME")</f>
        <v>#NAME?</v>
      </c>
      <c r="K357" t="e">
        <f ca="1">BDP("79771FGB Muni","SELF_REPRTD_GREEN_INSTR_INDCTR")</f>
        <v>#NAME?</v>
      </c>
      <c r="L357" t="e">
        <f ca="1">BDP("79771FGB Muni","GB_MANAGEMENT_PROCEEDS")</f>
        <v>#NAME?</v>
      </c>
      <c r="M357" t="e">
        <f ca="1">BDP("79771FGB Muni","GB_REPORTING")</f>
        <v>#NAME?</v>
      </c>
      <c r="N357" t="e">
        <f ca="1">BDP("79771FGB Muni","GB_ASSURANCE_PROVIDERS")</f>
        <v>#NAME?</v>
      </c>
      <c r="O357" t="e">
        <f ca="1">BDP("79771FGB Muni","GB_PROJECT_SELECTION_PROCESS")</f>
        <v>#NAME?</v>
      </c>
      <c r="P357" t="e">
        <f ca="1">BDP("79771FGB Muni","ESG_FRAMEWORK_INDICATOR")</f>
        <v>#NAME?</v>
      </c>
      <c r="Q357" t="e">
        <f ca="1">BDP("79771FGB Muni","BLOOMBERG_SECTOR_CODE")</f>
        <v>#NAME?</v>
      </c>
      <c r="R357" t="e">
        <f ca="1">BDP("79771FGB Muni","ISSUER_TYPE")</f>
        <v>#NAME?</v>
      </c>
      <c r="S357" t="e">
        <f ca="1">BDS("79771FGB Muni","ESG_PROJECT_CATEGORY", "aggregate=y")</f>
        <v>#NAME?</v>
      </c>
      <c r="T357" t="e">
        <f ca="1">BDS("79771FGB Muni","ESG_PROJECT_SUBCATEGORY", "aggregate=y")</f>
        <v>#NAME?</v>
      </c>
    </row>
    <row r="358" spans="1:20" x14ac:dyDescent="0.25">
      <c r="A358" t="e">
        <f ca="1">BDP("88035MW8 Muni","ID_CUSIP")</f>
        <v>#NAME?</v>
      </c>
      <c r="B358" t="e">
        <f ca="1">BDP("88035MW8 Muni","STATE_CODE")</f>
        <v>#NAME?</v>
      </c>
      <c r="C358" t="s">
        <v>25</v>
      </c>
      <c r="D358" t="e">
        <f ca="1">BDP("88035MW8 Muni","YIELD_ON_ISSUE_DATE")</f>
        <v>#NAME?</v>
      </c>
      <c r="E358">
        <v>11135000</v>
      </c>
      <c r="F358" t="e">
        <f ca="1">BDP("88035MW8 Muni","ISSUE_DT")</f>
        <v>#NAME?</v>
      </c>
      <c r="G358" t="e">
        <f ca="1">BDP("88035MW8 Muni","MATURITY")</f>
        <v>#NAME?</v>
      </c>
      <c r="H358" t="e">
        <f ca="1">BDP("88035MW8 Muni","MUNI_TAX_PROV")</f>
        <v>#NAME?</v>
      </c>
      <c r="I358" t="e">
        <f ca="1">BDP("88035MW8 Muni","FINANCING_TYPE")</f>
        <v>#NAME?</v>
      </c>
      <c r="J358" t="e">
        <f ca="1">BDP("88035MW8 Muni","BICS_LEVEL_2_INDUSTRY_GROUP_NAME")</f>
        <v>#NAME?</v>
      </c>
      <c r="K358" t="e">
        <f ca="1">BDP("88035MW8 Muni","SELF_REPRTD_GREEN_INSTR_INDCTR")</f>
        <v>#NAME?</v>
      </c>
      <c r="L358" t="e">
        <f ca="1">BDP("88035MW8 Muni","GB_MANAGEMENT_PROCEEDS")</f>
        <v>#NAME?</v>
      </c>
      <c r="M358" t="e">
        <f ca="1">BDP("88035MW8 Muni","GB_REPORTING")</f>
        <v>#NAME?</v>
      </c>
      <c r="N358" t="e">
        <f ca="1">BDP("88035MW8 Muni","GB_ASSURANCE_PROVIDERS")</f>
        <v>#NAME?</v>
      </c>
      <c r="O358" t="e">
        <f ca="1">BDP("88035MW8 Muni","GB_PROJECT_SELECTION_PROCESS")</f>
        <v>#NAME?</v>
      </c>
      <c r="P358" t="e">
        <f ca="1">BDP("88035MW8 Muni","ESG_FRAMEWORK_INDICATOR")</f>
        <v>#NAME?</v>
      </c>
      <c r="Q358" t="e">
        <f ca="1">BDP("88035MW8 Muni","BLOOMBERG_SECTOR_CODE")</f>
        <v>#NAME?</v>
      </c>
      <c r="R358" t="e">
        <f ca="1">BDP("88035MW8 Muni","ISSUER_TYPE")</f>
        <v>#NAME?</v>
      </c>
      <c r="S358" t="e">
        <f ca="1">BDS("88035MW8 Muni","ESG_PROJECT_CATEGORY", "aggregate=y")</f>
        <v>#NAME?</v>
      </c>
      <c r="T358" t="e">
        <f ca="1">BDS("88035MW8 Muni","ESG_PROJECT_SUBCATEGORY", "aggregate=y")</f>
        <v>#NAME?</v>
      </c>
    </row>
    <row r="359" spans="1:20" x14ac:dyDescent="0.25">
      <c r="A359" t="e">
        <f ca="1">BDP("88035PBQ Muni","ID_CUSIP")</f>
        <v>#NAME?</v>
      </c>
      <c r="B359" t="e">
        <f ca="1">BDP("88035PBQ Muni","STATE_CODE")</f>
        <v>#NAME?</v>
      </c>
      <c r="C359" t="s">
        <v>25</v>
      </c>
      <c r="D359" t="e">
        <f ca="1">BDP("88035PBQ Muni","YIELD_ON_ISSUE_DATE")</f>
        <v>#NAME?</v>
      </c>
      <c r="E359">
        <v>605000</v>
      </c>
      <c r="F359" t="e">
        <f ca="1">BDP("88035PBQ Muni","ISSUE_DT")</f>
        <v>#NAME?</v>
      </c>
      <c r="G359" t="e">
        <f ca="1">BDP("88035PBQ Muni","MATURITY")</f>
        <v>#NAME?</v>
      </c>
      <c r="H359" t="e">
        <f ca="1">BDP("88035PBQ Muni","MUNI_TAX_PROV")</f>
        <v>#NAME?</v>
      </c>
      <c r="I359" t="e">
        <f ca="1">BDP("88035PBQ Muni","FINANCING_TYPE")</f>
        <v>#NAME?</v>
      </c>
      <c r="J359" t="e">
        <f ca="1">BDP("88035PBQ Muni","BICS_LEVEL_2_INDUSTRY_GROUP_NAME")</f>
        <v>#NAME?</v>
      </c>
      <c r="K359" t="e">
        <f ca="1">BDP("88035PBQ Muni","SELF_REPRTD_GREEN_INSTR_INDCTR")</f>
        <v>#NAME?</v>
      </c>
      <c r="L359" t="e">
        <f ca="1">BDP("88035PBQ Muni","GB_MANAGEMENT_PROCEEDS")</f>
        <v>#NAME?</v>
      </c>
      <c r="M359" t="e">
        <f ca="1">BDP("88035PBQ Muni","GB_REPORTING")</f>
        <v>#NAME?</v>
      </c>
      <c r="N359" t="e">
        <f ca="1">BDP("88035PBQ Muni","GB_ASSURANCE_PROVIDERS")</f>
        <v>#NAME?</v>
      </c>
      <c r="O359" t="e">
        <f ca="1">BDP("88035PBQ Muni","GB_PROJECT_SELECTION_PROCESS")</f>
        <v>#NAME?</v>
      </c>
      <c r="P359" t="e">
        <f ca="1">BDP("88035PBQ Muni","ESG_FRAMEWORK_INDICATOR")</f>
        <v>#NAME?</v>
      </c>
      <c r="Q359" t="e">
        <f ca="1">BDP("88035PBQ Muni","BLOOMBERG_SECTOR_CODE")</f>
        <v>#NAME?</v>
      </c>
      <c r="R359" t="e">
        <f ca="1">BDP("88035PBQ Muni","ISSUER_TYPE")</f>
        <v>#NAME?</v>
      </c>
      <c r="S359" t="e">
        <f ca="1">BDS("88035PBQ Muni","ESG_PROJECT_CATEGORY", "aggregate=y")</f>
        <v>#NAME?</v>
      </c>
      <c r="T359" t="e">
        <f ca="1">BDS("88035PBQ Muni","ESG_PROJECT_SUBCATEGORY", "aggregate=y")</f>
        <v>#NAME?</v>
      </c>
    </row>
    <row r="360" spans="1:20" x14ac:dyDescent="0.25">
      <c r="A360" t="e">
        <f ca="1">BDP("13034A7P Muni","ID_CUSIP")</f>
        <v>#NAME?</v>
      </c>
      <c r="B360" t="e">
        <f ca="1">BDP("13034A7P Muni","STATE_CODE")</f>
        <v>#NAME?</v>
      </c>
      <c r="C360" t="s">
        <v>27</v>
      </c>
      <c r="D360" t="e">
        <f ca="1">BDP("13034A7P Muni","YIELD_ON_ISSUE_DATE")</f>
        <v>#NAME?</v>
      </c>
      <c r="E360">
        <v>16790000</v>
      </c>
      <c r="F360" t="e">
        <f ca="1">BDP("13034A7P Muni","ISSUE_DT")</f>
        <v>#NAME?</v>
      </c>
      <c r="G360" t="e">
        <f ca="1">BDP("13034A7P Muni","MATURITY")</f>
        <v>#NAME?</v>
      </c>
      <c r="H360" t="e">
        <f ca="1">BDP("13034A7P Muni","MUNI_TAX_PROV")</f>
        <v>#NAME?</v>
      </c>
      <c r="I360" t="e">
        <f ca="1">BDP("13034A7P Muni","FINANCING_TYPE")</f>
        <v>#NAME?</v>
      </c>
      <c r="J360" t="e">
        <f ca="1">BDP("13034A7P Muni","BICS_LEVEL_2_INDUSTRY_GROUP_NAME")</f>
        <v>#NAME?</v>
      </c>
      <c r="K360" t="e">
        <f ca="1">BDP("13034A7P Muni","SELF_REPRTD_GREEN_INSTR_INDCTR")</f>
        <v>#NAME?</v>
      </c>
      <c r="L360" t="e">
        <f ca="1">BDP("13034A7P Muni","GB_MANAGEMENT_PROCEEDS")</f>
        <v>#NAME?</v>
      </c>
      <c r="M360" t="e">
        <f ca="1">BDP("13034A7P Muni","GB_REPORTING")</f>
        <v>#NAME?</v>
      </c>
      <c r="N360" t="e">
        <f ca="1">BDP("13034A7P Muni","GB_ASSURANCE_PROVIDERS")</f>
        <v>#NAME?</v>
      </c>
      <c r="O360" t="e">
        <f ca="1">BDP("13034A7P Muni","GB_PROJECT_SELECTION_PROCESS")</f>
        <v>#NAME?</v>
      </c>
      <c r="P360" t="e">
        <f ca="1">BDP("13034A7P Muni","ESG_FRAMEWORK_INDICATOR")</f>
        <v>#NAME?</v>
      </c>
      <c r="Q360" t="e">
        <f ca="1">BDP("13034A7P Muni","BLOOMBERG_SECTOR_CODE")</f>
        <v>#NAME?</v>
      </c>
      <c r="R360" t="e">
        <f ca="1">BDP("13034A7P Muni","ISSUER_TYPE")</f>
        <v>#NAME?</v>
      </c>
      <c r="S360" t="e">
        <f ca="1">BDS("13034A7P Muni","ESG_PROJECT_CATEGORY", "aggregate=y")</f>
        <v>#NAME?</v>
      </c>
      <c r="T360" t="e">
        <f ca="1">BDS("13034A7P Muni","ESG_PROJECT_SUBCATEGORY", "aggregate=y")</f>
        <v>#NAME?</v>
      </c>
    </row>
    <row r="361" spans="1:20" x14ac:dyDescent="0.25">
      <c r="A361" t="e">
        <f ca="1">BDP("797661D8 Muni","ID_CUSIP")</f>
        <v>#NAME?</v>
      </c>
      <c r="B361" t="e">
        <f ca="1">BDP("797661D8 Muni","STATE_CODE")</f>
        <v>#NAME?</v>
      </c>
      <c r="C361" t="s">
        <v>36</v>
      </c>
      <c r="D361" t="e">
        <f ca="1">BDP("797661D8 Muni","YIELD_ON_ISSUE_DATE")</f>
        <v>#NAME?</v>
      </c>
      <c r="E361">
        <v>24705000</v>
      </c>
      <c r="F361" t="e">
        <f ca="1">BDP("797661D8 Muni","ISSUE_DT")</f>
        <v>#NAME?</v>
      </c>
      <c r="G361" t="e">
        <f ca="1">BDP("797661D8 Muni","MATURITY")</f>
        <v>#NAME?</v>
      </c>
      <c r="H361" t="e">
        <f ca="1">BDP("797661D8 Muni","MUNI_TAX_PROV")</f>
        <v>#NAME?</v>
      </c>
      <c r="I361" t="e">
        <f ca="1">BDP("797661D8 Muni","FINANCING_TYPE")</f>
        <v>#NAME?</v>
      </c>
      <c r="J361" t="e">
        <f ca="1">BDP("797661D8 Muni","BICS_LEVEL_2_INDUSTRY_GROUP_NAME")</f>
        <v>#NAME?</v>
      </c>
      <c r="K361" t="e">
        <f ca="1">BDP("797661D8 Muni","SELF_REPRTD_GREEN_INSTR_INDCTR")</f>
        <v>#NAME?</v>
      </c>
      <c r="L361" t="e">
        <f ca="1">BDP("797661D8 Muni","GB_MANAGEMENT_PROCEEDS")</f>
        <v>#NAME?</v>
      </c>
      <c r="M361" t="e">
        <f ca="1">BDP("797661D8 Muni","GB_REPORTING")</f>
        <v>#NAME?</v>
      </c>
      <c r="N361" t="e">
        <f ca="1">BDP("797661D8 Muni","GB_ASSURANCE_PROVIDERS")</f>
        <v>#NAME?</v>
      </c>
      <c r="O361" t="e">
        <f ca="1">BDP("797661D8 Muni","GB_PROJECT_SELECTION_PROCESS")</f>
        <v>#NAME?</v>
      </c>
      <c r="P361" t="e">
        <f ca="1">BDP("797661D8 Muni","ESG_FRAMEWORK_INDICATOR")</f>
        <v>#NAME?</v>
      </c>
      <c r="Q361" t="e">
        <f ca="1">BDP("797661D8 Muni","BLOOMBERG_SECTOR_CODE")</f>
        <v>#NAME?</v>
      </c>
      <c r="R361" t="e">
        <f ca="1">BDP("797661D8 Muni","ISSUER_TYPE")</f>
        <v>#NAME?</v>
      </c>
      <c r="S361" t="e">
        <f ca="1">BDS("797661D8 Muni","ESG_PROJECT_CATEGORY", "aggregate=y")</f>
        <v>#NAME?</v>
      </c>
      <c r="T361" t="e">
        <f ca="1">BDS("797661D8 Muni","ESG_PROJECT_SUBCATEGORY", "aggregate=y")</f>
        <v>#NAME?</v>
      </c>
    </row>
    <row r="362" spans="1:20" x14ac:dyDescent="0.25">
      <c r="A362" t="e">
        <f ca="1">BDP("797661G2 Muni","ID_CUSIP")</f>
        <v>#NAME?</v>
      </c>
      <c r="B362" t="e">
        <f ca="1">BDP("797661G2 Muni","STATE_CODE")</f>
        <v>#NAME?</v>
      </c>
      <c r="C362" t="s">
        <v>36</v>
      </c>
      <c r="D362" t="e">
        <f ca="1">BDP("797661G2 Muni","YIELD_ON_ISSUE_DATE")</f>
        <v>#NAME?</v>
      </c>
      <c r="E362">
        <v>23930000</v>
      </c>
      <c r="F362" t="e">
        <f ca="1">BDP("797661G2 Muni","ISSUE_DT")</f>
        <v>#NAME?</v>
      </c>
      <c r="G362" t="e">
        <f ca="1">BDP("797661G2 Muni","MATURITY")</f>
        <v>#NAME?</v>
      </c>
      <c r="H362" t="e">
        <f ca="1">BDP("797661G2 Muni","MUNI_TAX_PROV")</f>
        <v>#NAME?</v>
      </c>
      <c r="I362" t="e">
        <f ca="1">BDP("797661G2 Muni","FINANCING_TYPE")</f>
        <v>#NAME?</v>
      </c>
      <c r="J362" t="e">
        <f ca="1">BDP("797661G2 Muni","BICS_LEVEL_2_INDUSTRY_GROUP_NAME")</f>
        <v>#NAME?</v>
      </c>
      <c r="K362" t="e">
        <f ca="1">BDP("797661G2 Muni","SELF_REPRTD_GREEN_INSTR_INDCTR")</f>
        <v>#NAME?</v>
      </c>
      <c r="L362" t="e">
        <f ca="1">BDP("797661G2 Muni","GB_MANAGEMENT_PROCEEDS")</f>
        <v>#NAME?</v>
      </c>
      <c r="M362" t="e">
        <f ca="1">BDP("797661G2 Muni","GB_REPORTING")</f>
        <v>#NAME?</v>
      </c>
      <c r="N362" t="e">
        <f ca="1">BDP("797661G2 Muni","GB_ASSURANCE_PROVIDERS")</f>
        <v>#NAME?</v>
      </c>
      <c r="O362" t="e">
        <f ca="1">BDP("797661G2 Muni","GB_PROJECT_SELECTION_PROCESS")</f>
        <v>#NAME?</v>
      </c>
      <c r="P362" t="e">
        <f ca="1">BDP("797661G2 Muni","ESG_FRAMEWORK_INDICATOR")</f>
        <v>#NAME?</v>
      </c>
      <c r="Q362" t="e">
        <f ca="1">BDP("797661G2 Muni","BLOOMBERG_SECTOR_CODE")</f>
        <v>#NAME?</v>
      </c>
      <c r="R362" t="e">
        <f ca="1">BDP("797661G2 Muni","ISSUER_TYPE")</f>
        <v>#NAME?</v>
      </c>
      <c r="S362" t="e">
        <f ca="1">BDS("797661G2 Muni","ESG_PROJECT_CATEGORY", "aggregate=y")</f>
        <v>#NAME?</v>
      </c>
      <c r="T362" t="e">
        <f ca="1">BDS("797661G2 Muni","ESG_PROJECT_SUBCATEGORY", "aggregate=y")</f>
        <v>#NAME?</v>
      </c>
    </row>
    <row r="363" spans="1:20" x14ac:dyDescent="0.25">
      <c r="A363" t="e">
        <f ca="1">BDP("797661G4 Muni","ID_CUSIP")</f>
        <v>#NAME?</v>
      </c>
      <c r="B363" t="e">
        <f ca="1">BDP("797661G4 Muni","STATE_CODE")</f>
        <v>#NAME?</v>
      </c>
      <c r="C363" t="s">
        <v>36</v>
      </c>
      <c r="D363" t="e">
        <f ca="1">BDP("797661G4 Muni","YIELD_ON_ISSUE_DATE")</f>
        <v>#NAME?</v>
      </c>
      <c r="E363">
        <v>17700000</v>
      </c>
      <c r="F363" t="e">
        <f ca="1">BDP("797661G4 Muni","ISSUE_DT")</f>
        <v>#NAME?</v>
      </c>
      <c r="G363" t="e">
        <f ca="1">BDP("797661G4 Muni","MATURITY")</f>
        <v>#NAME?</v>
      </c>
      <c r="H363" t="e">
        <f ca="1">BDP("797661G4 Muni","MUNI_TAX_PROV")</f>
        <v>#NAME?</v>
      </c>
      <c r="I363" t="e">
        <f ca="1">BDP("797661G4 Muni","FINANCING_TYPE")</f>
        <v>#NAME?</v>
      </c>
      <c r="J363" t="e">
        <f ca="1">BDP("797661G4 Muni","BICS_LEVEL_2_INDUSTRY_GROUP_NAME")</f>
        <v>#NAME?</v>
      </c>
      <c r="K363" t="e">
        <f ca="1">BDP("797661G4 Muni","SELF_REPRTD_GREEN_INSTR_INDCTR")</f>
        <v>#NAME?</v>
      </c>
      <c r="L363" t="e">
        <f ca="1">BDP("797661G4 Muni","GB_MANAGEMENT_PROCEEDS")</f>
        <v>#NAME?</v>
      </c>
      <c r="M363" t="e">
        <f ca="1">BDP("797661G4 Muni","GB_REPORTING")</f>
        <v>#NAME?</v>
      </c>
      <c r="N363" t="e">
        <f ca="1">BDP("797661G4 Muni","GB_ASSURANCE_PROVIDERS")</f>
        <v>#NAME?</v>
      </c>
      <c r="O363" t="e">
        <f ca="1">BDP("797661G4 Muni","GB_PROJECT_SELECTION_PROCESS")</f>
        <v>#NAME?</v>
      </c>
      <c r="P363" t="e">
        <f ca="1">BDP("797661G4 Muni","ESG_FRAMEWORK_INDICATOR")</f>
        <v>#NAME?</v>
      </c>
      <c r="Q363" t="e">
        <f ca="1">BDP("797661G4 Muni","BLOOMBERG_SECTOR_CODE")</f>
        <v>#NAME?</v>
      </c>
      <c r="R363" t="e">
        <f ca="1">BDP("797661G4 Muni","ISSUER_TYPE")</f>
        <v>#NAME?</v>
      </c>
      <c r="S363" t="e">
        <f ca="1">BDS("797661G4 Muni","ESG_PROJECT_CATEGORY", "aggregate=y")</f>
        <v>#NAME?</v>
      </c>
      <c r="T363" t="e">
        <f ca="1">BDS("797661G4 Muni","ESG_PROJECT_SUBCATEGORY", "aggregate=y")</f>
        <v>#NAME?</v>
      </c>
    </row>
    <row r="364" spans="1:20" x14ac:dyDescent="0.25">
      <c r="A364" t="e">
        <f ca="1">BDP("79771FGA Muni","ID_CUSIP")</f>
        <v>#NAME?</v>
      </c>
      <c r="B364" t="e">
        <f ca="1">BDP("79771FGA Muni","STATE_CODE")</f>
        <v>#NAME?</v>
      </c>
      <c r="C364" t="s">
        <v>37</v>
      </c>
      <c r="D364" t="e">
        <f ca="1">BDP("79771FGA Muni","YIELD_ON_ISSUE_DATE")</f>
        <v>#NAME?</v>
      </c>
      <c r="E364">
        <v>41425000</v>
      </c>
      <c r="F364" t="e">
        <f ca="1">BDP("79771FGA Muni","ISSUE_DT")</f>
        <v>#NAME?</v>
      </c>
      <c r="G364" t="e">
        <f ca="1">BDP("79771FGA Muni","MATURITY")</f>
        <v>#NAME?</v>
      </c>
      <c r="H364" t="e">
        <f ca="1">BDP("79771FGA Muni","MUNI_TAX_PROV")</f>
        <v>#NAME?</v>
      </c>
      <c r="I364" t="e">
        <f ca="1">BDP("79771FGA Muni","FINANCING_TYPE")</f>
        <v>#NAME?</v>
      </c>
      <c r="J364" t="e">
        <f ca="1">BDP("79771FGA Muni","BICS_LEVEL_2_INDUSTRY_GROUP_NAME")</f>
        <v>#NAME?</v>
      </c>
      <c r="K364" t="e">
        <f ca="1">BDP("79771FGA Muni","SELF_REPRTD_GREEN_INSTR_INDCTR")</f>
        <v>#NAME?</v>
      </c>
      <c r="L364" t="e">
        <f ca="1">BDP("79771FGA Muni","GB_MANAGEMENT_PROCEEDS")</f>
        <v>#NAME?</v>
      </c>
      <c r="M364" t="e">
        <f ca="1">BDP("79771FGA Muni","GB_REPORTING")</f>
        <v>#NAME?</v>
      </c>
      <c r="N364" t="e">
        <f ca="1">BDP("79771FGA Muni","GB_ASSURANCE_PROVIDERS")</f>
        <v>#NAME?</v>
      </c>
      <c r="O364" t="e">
        <f ca="1">BDP("79771FGA Muni","GB_PROJECT_SELECTION_PROCESS")</f>
        <v>#NAME?</v>
      </c>
      <c r="P364" t="e">
        <f ca="1">BDP("79771FGA Muni","ESG_FRAMEWORK_INDICATOR")</f>
        <v>#NAME?</v>
      </c>
      <c r="Q364" t="e">
        <f ca="1">BDP("79771FGA Muni","BLOOMBERG_SECTOR_CODE")</f>
        <v>#NAME?</v>
      </c>
      <c r="R364" t="e">
        <f ca="1">BDP("79771FGA Muni","ISSUER_TYPE")</f>
        <v>#NAME?</v>
      </c>
      <c r="S364" t="e">
        <f ca="1">BDS("79771FGA Muni","ESG_PROJECT_CATEGORY", "aggregate=y")</f>
        <v>#NAME?</v>
      </c>
      <c r="T364" t="e">
        <f ca="1">BDS("79771FGA Muni","ESG_PROJECT_SUBCATEGORY", "aggregate=y")</f>
        <v>#NAME?</v>
      </c>
    </row>
    <row r="365" spans="1:20" x14ac:dyDescent="0.25">
      <c r="A365" t="e">
        <f ca="1">BDP("79771FGM Muni","ID_CUSIP")</f>
        <v>#NAME?</v>
      </c>
      <c r="B365" t="e">
        <f ca="1">BDP("79771FGM Muni","STATE_CODE")</f>
        <v>#NAME?</v>
      </c>
      <c r="C365" t="s">
        <v>37</v>
      </c>
      <c r="D365" t="e">
        <f ca="1">BDP("79771FGM Muni","YIELD_ON_ISSUE_DATE")</f>
        <v>#NAME?</v>
      </c>
      <c r="E365">
        <v>915000</v>
      </c>
      <c r="F365" t="e">
        <f ca="1">BDP("79771FGM Muni","ISSUE_DT")</f>
        <v>#NAME?</v>
      </c>
      <c r="G365" t="e">
        <f ca="1">BDP("79771FGM Muni","MATURITY")</f>
        <v>#NAME?</v>
      </c>
      <c r="H365" t="e">
        <f ca="1">BDP("79771FGM Muni","MUNI_TAX_PROV")</f>
        <v>#NAME?</v>
      </c>
      <c r="I365" t="e">
        <f ca="1">BDP("79771FGM Muni","FINANCING_TYPE")</f>
        <v>#NAME?</v>
      </c>
      <c r="J365" t="e">
        <f ca="1">BDP("79771FGM Muni","BICS_LEVEL_2_INDUSTRY_GROUP_NAME")</f>
        <v>#NAME?</v>
      </c>
      <c r="K365" t="e">
        <f ca="1">BDP("79771FGM Muni","SELF_REPRTD_GREEN_INSTR_INDCTR")</f>
        <v>#NAME?</v>
      </c>
      <c r="L365" t="e">
        <f ca="1">BDP("79771FGM Muni","GB_MANAGEMENT_PROCEEDS")</f>
        <v>#NAME?</v>
      </c>
      <c r="M365" t="e">
        <f ca="1">BDP("79771FGM Muni","GB_REPORTING")</f>
        <v>#NAME?</v>
      </c>
      <c r="N365" t="e">
        <f ca="1">BDP("79771FGM Muni","GB_ASSURANCE_PROVIDERS")</f>
        <v>#NAME?</v>
      </c>
      <c r="O365" t="e">
        <f ca="1">BDP("79771FGM Muni","GB_PROJECT_SELECTION_PROCESS")</f>
        <v>#NAME?</v>
      </c>
      <c r="P365" t="e">
        <f ca="1">BDP("79771FGM Muni","ESG_FRAMEWORK_INDICATOR")</f>
        <v>#NAME?</v>
      </c>
      <c r="Q365" t="e">
        <f ca="1">BDP("79771FGM Muni","BLOOMBERG_SECTOR_CODE")</f>
        <v>#NAME?</v>
      </c>
      <c r="R365" t="e">
        <f ca="1">BDP("79771FGM Muni","ISSUER_TYPE")</f>
        <v>#NAME?</v>
      </c>
      <c r="S365" t="e">
        <f ca="1">BDS("79771FGM Muni","ESG_PROJECT_CATEGORY", "aggregate=y")</f>
        <v>#NAME?</v>
      </c>
      <c r="T365" t="e">
        <f ca="1">BDS("79771FGM Muni","ESG_PROJECT_SUBCATEGORY", "aggregate=y")</f>
        <v>#NAME?</v>
      </c>
    </row>
    <row r="366" spans="1:20" x14ac:dyDescent="0.25">
      <c r="A366" t="e">
        <f ca="1">BDP("959215GA Muni","ID_CUSIP")</f>
        <v>#NAME?</v>
      </c>
      <c r="B366" t="e">
        <f ca="1">BDP("959215GA Muni","STATE_CODE")</f>
        <v>#NAME?</v>
      </c>
      <c r="C366" t="s">
        <v>26</v>
      </c>
      <c r="D366" t="e">
        <f ca="1">BDP("959215GA Muni","YIELD_ON_ISSUE_DATE")</f>
        <v>#NAME?</v>
      </c>
      <c r="E366">
        <v>365000</v>
      </c>
      <c r="F366" t="e">
        <f ca="1">BDP("959215GA Muni","ISSUE_DT")</f>
        <v>#NAME?</v>
      </c>
      <c r="G366" t="e">
        <f ca="1">BDP("959215GA Muni","MATURITY")</f>
        <v>#NAME?</v>
      </c>
      <c r="H366" t="e">
        <f ca="1">BDP("959215GA Muni","MUNI_TAX_PROV")</f>
        <v>#NAME?</v>
      </c>
      <c r="I366" t="e">
        <f ca="1">BDP("959215GA Muni","FINANCING_TYPE")</f>
        <v>#NAME?</v>
      </c>
      <c r="J366" t="e">
        <f ca="1">BDP("959215GA Muni","BICS_LEVEL_2_INDUSTRY_GROUP_NAME")</f>
        <v>#NAME?</v>
      </c>
      <c r="K366" t="e">
        <f ca="1">BDP("959215GA Muni","SELF_REPRTD_GREEN_INSTR_INDCTR")</f>
        <v>#NAME?</v>
      </c>
      <c r="L366" t="e">
        <f ca="1">BDP("959215GA Muni","GB_MANAGEMENT_PROCEEDS")</f>
        <v>#NAME?</v>
      </c>
      <c r="M366" t="e">
        <f ca="1">BDP("959215GA Muni","GB_REPORTING")</f>
        <v>#NAME?</v>
      </c>
      <c r="N366" t="e">
        <f ca="1">BDP("959215GA Muni","GB_ASSURANCE_PROVIDERS")</f>
        <v>#NAME?</v>
      </c>
      <c r="O366" t="e">
        <f ca="1">BDP("959215GA Muni","GB_PROJECT_SELECTION_PROCESS")</f>
        <v>#NAME?</v>
      </c>
      <c r="P366" t="e">
        <f ca="1">BDP("959215GA Muni","ESG_FRAMEWORK_INDICATOR")</f>
        <v>#NAME?</v>
      </c>
      <c r="Q366" t="e">
        <f ca="1">BDP("959215GA Muni","BLOOMBERG_SECTOR_CODE")</f>
        <v>#NAME?</v>
      </c>
      <c r="R366" t="e">
        <f ca="1">BDP("959215GA Muni","ISSUER_TYPE")</f>
        <v>#NAME?</v>
      </c>
      <c r="S366" t="e">
        <f ca="1">BDS("959215GA Muni","ESG_PROJECT_CATEGORY", "aggregate=y")</f>
        <v>#NAME?</v>
      </c>
      <c r="T366" t="e">
        <f ca="1">BDS("959215GA Muni","ESG_PROJECT_SUBCATEGORY", "aggregate=y")</f>
        <v>#NAME?</v>
      </c>
    </row>
    <row r="367" spans="1:20" x14ac:dyDescent="0.25">
      <c r="A367" t="e">
        <f ca="1">BDP("072024H9 Muni","ID_CUSIP")</f>
        <v>#NAME?</v>
      </c>
      <c r="B367" t="e">
        <f ca="1">BDP("072024H9 Muni","STATE_CODE")</f>
        <v>#NAME?</v>
      </c>
      <c r="C367" t="s">
        <v>39</v>
      </c>
      <c r="D367" t="e">
        <f ca="1">BDP("072024H9 Muni","YIELD_ON_ISSUE_DATE")</f>
        <v>#NAME?</v>
      </c>
      <c r="E367">
        <v>41350000</v>
      </c>
      <c r="F367" t="e">
        <f ca="1">BDP("072024H9 Muni","ISSUE_DT")</f>
        <v>#NAME?</v>
      </c>
      <c r="G367" t="e">
        <f ca="1">BDP("072024H9 Muni","MATURITY")</f>
        <v>#NAME?</v>
      </c>
      <c r="H367" t="e">
        <f ca="1">BDP("072024H9 Muni","MUNI_TAX_PROV")</f>
        <v>#NAME?</v>
      </c>
      <c r="I367" t="e">
        <f ca="1">BDP("072024H9 Muni","FINANCING_TYPE")</f>
        <v>#NAME?</v>
      </c>
      <c r="J367" t="e">
        <f ca="1">BDP("072024H9 Muni","BICS_LEVEL_2_INDUSTRY_GROUP_NAME")</f>
        <v>#NAME?</v>
      </c>
      <c r="K367" t="e">
        <f ca="1">BDP("072024H9 Muni","SELF_REPRTD_GREEN_INSTR_INDCTR")</f>
        <v>#NAME?</v>
      </c>
      <c r="L367" t="e">
        <f ca="1">BDP("072024H9 Muni","GB_MANAGEMENT_PROCEEDS")</f>
        <v>#NAME?</v>
      </c>
      <c r="M367" t="e">
        <f ca="1">BDP("072024H9 Muni","GB_REPORTING")</f>
        <v>#NAME?</v>
      </c>
      <c r="N367" t="e">
        <f ca="1">BDP("072024H9 Muni","GB_ASSURANCE_PROVIDERS")</f>
        <v>#NAME?</v>
      </c>
      <c r="O367" t="e">
        <f ca="1">BDP("072024H9 Muni","GB_PROJECT_SELECTION_PROCESS")</f>
        <v>#NAME?</v>
      </c>
      <c r="P367" t="e">
        <f ca="1">BDP("072024H9 Muni","ESG_FRAMEWORK_INDICATOR")</f>
        <v>#NAME?</v>
      </c>
      <c r="Q367" t="e">
        <f ca="1">BDP("072024H9 Muni","BLOOMBERG_SECTOR_CODE")</f>
        <v>#NAME?</v>
      </c>
      <c r="R367" t="e">
        <f ca="1">BDP("072024H9 Muni","ISSUER_TYPE")</f>
        <v>#NAME?</v>
      </c>
      <c r="S367" t="e">
        <f ca="1">BDS("072024H9 Muni","ESG_PROJECT_CATEGORY", "aggregate=y")</f>
        <v>#NAME?</v>
      </c>
      <c r="T367" t="e">
        <f ca="1">BDS("072024H9 Muni","ESG_PROJECT_SUBCATEGORY", "aggregate=y")</f>
        <v>#NAME?</v>
      </c>
    </row>
    <row r="368" spans="1:20" x14ac:dyDescent="0.25">
      <c r="A368" t="e">
        <f ca="1">BDP("13013JGL Muni","ID_CUSIP")</f>
        <v>#NAME?</v>
      </c>
      <c r="B368" t="e">
        <f ca="1">BDP("13013JGL Muni","STATE_CODE")</f>
        <v>#NAME?</v>
      </c>
      <c r="C368" t="s">
        <v>30</v>
      </c>
      <c r="D368" t="e">
        <f ca="1">BDP("13013JGL Muni","YIELD_ON_ISSUE_DATE")</f>
        <v>#NAME?</v>
      </c>
      <c r="E368">
        <v>8480000</v>
      </c>
      <c r="F368" t="e">
        <f ca="1">BDP("13013JGL Muni","ISSUE_DT")</f>
        <v>#NAME?</v>
      </c>
      <c r="G368" t="e">
        <f ca="1">BDP("13013JGL Muni","MATURITY")</f>
        <v>#NAME?</v>
      </c>
      <c r="H368" t="e">
        <f ca="1">BDP("13013JGL Muni","MUNI_TAX_PROV")</f>
        <v>#NAME?</v>
      </c>
      <c r="I368" t="e">
        <f ca="1">BDP("13013JGL Muni","FINANCING_TYPE")</f>
        <v>#NAME?</v>
      </c>
      <c r="J368" t="e">
        <f ca="1">BDP("13013JGL Muni","BICS_LEVEL_2_INDUSTRY_GROUP_NAME")</f>
        <v>#NAME?</v>
      </c>
      <c r="K368" t="e">
        <f ca="1">BDP("13013JGL Muni","SELF_REPRTD_GREEN_INSTR_INDCTR")</f>
        <v>#NAME?</v>
      </c>
      <c r="L368" t="e">
        <f ca="1">BDP("13013JGL Muni","GB_MANAGEMENT_PROCEEDS")</f>
        <v>#NAME?</v>
      </c>
      <c r="M368" t="e">
        <f ca="1">BDP("13013JGL Muni","GB_REPORTING")</f>
        <v>#NAME?</v>
      </c>
      <c r="N368" t="e">
        <f ca="1">BDP("13013JGL Muni","GB_ASSURANCE_PROVIDERS")</f>
        <v>#NAME?</v>
      </c>
      <c r="O368" t="e">
        <f ca="1">BDP("13013JGL Muni","GB_PROJECT_SELECTION_PROCESS")</f>
        <v>#NAME?</v>
      </c>
      <c r="P368" t="e">
        <f ca="1">BDP("13013JGL Muni","ESG_FRAMEWORK_INDICATOR")</f>
        <v>#NAME?</v>
      </c>
      <c r="Q368" t="e">
        <f ca="1">BDP("13013JGL Muni","BLOOMBERG_SECTOR_CODE")</f>
        <v>#NAME?</v>
      </c>
      <c r="R368" t="e">
        <f ca="1">BDP("13013JGL Muni","ISSUER_TYPE")</f>
        <v>#NAME?</v>
      </c>
      <c r="S368" t="e">
        <f ca="1">BDS("13013JGL Muni","ESG_PROJECT_CATEGORY", "aggregate=y")</f>
        <v>#NAME?</v>
      </c>
      <c r="T368" t="e">
        <f ca="1">BDS("13013JGL Muni","ESG_PROJECT_SUBCATEGORY", "aggregate=y")</f>
        <v>#NAME?</v>
      </c>
    </row>
    <row r="369" spans="1:20" x14ac:dyDescent="0.25">
      <c r="A369" t="e">
        <f ca="1">BDP("13034A7M Muni","ID_CUSIP")</f>
        <v>#NAME?</v>
      </c>
      <c r="B369" t="e">
        <f ca="1">BDP("13034A7M Muni","STATE_CODE")</f>
        <v>#NAME?</v>
      </c>
      <c r="C369" t="s">
        <v>27</v>
      </c>
      <c r="D369" t="e">
        <f ca="1">BDP("13034A7M Muni","YIELD_ON_ISSUE_DATE")</f>
        <v>#NAME?</v>
      </c>
      <c r="E369">
        <v>15230000</v>
      </c>
      <c r="F369" t="e">
        <f ca="1">BDP("13034A7M Muni","ISSUE_DT")</f>
        <v>#NAME?</v>
      </c>
      <c r="G369" t="e">
        <f ca="1">BDP("13034A7M Muni","MATURITY")</f>
        <v>#NAME?</v>
      </c>
      <c r="H369" t="e">
        <f ca="1">BDP("13034A7M Muni","MUNI_TAX_PROV")</f>
        <v>#NAME?</v>
      </c>
      <c r="I369" t="e">
        <f ca="1">BDP("13034A7M Muni","FINANCING_TYPE")</f>
        <v>#NAME?</v>
      </c>
      <c r="J369" t="e">
        <f ca="1">BDP("13034A7M Muni","BICS_LEVEL_2_INDUSTRY_GROUP_NAME")</f>
        <v>#NAME?</v>
      </c>
      <c r="K369" t="e">
        <f ca="1">BDP("13034A7M Muni","SELF_REPRTD_GREEN_INSTR_INDCTR")</f>
        <v>#NAME?</v>
      </c>
      <c r="L369" t="e">
        <f ca="1">BDP("13034A7M Muni","GB_MANAGEMENT_PROCEEDS")</f>
        <v>#NAME?</v>
      </c>
      <c r="M369" t="e">
        <f ca="1">BDP("13034A7M Muni","GB_REPORTING")</f>
        <v>#NAME?</v>
      </c>
      <c r="N369" t="e">
        <f ca="1">BDP("13034A7M Muni","GB_ASSURANCE_PROVIDERS")</f>
        <v>#NAME?</v>
      </c>
      <c r="O369" t="e">
        <f ca="1">BDP("13034A7M Muni","GB_PROJECT_SELECTION_PROCESS")</f>
        <v>#NAME?</v>
      </c>
      <c r="P369" t="e">
        <f ca="1">BDP("13034A7M Muni","ESG_FRAMEWORK_INDICATOR")</f>
        <v>#NAME?</v>
      </c>
      <c r="Q369" t="e">
        <f ca="1">BDP("13034A7M Muni","BLOOMBERG_SECTOR_CODE")</f>
        <v>#NAME?</v>
      </c>
      <c r="R369" t="e">
        <f ca="1">BDP("13034A7M Muni","ISSUER_TYPE")</f>
        <v>#NAME?</v>
      </c>
      <c r="S369" t="e">
        <f ca="1">BDS("13034A7M Muni","ESG_PROJECT_CATEGORY", "aggregate=y")</f>
        <v>#NAME?</v>
      </c>
      <c r="T369" t="e">
        <f ca="1">BDS("13034A7M Muni","ESG_PROJECT_SUBCATEGORY", "aggregate=y")</f>
        <v>#NAME?</v>
      </c>
    </row>
    <row r="370" spans="1:20" x14ac:dyDescent="0.25">
      <c r="A370" t="e">
        <f ca="1">BDP("5444452X Muni","ID_CUSIP")</f>
        <v>#NAME?</v>
      </c>
      <c r="B370" t="e">
        <f ca="1">BDP("5444452X Muni","STATE_CODE")</f>
        <v>#NAME?</v>
      </c>
      <c r="C370" t="s">
        <v>34</v>
      </c>
      <c r="D370" t="e">
        <f ca="1">BDP("5444452X Muni","YIELD_ON_ISSUE_DATE")</f>
        <v>#NAME?</v>
      </c>
      <c r="E370">
        <v>40710000</v>
      </c>
      <c r="F370" t="e">
        <f ca="1">BDP("5444452X Muni","ISSUE_DT")</f>
        <v>#NAME?</v>
      </c>
      <c r="G370" t="e">
        <f ca="1">BDP("5444452X Muni","MATURITY")</f>
        <v>#NAME?</v>
      </c>
      <c r="H370" t="e">
        <f ca="1">BDP("5444452X Muni","MUNI_TAX_PROV")</f>
        <v>#NAME?</v>
      </c>
      <c r="I370" t="e">
        <f ca="1">BDP("5444452X Muni","FINANCING_TYPE")</f>
        <v>#NAME?</v>
      </c>
      <c r="J370" t="e">
        <f ca="1">BDP("5444452X Muni","BICS_LEVEL_2_INDUSTRY_GROUP_NAME")</f>
        <v>#NAME?</v>
      </c>
      <c r="K370" t="e">
        <f ca="1">BDP("5444452X Muni","SELF_REPRTD_GREEN_INSTR_INDCTR")</f>
        <v>#NAME?</v>
      </c>
      <c r="L370" t="e">
        <f ca="1">BDP("5444452X Muni","GB_MANAGEMENT_PROCEEDS")</f>
        <v>#NAME?</v>
      </c>
      <c r="M370" t="e">
        <f ca="1">BDP("5444452X Muni","GB_REPORTING")</f>
        <v>#NAME?</v>
      </c>
      <c r="N370" t="e">
        <f ca="1">BDP("5444452X Muni","GB_ASSURANCE_PROVIDERS")</f>
        <v>#NAME?</v>
      </c>
      <c r="O370" t="e">
        <f ca="1">BDP("5444452X Muni","GB_PROJECT_SELECTION_PROCESS")</f>
        <v>#NAME?</v>
      </c>
      <c r="P370" t="e">
        <f ca="1">BDP("5444452X Muni","ESG_FRAMEWORK_INDICATOR")</f>
        <v>#NAME?</v>
      </c>
      <c r="Q370" t="e">
        <f ca="1">BDP("5444452X Muni","BLOOMBERG_SECTOR_CODE")</f>
        <v>#NAME?</v>
      </c>
      <c r="R370" t="e">
        <f ca="1">BDP("5444452X Muni","ISSUER_TYPE")</f>
        <v>#NAME?</v>
      </c>
      <c r="S370" t="e">
        <f ca="1">BDS("5444452X Muni","ESG_PROJECT_CATEGORY", "aggregate=y")</f>
        <v>#NAME?</v>
      </c>
      <c r="T370" t="e">
        <f ca="1">BDS("5444452X Muni","ESG_PROJECT_SUBCATEGORY", "aggregate=y")</f>
        <v>#NAME?</v>
      </c>
    </row>
    <row r="371" spans="1:20" x14ac:dyDescent="0.25">
      <c r="A371" t="e">
        <f ca="1">BDP("5444455S Muni","ID_CUSIP")</f>
        <v>#NAME?</v>
      </c>
      <c r="B371" t="e">
        <f ca="1">BDP("5444455S Muni","STATE_CODE")</f>
        <v>#NAME?</v>
      </c>
      <c r="C371" t="s">
        <v>34</v>
      </c>
      <c r="D371" t="e">
        <f ca="1">BDP("5444455S Muni","YIELD_ON_ISSUE_DATE")</f>
        <v>#NAME?</v>
      </c>
      <c r="E371">
        <v>24715000</v>
      </c>
      <c r="F371" t="e">
        <f ca="1">BDP("5444455S Muni","ISSUE_DT")</f>
        <v>#NAME?</v>
      </c>
      <c r="G371" t="e">
        <f ca="1">BDP("5444455S Muni","MATURITY")</f>
        <v>#NAME?</v>
      </c>
      <c r="H371" t="e">
        <f ca="1">BDP("5444455S Muni","MUNI_TAX_PROV")</f>
        <v>#NAME?</v>
      </c>
      <c r="I371" t="e">
        <f ca="1">BDP("5444455S Muni","FINANCING_TYPE")</f>
        <v>#NAME?</v>
      </c>
      <c r="J371" t="e">
        <f ca="1">BDP("5444455S Muni","BICS_LEVEL_2_INDUSTRY_GROUP_NAME")</f>
        <v>#NAME?</v>
      </c>
      <c r="K371" t="e">
        <f ca="1">BDP("5444455S Muni","SELF_REPRTD_GREEN_INSTR_INDCTR")</f>
        <v>#NAME?</v>
      </c>
      <c r="L371" t="e">
        <f ca="1">BDP("5444455S Muni","GB_MANAGEMENT_PROCEEDS")</f>
        <v>#NAME?</v>
      </c>
      <c r="M371" t="e">
        <f ca="1">BDP("5444455S Muni","GB_REPORTING")</f>
        <v>#NAME?</v>
      </c>
      <c r="N371" t="e">
        <f ca="1">BDP("5444455S Muni","GB_ASSURANCE_PROVIDERS")</f>
        <v>#NAME?</v>
      </c>
      <c r="O371" t="e">
        <f ca="1">BDP("5444455S Muni","GB_PROJECT_SELECTION_PROCESS")</f>
        <v>#NAME?</v>
      </c>
      <c r="P371" t="e">
        <f ca="1">BDP("5444455S Muni","ESG_FRAMEWORK_INDICATOR")</f>
        <v>#NAME?</v>
      </c>
      <c r="Q371" t="e">
        <f ca="1">BDP("5444455S Muni","BLOOMBERG_SECTOR_CODE")</f>
        <v>#NAME?</v>
      </c>
      <c r="R371" t="e">
        <f ca="1">BDP("5444455S Muni","ISSUER_TYPE")</f>
        <v>#NAME?</v>
      </c>
      <c r="S371" t="e">
        <f ca="1">BDS("5444455S Muni","ESG_PROJECT_CATEGORY", "aggregate=y")</f>
        <v>#NAME?</v>
      </c>
      <c r="T371" t="e">
        <f ca="1">BDS("5444455S Muni","ESG_PROJECT_SUBCATEGORY", "aggregate=y")</f>
        <v>#NAME?</v>
      </c>
    </row>
    <row r="372" spans="1:20" x14ac:dyDescent="0.25">
      <c r="A372" t="e">
        <f ca="1">BDP("786005N3 Muni","ID_CUSIP")</f>
        <v>#NAME?</v>
      </c>
      <c r="B372" t="e">
        <f ca="1">BDP("786005N3 Muni","STATE_CODE")</f>
        <v>#NAME?</v>
      </c>
      <c r="C372" t="s">
        <v>35</v>
      </c>
      <c r="D372" t="e">
        <f ca="1">BDP("786005N3 Muni","YIELD_ON_ISSUE_DATE")</f>
        <v>#NAME?</v>
      </c>
      <c r="E372">
        <v>12930000</v>
      </c>
      <c r="F372" t="e">
        <f ca="1">BDP("786005N3 Muni","ISSUE_DT")</f>
        <v>#NAME?</v>
      </c>
      <c r="G372" t="e">
        <f ca="1">BDP("786005N3 Muni","MATURITY")</f>
        <v>#NAME?</v>
      </c>
      <c r="H372" t="e">
        <f ca="1">BDP("786005N3 Muni","MUNI_TAX_PROV")</f>
        <v>#NAME?</v>
      </c>
      <c r="I372" t="e">
        <f ca="1">BDP("786005N3 Muni","FINANCING_TYPE")</f>
        <v>#NAME?</v>
      </c>
      <c r="J372" t="e">
        <f ca="1">BDP("786005N3 Muni","BICS_LEVEL_2_INDUSTRY_GROUP_NAME")</f>
        <v>#NAME?</v>
      </c>
      <c r="K372" t="e">
        <f ca="1">BDP("786005N3 Muni","SELF_REPRTD_GREEN_INSTR_INDCTR")</f>
        <v>#NAME?</v>
      </c>
      <c r="L372" t="e">
        <f ca="1">BDP("786005N3 Muni","GB_MANAGEMENT_PROCEEDS")</f>
        <v>#NAME?</v>
      </c>
      <c r="M372" t="e">
        <f ca="1">BDP("786005N3 Muni","GB_REPORTING")</f>
        <v>#NAME?</v>
      </c>
      <c r="N372" t="e">
        <f ca="1">BDP("786005N3 Muni","GB_ASSURANCE_PROVIDERS")</f>
        <v>#NAME?</v>
      </c>
      <c r="O372" t="e">
        <f ca="1">BDP("786005N3 Muni","GB_PROJECT_SELECTION_PROCESS")</f>
        <v>#NAME?</v>
      </c>
      <c r="P372" t="e">
        <f ca="1">BDP("786005N3 Muni","ESG_FRAMEWORK_INDICATOR")</f>
        <v>#NAME?</v>
      </c>
      <c r="Q372" t="e">
        <f ca="1">BDP("786005N3 Muni","BLOOMBERG_SECTOR_CODE")</f>
        <v>#NAME?</v>
      </c>
      <c r="R372" t="e">
        <f ca="1">BDP("786005N3 Muni","ISSUER_TYPE")</f>
        <v>#NAME?</v>
      </c>
      <c r="S372" t="e">
        <f ca="1">BDS("786005N3 Muni","ESG_PROJECT_CATEGORY", "aggregate=y")</f>
        <v>#NAME?</v>
      </c>
      <c r="T372" t="e">
        <f ca="1">BDS("786005N3 Muni","ESG_PROJECT_SUBCATEGORY", "aggregate=y")</f>
        <v>#NAME?</v>
      </c>
    </row>
    <row r="373" spans="1:20" x14ac:dyDescent="0.25">
      <c r="A373" t="e">
        <f ca="1">BDP("797661F2 Muni","ID_CUSIP")</f>
        <v>#NAME?</v>
      </c>
      <c r="B373" t="e">
        <f ca="1">BDP("797661F2 Muni","STATE_CODE")</f>
        <v>#NAME?</v>
      </c>
      <c r="C373" t="s">
        <v>36</v>
      </c>
      <c r="D373" t="e">
        <f ca="1">BDP("797661F2 Muni","YIELD_ON_ISSUE_DATE")</f>
        <v>#NAME?</v>
      </c>
      <c r="E373">
        <v>40245000</v>
      </c>
      <c r="F373" t="e">
        <f ca="1">BDP("797661F2 Muni","ISSUE_DT")</f>
        <v>#NAME?</v>
      </c>
      <c r="G373" t="e">
        <f ca="1">BDP("797661F2 Muni","MATURITY")</f>
        <v>#NAME?</v>
      </c>
      <c r="H373" t="e">
        <f ca="1">BDP("797661F2 Muni","MUNI_TAX_PROV")</f>
        <v>#NAME?</v>
      </c>
      <c r="I373" t="e">
        <f ca="1">BDP("797661F2 Muni","FINANCING_TYPE")</f>
        <v>#NAME?</v>
      </c>
      <c r="J373" t="e">
        <f ca="1">BDP("797661F2 Muni","BICS_LEVEL_2_INDUSTRY_GROUP_NAME")</f>
        <v>#NAME?</v>
      </c>
      <c r="K373" t="e">
        <f ca="1">BDP("797661F2 Muni","SELF_REPRTD_GREEN_INSTR_INDCTR")</f>
        <v>#NAME?</v>
      </c>
      <c r="L373" t="e">
        <f ca="1">BDP("797661F2 Muni","GB_MANAGEMENT_PROCEEDS")</f>
        <v>#NAME?</v>
      </c>
      <c r="M373" t="e">
        <f ca="1">BDP("797661F2 Muni","GB_REPORTING")</f>
        <v>#NAME?</v>
      </c>
      <c r="N373" t="e">
        <f ca="1">BDP("797661F2 Muni","GB_ASSURANCE_PROVIDERS")</f>
        <v>#NAME?</v>
      </c>
      <c r="O373" t="e">
        <f ca="1">BDP("797661F2 Muni","GB_PROJECT_SELECTION_PROCESS")</f>
        <v>#NAME?</v>
      </c>
      <c r="P373" t="e">
        <f ca="1">BDP("797661F2 Muni","ESG_FRAMEWORK_INDICATOR")</f>
        <v>#NAME?</v>
      </c>
      <c r="Q373" t="e">
        <f ca="1">BDP("797661F2 Muni","BLOOMBERG_SECTOR_CODE")</f>
        <v>#NAME?</v>
      </c>
      <c r="R373" t="e">
        <f ca="1">BDP("797661F2 Muni","ISSUER_TYPE")</f>
        <v>#NAME?</v>
      </c>
      <c r="S373" t="e">
        <f ca="1">BDS("797661F2 Muni","ESG_PROJECT_CATEGORY", "aggregate=y")</f>
        <v>#NAME?</v>
      </c>
      <c r="T373" t="e">
        <f ca="1">BDS("797661F2 Muni","ESG_PROJECT_SUBCATEGORY", "aggregate=y")</f>
        <v>#NAME?</v>
      </c>
    </row>
    <row r="374" spans="1:20" x14ac:dyDescent="0.25">
      <c r="A374" t="e">
        <f ca="1">BDP("88035PHT Muni","ID_CUSIP")</f>
        <v>#NAME?</v>
      </c>
      <c r="B374" t="e">
        <f ca="1">BDP("88035PHT Muni","STATE_CODE")</f>
        <v>#NAME?</v>
      </c>
      <c r="C374" t="s">
        <v>25</v>
      </c>
      <c r="D374" t="e">
        <f ca="1">BDP("88035PHT Muni","YIELD_ON_ISSUE_DATE")</f>
        <v>#NAME?</v>
      </c>
      <c r="E374">
        <v>13850000</v>
      </c>
      <c r="F374" t="e">
        <f ca="1">BDP("88035PHT Muni","ISSUE_DT")</f>
        <v>#NAME?</v>
      </c>
      <c r="G374" t="e">
        <f ca="1">BDP("88035PHT Muni","MATURITY")</f>
        <v>#NAME?</v>
      </c>
      <c r="H374" t="e">
        <f ca="1">BDP("88035PHT Muni","MUNI_TAX_PROV")</f>
        <v>#NAME?</v>
      </c>
      <c r="I374" t="e">
        <f ca="1">BDP("88035PHT Muni","FINANCING_TYPE")</f>
        <v>#NAME?</v>
      </c>
      <c r="J374" t="e">
        <f ca="1">BDP("88035PHT Muni","BICS_LEVEL_2_INDUSTRY_GROUP_NAME")</f>
        <v>#NAME?</v>
      </c>
      <c r="K374" t="e">
        <f ca="1">BDP("88035PHT Muni","SELF_REPRTD_GREEN_INSTR_INDCTR")</f>
        <v>#NAME?</v>
      </c>
      <c r="L374" t="e">
        <f ca="1">BDP("88035PHT Muni","GB_MANAGEMENT_PROCEEDS")</f>
        <v>#NAME?</v>
      </c>
      <c r="M374" t="e">
        <f ca="1">BDP("88035PHT Muni","GB_REPORTING")</f>
        <v>#NAME?</v>
      </c>
      <c r="N374" t="e">
        <f ca="1">BDP("88035PHT Muni","GB_ASSURANCE_PROVIDERS")</f>
        <v>#NAME?</v>
      </c>
      <c r="O374" t="e">
        <f ca="1">BDP("88035PHT Muni","GB_PROJECT_SELECTION_PROCESS")</f>
        <v>#NAME?</v>
      </c>
      <c r="P374" t="e">
        <f ca="1">BDP("88035PHT Muni","ESG_FRAMEWORK_INDICATOR")</f>
        <v>#NAME?</v>
      </c>
      <c r="Q374" t="e">
        <f ca="1">BDP("88035PHT Muni","BLOOMBERG_SECTOR_CODE")</f>
        <v>#NAME?</v>
      </c>
      <c r="R374" t="e">
        <f ca="1">BDP("88035PHT Muni","ISSUER_TYPE")</f>
        <v>#NAME?</v>
      </c>
      <c r="S374" t="e">
        <f ca="1">BDS("88035PHT Muni","ESG_PROJECT_CATEGORY", "aggregate=y")</f>
        <v>#NAME?</v>
      </c>
      <c r="T374" t="e">
        <f ca="1">BDS("88035PHT Muni","ESG_PROJECT_SUBCATEGORY", "aggregate=y")</f>
        <v>#NAME?</v>
      </c>
    </row>
    <row r="375" spans="1:20" x14ac:dyDescent="0.25">
      <c r="A375" t="e">
        <f ca="1">BDP("88035PMQ Muni","ID_CUSIP")</f>
        <v>#NAME?</v>
      </c>
      <c r="B375" t="e">
        <f ca="1">BDP("88035PMQ Muni","STATE_CODE")</f>
        <v>#NAME?</v>
      </c>
      <c r="C375" t="s">
        <v>25</v>
      </c>
      <c r="D375" t="e">
        <f ca="1">BDP("88035PMQ Muni","YIELD_ON_ISSUE_DATE")</f>
        <v>#NAME?</v>
      </c>
      <c r="E375">
        <v>8000000</v>
      </c>
      <c r="F375" t="e">
        <f ca="1">BDP("88035PMQ Muni","ISSUE_DT")</f>
        <v>#NAME?</v>
      </c>
      <c r="G375" t="e">
        <f ca="1">BDP("88035PMQ Muni","MATURITY")</f>
        <v>#NAME?</v>
      </c>
      <c r="H375" t="e">
        <f ca="1">BDP("88035PMQ Muni","MUNI_TAX_PROV")</f>
        <v>#NAME?</v>
      </c>
      <c r="I375" t="e">
        <f ca="1">BDP("88035PMQ Muni","FINANCING_TYPE")</f>
        <v>#NAME?</v>
      </c>
      <c r="J375" t="e">
        <f ca="1">BDP("88035PMQ Muni","BICS_LEVEL_2_INDUSTRY_GROUP_NAME")</f>
        <v>#NAME?</v>
      </c>
      <c r="K375" t="e">
        <f ca="1">BDP("88035PMQ Muni","SELF_REPRTD_GREEN_INSTR_INDCTR")</f>
        <v>#NAME?</v>
      </c>
      <c r="L375" t="e">
        <f ca="1">BDP("88035PMQ Muni","GB_MANAGEMENT_PROCEEDS")</f>
        <v>#NAME?</v>
      </c>
      <c r="M375" t="e">
        <f ca="1">BDP("88035PMQ Muni","GB_REPORTING")</f>
        <v>#NAME?</v>
      </c>
      <c r="N375" t="e">
        <f ca="1">BDP("88035PMQ Muni","GB_ASSURANCE_PROVIDERS")</f>
        <v>#NAME?</v>
      </c>
      <c r="O375" t="e">
        <f ca="1">BDP("88035PMQ Muni","GB_PROJECT_SELECTION_PROCESS")</f>
        <v>#NAME?</v>
      </c>
      <c r="P375" t="e">
        <f ca="1">BDP("88035PMQ Muni","ESG_FRAMEWORK_INDICATOR")</f>
        <v>#NAME?</v>
      </c>
      <c r="Q375" t="e">
        <f ca="1">BDP("88035PMQ Muni","BLOOMBERG_SECTOR_CODE")</f>
        <v>#NAME?</v>
      </c>
      <c r="R375" t="e">
        <f ca="1">BDP("88035PMQ Muni","ISSUER_TYPE")</f>
        <v>#NAME?</v>
      </c>
      <c r="S375" t="e">
        <f ca="1">BDS("88035PMQ Muni","ESG_PROJECT_CATEGORY", "aggregate=y")</f>
        <v>#NAME?</v>
      </c>
      <c r="T375" t="e">
        <f ca="1">BDS("88035PMQ Muni","ESG_PROJECT_SUBCATEGORY", "aggregate=y")</f>
        <v>#NAME?</v>
      </c>
    </row>
    <row r="376" spans="1:20" x14ac:dyDescent="0.25">
      <c r="A376" t="e">
        <f ca="1">BDP("88035R5D Muni","ID_CUSIP")</f>
        <v>#NAME?</v>
      </c>
      <c r="B376" t="e">
        <f ca="1">BDP("88035R5D Muni","STATE_CODE")</f>
        <v>#NAME?</v>
      </c>
      <c r="C376" t="s">
        <v>25</v>
      </c>
      <c r="D376" t="e">
        <f ca="1">BDP("88035R5D Muni","YIELD_ON_ISSUE_DATE")</f>
        <v>#NAME?</v>
      </c>
      <c r="E376">
        <v>10000000</v>
      </c>
      <c r="F376" t="e">
        <f ca="1">BDP("88035R5D Muni","ISSUE_DT")</f>
        <v>#NAME?</v>
      </c>
      <c r="G376" t="e">
        <f ca="1">BDP("88035R5D Muni","MATURITY")</f>
        <v>#NAME?</v>
      </c>
      <c r="H376" t="e">
        <f ca="1">BDP("88035R5D Muni","MUNI_TAX_PROV")</f>
        <v>#NAME?</v>
      </c>
      <c r="I376" t="e">
        <f ca="1">BDP("88035R5D Muni","FINANCING_TYPE")</f>
        <v>#NAME?</v>
      </c>
      <c r="J376" t="e">
        <f ca="1">BDP("88035R5D Muni","BICS_LEVEL_2_INDUSTRY_GROUP_NAME")</f>
        <v>#NAME?</v>
      </c>
      <c r="K376" t="e">
        <f ca="1">BDP("88035R5D Muni","SELF_REPRTD_GREEN_INSTR_INDCTR")</f>
        <v>#NAME?</v>
      </c>
      <c r="L376" t="e">
        <f ca="1">BDP("88035R5D Muni","GB_MANAGEMENT_PROCEEDS")</f>
        <v>#NAME?</v>
      </c>
      <c r="M376" t="e">
        <f ca="1">BDP("88035R5D Muni","GB_REPORTING")</f>
        <v>#NAME?</v>
      </c>
      <c r="N376" t="e">
        <f ca="1">BDP("88035R5D Muni","GB_ASSURANCE_PROVIDERS")</f>
        <v>#NAME?</v>
      </c>
      <c r="O376" t="e">
        <f ca="1">BDP("88035R5D Muni","GB_PROJECT_SELECTION_PROCESS")</f>
        <v>#NAME?</v>
      </c>
      <c r="P376" t="e">
        <f ca="1">BDP("88035R5D Muni","ESG_FRAMEWORK_INDICATOR")</f>
        <v>#NAME?</v>
      </c>
      <c r="Q376" t="e">
        <f ca="1">BDP("88035R5D Muni","BLOOMBERG_SECTOR_CODE")</f>
        <v>#NAME?</v>
      </c>
      <c r="R376" t="e">
        <f ca="1">BDP("88035R5D Muni","ISSUER_TYPE")</f>
        <v>#NAME?</v>
      </c>
      <c r="S376" t="e">
        <f ca="1">BDS("88035R5D Muni","ESG_PROJECT_CATEGORY", "aggregate=y")</f>
        <v>#NAME?</v>
      </c>
      <c r="T376" t="e">
        <f ca="1">BDS("88035R5D Muni","ESG_PROJECT_SUBCATEGORY", "aggregate=y")</f>
        <v>#NAME?</v>
      </c>
    </row>
    <row r="377" spans="1:20" x14ac:dyDescent="0.25">
      <c r="A377" t="e">
        <f ca="1">BDP("88035RMG Muni","ID_CUSIP")</f>
        <v>#NAME?</v>
      </c>
      <c r="B377" t="e">
        <f ca="1">BDP("88035RMG Muni","STATE_CODE")</f>
        <v>#NAME?</v>
      </c>
      <c r="C377" t="s">
        <v>25</v>
      </c>
      <c r="D377" t="e">
        <f ca="1">BDP("88035RMG Muni","YIELD_ON_ISSUE_DATE")</f>
        <v>#NAME?</v>
      </c>
      <c r="E377">
        <v>6000000</v>
      </c>
      <c r="F377" t="e">
        <f ca="1">BDP("88035RMG Muni","ISSUE_DT")</f>
        <v>#NAME?</v>
      </c>
      <c r="G377" t="e">
        <f ca="1">BDP("88035RMG Muni","MATURITY")</f>
        <v>#NAME?</v>
      </c>
      <c r="H377" t="e">
        <f ca="1">BDP("88035RMG Muni","MUNI_TAX_PROV")</f>
        <v>#NAME?</v>
      </c>
      <c r="I377" t="e">
        <f ca="1">BDP("88035RMG Muni","FINANCING_TYPE")</f>
        <v>#NAME?</v>
      </c>
      <c r="J377" t="e">
        <f ca="1">BDP("88035RMG Muni","BICS_LEVEL_2_INDUSTRY_GROUP_NAME")</f>
        <v>#NAME?</v>
      </c>
      <c r="K377" t="e">
        <f ca="1">BDP("88035RMG Muni","SELF_REPRTD_GREEN_INSTR_INDCTR")</f>
        <v>#NAME?</v>
      </c>
      <c r="L377" t="e">
        <f ca="1">BDP("88035RMG Muni","GB_MANAGEMENT_PROCEEDS")</f>
        <v>#NAME?</v>
      </c>
      <c r="M377" t="e">
        <f ca="1">BDP("88035RMG Muni","GB_REPORTING")</f>
        <v>#NAME?</v>
      </c>
      <c r="N377" t="e">
        <f ca="1">BDP("88035RMG Muni","GB_ASSURANCE_PROVIDERS")</f>
        <v>#NAME?</v>
      </c>
      <c r="O377" t="e">
        <f ca="1">BDP("88035RMG Muni","GB_PROJECT_SELECTION_PROCESS")</f>
        <v>#NAME?</v>
      </c>
      <c r="P377" t="e">
        <f ca="1">BDP("88035RMG Muni","ESG_FRAMEWORK_INDICATOR")</f>
        <v>#NAME?</v>
      </c>
      <c r="Q377" t="e">
        <f ca="1">BDP("88035RMG Muni","BLOOMBERG_SECTOR_CODE")</f>
        <v>#NAME?</v>
      </c>
      <c r="R377" t="e">
        <f ca="1">BDP("88035RMG Muni","ISSUER_TYPE")</f>
        <v>#NAME?</v>
      </c>
      <c r="S377" t="e">
        <f ca="1">BDS("88035RMG Muni","ESG_PROJECT_CATEGORY", "aggregate=y")</f>
        <v>#NAME?</v>
      </c>
      <c r="T377" t="e">
        <f ca="1">BDS("88035RMG Muni","ESG_PROJECT_SUBCATEGORY", "aggregate=y")</f>
        <v>#NAME?</v>
      </c>
    </row>
    <row r="378" spans="1:20" x14ac:dyDescent="0.25">
      <c r="A378" t="e">
        <f ca="1">BDP("072024J6 Muni","ID_CUSIP")</f>
        <v>#NAME?</v>
      </c>
      <c r="B378" t="e">
        <f ca="1">BDP("072024J6 Muni","STATE_CODE")</f>
        <v>#NAME?</v>
      </c>
      <c r="C378" t="s">
        <v>39</v>
      </c>
      <c r="D378" t="e">
        <f ca="1">BDP("072024J6 Muni","YIELD_ON_ISSUE_DATE")</f>
        <v>#NAME?</v>
      </c>
      <c r="E378">
        <v>26060000</v>
      </c>
      <c r="F378" t="e">
        <f ca="1">BDP("072024J6 Muni","ISSUE_DT")</f>
        <v>#NAME?</v>
      </c>
      <c r="G378" t="e">
        <f ca="1">BDP("072024J6 Muni","MATURITY")</f>
        <v>#NAME?</v>
      </c>
      <c r="H378" t="e">
        <f ca="1">BDP("072024J6 Muni","MUNI_TAX_PROV")</f>
        <v>#NAME?</v>
      </c>
      <c r="I378" t="e">
        <f ca="1">BDP("072024J6 Muni","FINANCING_TYPE")</f>
        <v>#NAME?</v>
      </c>
      <c r="J378" t="e">
        <f ca="1">BDP("072024J6 Muni","BICS_LEVEL_2_INDUSTRY_GROUP_NAME")</f>
        <v>#NAME?</v>
      </c>
      <c r="K378" t="e">
        <f ca="1">BDP("072024J6 Muni","SELF_REPRTD_GREEN_INSTR_INDCTR")</f>
        <v>#NAME?</v>
      </c>
      <c r="L378" t="e">
        <f ca="1">BDP("072024J6 Muni","GB_MANAGEMENT_PROCEEDS")</f>
        <v>#NAME?</v>
      </c>
      <c r="M378" t="e">
        <f ca="1">BDP("072024J6 Muni","GB_REPORTING")</f>
        <v>#NAME?</v>
      </c>
      <c r="N378" t="e">
        <f ca="1">BDP("072024J6 Muni","GB_ASSURANCE_PROVIDERS")</f>
        <v>#NAME?</v>
      </c>
      <c r="O378" t="e">
        <f ca="1">BDP("072024J6 Muni","GB_PROJECT_SELECTION_PROCESS")</f>
        <v>#NAME?</v>
      </c>
      <c r="P378" t="e">
        <f ca="1">BDP("072024J6 Muni","ESG_FRAMEWORK_INDICATOR")</f>
        <v>#NAME?</v>
      </c>
      <c r="Q378" t="e">
        <f ca="1">BDP("072024J6 Muni","BLOOMBERG_SECTOR_CODE")</f>
        <v>#NAME?</v>
      </c>
      <c r="R378" t="e">
        <f ca="1">BDP("072024J6 Muni","ISSUER_TYPE")</f>
        <v>#NAME?</v>
      </c>
      <c r="S378" t="e">
        <f ca="1">BDS("072024J6 Muni","ESG_PROJECT_CATEGORY", "aggregate=y")</f>
        <v>#NAME?</v>
      </c>
      <c r="T378" t="e">
        <f ca="1">BDS("072024J6 Muni","ESG_PROJECT_SUBCATEGORY", "aggregate=y")</f>
        <v>#NAME?</v>
      </c>
    </row>
    <row r="379" spans="1:20" x14ac:dyDescent="0.25">
      <c r="A379" t="e">
        <f ca="1">BDP("13013JGU Muni","ID_CUSIP")</f>
        <v>#NAME?</v>
      </c>
      <c r="B379" t="e">
        <f ca="1">BDP("13013JGU Muni","STATE_CODE")</f>
        <v>#NAME?</v>
      </c>
      <c r="C379" t="s">
        <v>30</v>
      </c>
      <c r="D379" t="e">
        <f ca="1">BDP("13013JGU Muni","YIELD_ON_ISSUE_DATE")</f>
        <v>#NAME?</v>
      </c>
      <c r="E379">
        <v>6285000</v>
      </c>
      <c r="F379" t="e">
        <f ca="1">BDP("13013JGU Muni","ISSUE_DT")</f>
        <v>#NAME?</v>
      </c>
      <c r="G379" t="e">
        <f ca="1">BDP("13013JGU Muni","MATURITY")</f>
        <v>#NAME?</v>
      </c>
      <c r="H379" t="e">
        <f ca="1">BDP("13013JGU Muni","MUNI_TAX_PROV")</f>
        <v>#NAME?</v>
      </c>
      <c r="I379" t="e">
        <f ca="1">BDP("13013JGU Muni","FINANCING_TYPE")</f>
        <v>#NAME?</v>
      </c>
      <c r="J379" t="e">
        <f ca="1">BDP("13013JGU Muni","BICS_LEVEL_2_INDUSTRY_GROUP_NAME")</f>
        <v>#NAME?</v>
      </c>
      <c r="K379" t="e">
        <f ca="1">BDP("13013JGU Muni","SELF_REPRTD_GREEN_INSTR_INDCTR")</f>
        <v>#NAME?</v>
      </c>
      <c r="L379" t="e">
        <f ca="1">BDP("13013JGU Muni","GB_MANAGEMENT_PROCEEDS")</f>
        <v>#NAME?</v>
      </c>
      <c r="M379" t="e">
        <f ca="1">BDP("13013JGU Muni","GB_REPORTING")</f>
        <v>#NAME?</v>
      </c>
      <c r="N379" t="e">
        <f ca="1">BDP("13013JGU Muni","GB_ASSURANCE_PROVIDERS")</f>
        <v>#NAME?</v>
      </c>
      <c r="O379" t="e">
        <f ca="1">BDP("13013JGU Muni","GB_PROJECT_SELECTION_PROCESS")</f>
        <v>#NAME?</v>
      </c>
      <c r="P379" t="e">
        <f ca="1">BDP("13013JGU Muni","ESG_FRAMEWORK_INDICATOR")</f>
        <v>#NAME?</v>
      </c>
      <c r="Q379" t="e">
        <f ca="1">BDP("13013JGU Muni","BLOOMBERG_SECTOR_CODE")</f>
        <v>#NAME?</v>
      </c>
      <c r="R379" t="e">
        <f ca="1">BDP("13013JGU Muni","ISSUER_TYPE")</f>
        <v>#NAME?</v>
      </c>
      <c r="S379" t="e">
        <f ca="1">BDS("13013JGU Muni","ESG_PROJECT_CATEGORY", "aggregate=y")</f>
        <v>#NAME?</v>
      </c>
      <c r="T379" t="e">
        <f ca="1">BDS("13013JGU Muni","ESG_PROJECT_SUBCATEGORY", "aggregate=y")</f>
        <v>#NAME?</v>
      </c>
    </row>
    <row r="380" spans="1:20" x14ac:dyDescent="0.25">
      <c r="A380" t="e">
        <f ca="1">BDP("13034A7Z Muni","ID_CUSIP")</f>
        <v>#NAME?</v>
      </c>
      <c r="B380" t="e">
        <f ca="1">BDP("13034A7Z Muni","STATE_CODE")</f>
        <v>#NAME?</v>
      </c>
      <c r="C380" t="s">
        <v>27</v>
      </c>
      <c r="D380" t="e">
        <f ca="1">BDP("13034A7Z Muni","YIELD_ON_ISSUE_DATE")</f>
        <v>#NAME?</v>
      </c>
      <c r="E380">
        <v>27350000</v>
      </c>
      <c r="F380" t="e">
        <f ca="1">BDP("13034A7Z Muni","ISSUE_DT")</f>
        <v>#NAME?</v>
      </c>
      <c r="G380" t="e">
        <f ca="1">BDP("13034A7Z Muni","MATURITY")</f>
        <v>#NAME?</v>
      </c>
      <c r="H380" t="e">
        <f ca="1">BDP("13034A7Z Muni","MUNI_TAX_PROV")</f>
        <v>#NAME?</v>
      </c>
      <c r="I380" t="e">
        <f ca="1">BDP("13034A7Z Muni","FINANCING_TYPE")</f>
        <v>#NAME?</v>
      </c>
      <c r="J380" t="e">
        <f ca="1">BDP("13034A7Z Muni","BICS_LEVEL_2_INDUSTRY_GROUP_NAME")</f>
        <v>#NAME?</v>
      </c>
      <c r="K380" t="e">
        <f ca="1">BDP("13034A7Z Muni","SELF_REPRTD_GREEN_INSTR_INDCTR")</f>
        <v>#NAME?</v>
      </c>
      <c r="L380" t="e">
        <f ca="1">BDP("13034A7Z Muni","GB_MANAGEMENT_PROCEEDS")</f>
        <v>#NAME?</v>
      </c>
      <c r="M380" t="e">
        <f ca="1">BDP("13034A7Z Muni","GB_REPORTING")</f>
        <v>#NAME?</v>
      </c>
      <c r="N380" t="e">
        <f ca="1">BDP("13034A7Z Muni","GB_ASSURANCE_PROVIDERS")</f>
        <v>#NAME?</v>
      </c>
      <c r="O380" t="e">
        <f ca="1">BDP("13034A7Z Muni","GB_PROJECT_SELECTION_PROCESS")</f>
        <v>#NAME?</v>
      </c>
      <c r="P380" t="e">
        <f ca="1">BDP("13034A7Z Muni","ESG_FRAMEWORK_INDICATOR")</f>
        <v>#NAME?</v>
      </c>
      <c r="Q380" t="e">
        <f ca="1">BDP("13034A7Z Muni","BLOOMBERG_SECTOR_CODE")</f>
        <v>#NAME?</v>
      </c>
      <c r="R380" t="e">
        <f ca="1">BDP("13034A7Z Muni","ISSUER_TYPE")</f>
        <v>#NAME?</v>
      </c>
      <c r="S380" t="e">
        <f ca="1">BDS("13034A7Z Muni","ESG_PROJECT_CATEGORY", "aggregate=y")</f>
        <v>#NAME?</v>
      </c>
      <c r="T380" t="e">
        <f ca="1">BDS("13034A7Z Muni","ESG_PROJECT_SUBCATEGORY", "aggregate=y")</f>
        <v>#NAME?</v>
      </c>
    </row>
    <row r="381" spans="1:20" x14ac:dyDescent="0.25">
      <c r="A381" t="e">
        <f ca="1">BDP("271014S5 Muni","ID_CUSIP")</f>
        <v>#NAME?</v>
      </c>
      <c r="B381" t="e">
        <f ca="1">BDP("271014S5 Muni","STATE_CODE")</f>
        <v>#NAME?</v>
      </c>
      <c r="C381" t="s">
        <v>33</v>
      </c>
      <c r="D381" t="e">
        <f ca="1">BDP("271014S5 Muni","YIELD_ON_ISSUE_DATE")</f>
        <v>#NAME?</v>
      </c>
      <c r="E381">
        <v>10970000</v>
      </c>
      <c r="F381" t="e">
        <f ca="1">BDP("271014S5 Muni","ISSUE_DT")</f>
        <v>#NAME?</v>
      </c>
      <c r="G381" t="e">
        <f ca="1">BDP("271014S5 Muni","MATURITY")</f>
        <v>#NAME?</v>
      </c>
      <c r="H381" t="e">
        <f ca="1">BDP("271014S5 Muni","MUNI_TAX_PROV")</f>
        <v>#NAME?</v>
      </c>
      <c r="I381" t="e">
        <f ca="1">BDP("271014S5 Muni","FINANCING_TYPE")</f>
        <v>#NAME?</v>
      </c>
      <c r="J381" t="e">
        <f ca="1">BDP("271014S5 Muni","BICS_LEVEL_2_INDUSTRY_GROUP_NAME")</f>
        <v>#NAME?</v>
      </c>
      <c r="K381" t="e">
        <f ca="1">BDP("271014S5 Muni","SELF_REPRTD_GREEN_INSTR_INDCTR")</f>
        <v>#NAME?</v>
      </c>
      <c r="L381" t="e">
        <f ca="1">BDP("271014S5 Muni","GB_MANAGEMENT_PROCEEDS")</f>
        <v>#NAME?</v>
      </c>
      <c r="M381" t="e">
        <f ca="1">BDP("271014S5 Muni","GB_REPORTING")</f>
        <v>#NAME?</v>
      </c>
      <c r="N381" t="e">
        <f ca="1">BDP("271014S5 Muni","GB_ASSURANCE_PROVIDERS")</f>
        <v>#NAME?</v>
      </c>
      <c r="O381" t="e">
        <f ca="1">BDP("271014S5 Muni","GB_PROJECT_SELECTION_PROCESS")</f>
        <v>#NAME?</v>
      </c>
      <c r="P381" t="e">
        <f ca="1">BDP("271014S5 Muni","ESG_FRAMEWORK_INDICATOR")</f>
        <v>#NAME?</v>
      </c>
      <c r="Q381" t="e">
        <f ca="1">BDP("271014S5 Muni","BLOOMBERG_SECTOR_CODE")</f>
        <v>#NAME?</v>
      </c>
      <c r="R381" t="e">
        <f ca="1">BDP("271014S5 Muni","ISSUER_TYPE")</f>
        <v>#NAME?</v>
      </c>
      <c r="S381" t="e">
        <f ca="1">BDS("271014S5 Muni","ESG_PROJECT_CATEGORY", "aggregate=y")</f>
        <v>#NAME?</v>
      </c>
      <c r="T381" t="e">
        <f ca="1">BDS("271014S5 Muni","ESG_PROJECT_SUBCATEGORY", "aggregate=y")</f>
        <v>#NAME?</v>
      </c>
    </row>
    <row r="382" spans="1:20" x14ac:dyDescent="0.25">
      <c r="A382" t="e">
        <f ca="1">BDP("271014S8 Muni","ID_CUSIP")</f>
        <v>#NAME?</v>
      </c>
      <c r="B382" t="e">
        <f ca="1">BDP("271014S8 Muni","STATE_CODE")</f>
        <v>#NAME?</v>
      </c>
      <c r="C382" t="s">
        <v>33</v>
      </c>
      <c r="D382" t="e">
        <f ca="1">BDP("271014S8 Muni","YIELD_ON_ISSUE_DATE")</f>
        <v>#NAME?</v>
      </c>
      <c r="E382">
        <v>12695000</v>
      </c>
      <c r="F382" t="e">
        <f ca="1">BDP("271014S8 Muni","ISSUE_DT")</f>
        <v>#NAME?</v>
      </c>
      <c r="G382" t="e">
        <f ca="1">BDP("271014S8 Muni","MATURITY")</f>
        <v>#NAME?</v>
      </c>
      <c r="H382" t="e">
        <f ca="1">BDP("271014S8 Muni","MUNI_TAX_PROV")</f>
        <v>#NAME?</v>
      </c>
      <c r="I382" t="e">
        <f ca="1">BDP("271014S8 Muni","FINANCING_TYPE")</f>
        <v>#NAME?</v>
      </c>
      <c r="J382" t="e">
        <f ca="1">BDP("271014S8 Muni","BICS_LEVEL_2_INDUSTRY_GROUP_NAME")</f>
        <v>#NAME?</v>
      </c>
      <c r="K382" t="e">
        <f ca="1">BDP("271014S8 Muni","SELF_REPRTD_GREEN_INSTR_INDCTR")</f>
        <v>#NAME?</v>
      </c>
      <c r="L382" t="e">
        <f ca="1">BDP("271014S8 Muni","GB_MANAGEMENT_PROCEEDS")</f>
        <v>#NAME?</v>
      </c>
      <c r="M382" t="e">
        <f ca="1">BDP("271014S8 Muni","GB_REPORTING")</f>
        <v>#NAME?</v>
      </c>
      <c r="N382" t="e">
        <f ca="1">BDP("271014S8 Muni","GB_ASSURANCE_PROVIDERS")</f>
        <v>#NAME?</v>
      </c>
      <c r="O382" t="e">
        <f ca="1">BDP("271014S8 Muni","GB_PROJECT_SELECTION_PROCESS")</f>
        <v>#NAME?</v>
      </c>
      <c r="P382" t="e">
        <f ca="1">BDP("271014S8 Muni","ESG_FRAMEWORK_INDICATOR")</f>
        <v>#NAME?</v>
      </c>
      <c r="Q382" t="e">
        <f ca="1">BDP("271014S8 Muni","BLOOMBERG_SECTOR_CODE")</f>
        <v>#NAME?</v>
      </c>
      <c r="R382" t="e">
        <f ca="1">BDP("271014S8 Muni","ISSUER_TYPE")</f>
        <v>#NAME?</v>
      </c>
      <c r="S382" t="e">
        <f ca="1">BDS("271014S8 Muni","ESG_PROJECT_CATEGORY", "aggregate=y")</f>
        <v>#NAME?</v>
      </c>
      <c r="T382" t="e">
        <f ca="1">BDS("271014S8 Muni","ESG_PROJECT_SUBCATEGORY", "aggregate=y")</f>
        <v>#NAME?</v>
      </c>
    </row>
    <row r="383" spans="1:20" x14ac:dyDescent="0.25">
      <c r="A383" t="e">
        <f ca="1">BDP("5444452Z Muni","ID_CUSIP")</f>
        <v>#NAME?</v>
      </c>
      <c r="B383" t="e">
        <f ca="1">BDP("5444452Z Muni","STATE_CODE")</f>
        <v>#NAME?</v>
      </c>
      <c r="C383" t="s">
        <v>34</v>
      </c>
      <c r="D383" t="e">
        <f ca="1">BDP("5444452Z Muni","YIELD_ON_ISSUE_DATE")</f>
        <v>#NAME?</v>
      </c>
      <c r="E383">
        <v>45090000</v>
      </c>
      <c r="F383" t="e">
        <f ca="1">BDP("5444452Z Muni","ISSUE_DT")</f>
        <v>#NAME?</v>
      </c>
      <c r="G383" t="e">
        <f ca="1">BDP("5444452Z Muni","MATURITY")</f>
        <v>#NAME?</v>
      </c>
      <c r="H383" t="e">
        <f ca="1">BDP("5444452Z Muni","MUNI_TAX_PROV")</f>
        <v>#NAME?</v>
      </c>
      <c r="I383" t="e">
        <f ca="1">BDP("5444452Z Muni","FINANCING_TYPE")</f>
        <v>#NAME?</v>
      </c>
      <c r="J383" t="e">
        <f ca="1">BDP("5444452Z Muni","BICS_LEVEL_2_INDUSTRY_GROUP_NAME")</f>
        <v>#NAME?</v>
      </c>
      <c r="K383" t="e">
        <f ca="1">BDP("5444452Z Muni","SELF_REPRTD_GREEN_INSTR_INDCTR")</f>
        <v>#NAME?</v>
      </c>
      <c r="L383" t="e">
        <f ca="1">BDP("5444452Z Muni","GB_MANAGEMENT_PROCEEDS")</f>
        <v>#NAME?</v>
      </c>
      <c r="M383" t="e">
        <f ca="1">BDP("5444452Z Muni","GB_REPORTING")</f>
        <v>#NAME?</v>
      </c>
      <c r="N383" t="e">
        <f ca="1">BDP("5444452Z Muni","GB_ASSURANCE_PROVIDERS")</f>
        <v>#NAME?</v>
      </c>
      <c r="O383" t="e">
        <f ca="1">BDP("5444452Z Muni","GB_PROJECT_SELECTION_PROCESS")</f>
        <v>#NAME?</v>
      </c>
      <c r="P383" t="e">
        <f ca="1">BDP("5444452Z Muni","ESG_FRAMEWORK_INDICATOR")</f>
        <v>#NAME?</v>
      </c>
      <c r="Q383" t="e">
        <f ca="1">BDP("5444452Z Muni","BLOOMBERG_SECTOR_CODE")</f>
        <v>#NAME?</v>
      </c>
      <c r="R383" t="e">
        <f ca="1">BDP("5444452Z Muni","ISSUER_TYPE")</f>
        <v>#NAME?</v>
      </c>
      <c r="S383" t="e">
        <f ca="1">BDS("5444452Z Muni","ESG_PROJECT_CATEGORY", "aggregate=y")</f>
        <v>#NAME?</v>
      </c>
      <c r="T383" t="e">
        <f ca="1">BDS("5444452Z Muni","ESG_PROJECT_SUBCATEGORY", "aggregate=y")</f>
        <v>#NAME?</v>
      </c>
    </row>
    <row r="384" spans="1:20" x14ac:dyDescent="0.25">
      <c r="A384" t="e">
        <f ca="1">BDP("5444456C Muni","ID_CUSIP")</f>
        <v>#NAME?</v>
      </c>
      <c r="B384" t="e">
        <f ca="1">BDP("5444456C Muni","STATE_CODE")</f>
        <v>#NAME?</v>
      </c>
      <c r="C384" t="s">
        <v>34</v>
      </c>
      <c r="D384" t="e">
        <f ca="1">BDP("5444456C Muni","YIELD_ON_ISSUE_DATE")</f>
        <v>#NAME?</v>
      </c>
      <c r="E384">
        <v>40260000</v>
      </c>
      <c r="F384" t="e">
        <f ca="1">BDP("5444456C Muni","ISSUE_DT")</f>
        <v>#NAME?</v>
      </c>
      <c r="G384" t="e">
        <f ca="1">BDP("5444456C Muni","MATURITY")</f>
        <v>#NAME?</v>
      </c>
      <c r="H384" t="e">
        <f ca="1">BDP("5444456C Muni","MUNI_TAX_PROV")</f>
        <v>#NAME?</v>
      </c>
      <c r="I384" t="e">
        <f ca="1">BDP("5444456C Muni","FINANCING_TYPE")</f>
        <v>#NAME?</v>
      </c>
      <c r="J384" t="e">
        <f ca="1">BDP("5444456C Muni","BICS_LEVEL_2_INDUSTRY_GROUP_NAME")</f>
        <v>#NAME?</v>
      </c>
      <c r="K384" t="e">
        <f ca="1">BDP("5444456C Muni","SELF_REPRTD_GREEN_INSTR_INDCTR")</f>
        <v>#NAME?</v>
      </c>
      <c r="L384" t="e">
        <f ca="1">BDP("5444456C Muni","GB_MANAGEMENT_PROCEEDS")</f>
        <v>#NAME?</v>
      </c>
      <c r="M384" t="e">
        <f ca="1">BDP("5444456C Muni","GB_REPORTING")</f>
        <v>#NAME?</v>
      </c>
      <c r="N384" t="e">
        <f ca="1">BDP("5444456C Muni","GB_ASSURANCE_PROVIDERS")</f>
        <v>#NAME?</v>
      </c>
      <c r="O384" t="e">
        <f ca="1">BDP("5444456C Muni","GB_PROJECT_SELECTION_PROCESS")</f>
        <v>#NAME?</v>
      </c>
      <c r="P384" t="e">
        <f ca="1">BDP("5444456C Muni","ESG_FRAMEWORK_INDICATOR")</f>
        <v>#NAME?</v>
      </c>
      <c r="Q384" t="e">
        <f ca="1">BDP("5444456C Muni","BLOOMBERG_SECTOR_CODE")</f>
        <v>#NAME?</v>
      </c>
      <c r="R384" t="e">
        <f ca="1">BDP("5444456C Muni","ISSUER_TYPE")</f>
        <v>#NAME?</v>
      </c>
      <c r="S384" t="e">
        <f ca="1">BDS("5444456C Muni","ESG_PROJECT_CATEGORY", "aggregate=y")</f>
        <v>#NAME?</v>
      </c>
      <c r="T384" t="e">
        <f ca="1">BDS("5444456C Muni","ESG_PROJECT_SUBCATEGORY", "aggregate=y")</f>
        <v>#NAME?</v>
      </c>
    </row>
    <row r="385" spans="1:20" x14ac:dyDescent="0.25">
      <c r="A385" t="e">
        <f ca="1">BDP("797661F9 Muni","ID_CUSIP")</f>
        <v>#NAME?</v>
      </c>
      <c r="B385" t="e">
        <f ca="1">BDP("797661F9 Muni","STATE_CODE")</f>
        <v>#NAME?</v>
      </c>
      <c r="C385" t="s">
        <v>36</v>
      </c>
      <c r="D385" t="e">
        <f ca="1">BDP("797661F9 Muni","YIELD_ON_ISSUE_DATE")</f>
        <v>#NAME?</v>
      </c>
      <c r="E385">
        <v>22795000</v>
      </c>
      <c r="F385" t="e">
        <f ca="1">BDP("797661F9 Muni","ISSUE_DT")</f>
        <v>#NAME?</v>
      </c>
      <c r="G385" t="e">
        <f ca="1">BDP("797661F9 Muni","MATURITY")</f>
        <v>#NAME?</v>
      </c>
      <c r="H385" t="e">
        <f ca="1">BDP("797661F9 Muni","MUNI_TAX_PROV")</f>
        <v>#NAME?</v>
      </c>
      <c r="I385" t="e">
        <f ca="1">BDP("797661F9 Muni","FINANCING_TYPE")</f>
        <v>#NAME?</v>
      </c>
      <c r="J385" t="e">
        <f ca="1">BDP("797661F9 Muni","BICS_LEVEL_2_INDUSTRY_GROUP_NAME")</f>
        <v>#NAME?</v>
      </c>
      <c r="K385" t="e">
        <f ca="1">BDP("797661F9 Muni","SELF_REPRTD_GREEN_INSTR_INDCTR")</f>
        <v>#NAME?</v>
      </c>
      <c r="L385" t="e">
        <f ca="1">BDP("797661F9 Muni","GB_MANAGEMENT_PROCEEDS")</f>
        <v>#NAME?</v>
      </c>
      <c r="M385" t="e">
        <f ca="1">BDP("797661F9 Muni","GB_REPORTING")</f>
        <v>#NAME?</v>
      </c>
      <c r="N385" t="e">
        <f ca="1">BDP("797661F9 Muni","GB_ASSURANCE_PROVIDERS")</f>
        <v>#NAME?</v>
      </c>
      <c r="O385" t="e">
        <f ca="1">BDP("797661F9 Muni","GB_PROJECT_SELECTION_PROCESS")</f>
        <v>#NAME?</v>
      </c>
      <c r="P385" t="e">
        <f ca="1">BDP("797661F9 Muni","ESG_FRAMEWORK_INDICATOR")</f>
        <v>#NAME?</v>
      </c>
      <c r="Q385" t="e">
        <f ca="1">BDP("797661F9 Muni","BLOOMBERG_SECTOR_CODE")</f>
        <v>#NAME?</v>
      </c>
      <c r="R385" t="e">
        <f ca="1">BDP("797661F9 Muni","ISSUER_TYPE")</f>
        <v>#NAME?</v>
      </c>
      <c r="S385" t="e">
        <f ca="1">BDS("797661F9 Muni","ESG_PROJECT_CATEGORY", "aggregate=y")</f>
        <v>#NAME?</v>
      </c>
      <c r="T385" t="e">
        <f ca="1">BDS("797661F9 Muni","ESG_PROJECT_SUBCATEGORY", "aggregate=y")</f>
        <v>#NAME?</v>
      </c>
    </row>
    <row r="386" spans="1:20" x14ac:dyDescent="0.25">
      <c r="A386" t="e">
        <f ca="1">BDP("88035PQZ Muni","ID_CUSIP")</f>
        <v>#NAME?</v>
      </c>
      <c r="B386" t="e">
        <f ca="1">BDP("88035PQZ Muni","STATE_CODE")</f>
        <v>#NAME?</v>
      </c>
      <c r="C386" t="s">
        <v>25</v>
      </c>
      <c r="D386" t="e">
        <f ca="1">BDP("88035PQZ Muni","YIELD_ON_ISSUE_DATE")</f>
        <v>#NAME?</v>
      </c>
      <c r="E386">
        <v>1335000</v>
      </c>
      <c r="F386" t="e">
        <f ca="1">BDP("88035PQZ Muni","ISSUE_DT")</f>
        <v>#NAME?</v>
      </c>
      <c r="G386" t="e">
        <f ca="1">BDP("88035PQZ Muni","MATURITY")</f>
        <v>#NAME?</v>
      </c>
      <c r="H386" t="e">
        <f ca="1">BDP("88035PQZ Muni","MUNI_TAX_PROV")</f>
        <v>#NAME?</v>
      </c>
      <c r="I386" t="e">
        <f ca="1">BDP("88035PQZ Muni","FINANCING_TYPE")</f>
        <v>#NAME?</v>
      </c>
      <c r="J386" t="e">
        <f ca="1">BDP("88035PQZ Muni","BICS_LEVEL_2_INDUSTRY_GROUP_NAME")</f>
        <v>#NAME?</v>
      </c>
      <c r="K386" t="e">
        <f ca="1">BDP("88035PQZ Muni","SELF_REPRTD_GREEN_INSTR_INDCTR")</f>
        <v>#NAME?</v>
      </c>
      <c r="L386" t="e">
        <f ca="1">BDP("88035PQZ Muni","GB_MANAGEMENT_PROCEEDS")</f>
        <v>#NAME?</v>
      </c>
      <c r="M386" t="e">
        <f ca="1">BDP("88035PQZ Muni","GB_REPORTING")</f>
        <v>#NAME?</v>
      </c>
      <c r="N386" t="e">
        <f ca="1">BDP("88035PQZ Muni","GB_ASSURANCE_PROVIDERS")</f>
        <v>#NAME?</v>
      </c>
      <c r="O386" t="e">
        <f ca="1">BDP("88035PQZ Muni","GB_PROJECT_SELECTION_PROCESS")</f>
        <v>#NAME?</v>
      </c>
      <c r="P386" t="e">
        <f ca="1">BDP("88035PQZ Muni","ESG_FRAMEWORK_INDICATOR")</f>
        <v>#NAME?</v>
      </c>
      <c r="Q386" t="e">
        <f ca="1">BDP("88035PQZ Muni","BLOOMBERG_SECTOR_CODE")</f>
        <v>#NAME?</v>
      </c>
      <c r="R386" t="e">
        <f ca="1">BDP("88035PQZ Muni","ISSUER_TYPE")</f>
        <v>#NAME?</v>
      </c>
      <c r="S386" t="e">
        <f ca="1">BDS("88035PQZ Muni","ESG_PROJECT_CATEGORY", "aggregate=y")</f>
        <v>#NAME?</v>
      </c>
      <c r="T386" t="e">
        <f ca="1">BDS("88035PQZ Muni","ESG_PROJECT_SUBCATEGORY", "aggregate=y")</f>
        <v>#NAME?</v>
      </c>
    </row>
    <row r="387" spans="1:20" x14ac:dyDescent="0.25">
      <c r="A387" t="e">
        <f ca="1">BDP("88035PVW Muni","ID_CUSIP")</f>
        <v>#NAME?</v>
      </c>
      <c r="B387" t="e">
        <f ca="1">BDP("88035PVW Muni","STATE_CODE")</f>
        <v>#NAME?</v>
      </c>
      <c r="C387" t="s">
        <v>25</v>
      </c>
      <c r="D387" t="e">
        <f ca="1">BDP("88035PVW Muni","YIELD_ON_ISSUE_DATE")</f>
        <v>#NAME?</v>
      </c>
      <c r="E387">
        <v>3190000</v>
      </c>
      <c r="F387" t="e">
        <f ca="1">BDP("88035PVW Muni","ISSUE_DT")</f>
        <v>#NAME?</v>
      </c>
      <c r="G387" t="e">
        <f ca="1">BDP("88035PVW Muni","MATURITY")</f>
        <v>#NAME?</v>
      </c>
      <c r="H387" t="e">
        <f ca="1">BDP("88035PVW Muni","MUNI_TAX_PROV")</f>
        <v>#NAME?</v>
      </c>
      <c r="I387" t="e">
        <f ca="1">BDP("88035PVW Muni","FINANCING_TYPE")</f>
        <v>#NAME?</v>
      </c>
      <c r="J387" t="e">
        <f ca="1">BDP("88035PVW Muni","BICS_LEVEL_2_INDUSTRY_GROUP_NAME")</f>
        <v>#NAME?</v>
      </c>
      <c r="K387" t="e">
        <f ca="1">BDP("88035PVW Muni","SELF_REPRTD_GREEN_INSTR_INDCTR")</f>
        <v>#NAME?</v>
      </c>
      <c r="L387" t="e">
        <f ca="1">BDP("88035PVW Muni","GB_MANAGEMENT_PROCEEDS")</f>
        <v>#NAME?</v>
      </c>
      <c r="M387" t="e">
        <f ca="1">BDP("88035PVW Muni","GB_REPORTING")</f>
        <v>#NAME?</v>
      </c>
      <c r="N387" t="e">
        <f ca="1">BDP("88035PVW Muni","GB_ASSURANCE_PROVIDERS")</f>
        <v>#NAME?</v>
      </c>
      <c r="O387" t="e">
        <f ca="1">BDP("88035PVW Muni","GB_PROJECT_SELECTION_PROCESS")</f>
        <v>#NAME?</v>
      </c>
      <c r="P387" t="e">
        <f ca="1">BDP("88035PVW Muni","ESG_FRAMEWORK_INDICATOR")</f>
        <v>#NAME?</v>
      </c>
      <c r="Q387" t="e">
        <f ca="1">BDP("88035PVW Muni","BLOOMBERG_SECTOR_CODE")</f>
        <v>#NAME?</v>
      </c>
      <c r="R387" t="e">
        <f ca="1">BDP("88035PVW Muni","ISSUER_TYPE")</f>
        <v>#NAME?</v>
      </c>
      <c r="S387" t="e">
        <f ca="1">BDS("88035PVW Muni","ESG_PROJECT_CATEGORY", "aggregate=y")</f>
        <v>#NAME?</v>
      </c>
      <c r="T387" t="e">
        <f ca="1">BDS("88035PVW Muni","ESG_PROJECT_SUBCATEGORY", "aggregate=y")</f>
        <v>#NAME?</v>
      </c>
    </row>
    <row r="388" spans="1:20" x14ac:dyDescent="0.25">
      <c r="A388" t="e">
        <f ca="1">BDP("88035PX5 Muni","ID_CUSIP")</f>
        <v>#NAME?</v>
      </c>
      <c r="B388" t="e">
        <f ca="1">BDP("88035PX5 Muni","STATE_CODE")</f>
        <v>#NAME?</v>
      </c>
      <c r="C388" t="s">
        <v>25</v>
      </c>
      <c r="D388" t="e">
        <f ca="1">BDP("88035PX5 Muni","YIELD_ON_ISSUE_DATE")</f>
        <v>#NAME?</v>
      </c>
      <c r="E388">
        <v>46010000</v>
      </c>
      <c r="F388" t="e">
        <f ca="1">BDP("88035PX5 Muni","ISSUE_DT")</f>
        <v>#NAME?</v>
      </c>
      <c r="G388" t="e">
        <f ca="1">BDP("88035PX5 Muni","MATURITY")</f>
        <v>#NAME?</v>
      </c>
      <c r="H388" t="e">
        <f ca="1">BDP("88035PX5 Muni","MUNI_TAX_PROV")</f>
        <v>#NAME?</v>
      </c>
      <c r="I388" t="e">
        <f ca="1">BDP("88035PX5 Muni","FINANCING_TYPE")</f>
        <v>#NAME?</v>
      </c>
      <c r="J388" t="e">
        <f ca="1">BDP("88035PX5 Muni","BICS_LEVEL_2_INDUSTRY_GROUP_NAME")</f>
        <v>#NAME?</v>
      </c>
      <c r="K388" t="e">
        <f ca="1">BDP("88035PX5 Muni","SELF_REPRTD_GREEN_INSTR_INDCTR")</f>
        <v>#NAME?</v>
      </c>
      <c r="L388" t="e">
        <f ca="1">BDP("88035PX5 Muni","GB_MANAGEMENT_PROCEEDS")</f>
        <v>#NAME?</v>
      </c>
      <c r="M388" t="e">
        <f ca="1">BDP("88035PX5 Muni","GB_REPORTING")</f>
        <v>#NAME?</v>
      </c>
      <c r="N388" t="e">
        <f ca="1">BDP("88035PX5 Muni","GB_ASSURANCE_PROVIDERS")</f>
        <v>#NAME?</v>
      </c>
      <c r="O388" t="e">
        <f ca="1">BDP("88035PX5 Muni","GB_PROJECT_SELECTION_PROCESS")</f>
        <v>#NAME?</v>
      </c>
      <c r="P388" t="e">
        <f ca="1">BDP("88035PX5 Muni","ESG_FRAMEWORK_INDICATOR")</f>
        <v>#NAME?</v>
      </c>
      <c r="Q388" t="e">
        <f ca="1">BDP("88035PX5 Muni","BLOOMBERG_SECTOR_CODE")</f>
        <v>#NAME?</v>
      </c>
      <c r="R388" t="e">
        <f ca="1">BDP("88035PX5 Muni","ISSUER_TYPE")</f>
        <v>#NAME?</v>
      </c>
      <c r="S388" t="e">
        <f ca="1">BDS("88035PX5 Muni","ESG_PROJECT_CATEGORY", "aggregate=y")</f>
        <v>#NAME?</v>
      </c>
      <c r="T388" t="e">
        <f ca="1">BDS("88035PX5 Muni","ESG_PROJECT_SUBCATEGORY", "aggregate=y")</f>
        <v>#NAME?</v>
      </c>
    </row>
    <row r="389" spans="1:20" x14ac:dyDescent="0.25">
      <c r="A389" t="e">
        <f ca="1">BDP("88035RG7 Muni","ID_CUSIP")</f>
        <v>#NAME?</v>
      </c>
      <c r="B389" t="e">
        <f ca="1">BDP("88035RG7 Muni","STATE_CODE")</f>
        <v>#NAME?</v>
      </c>
      <c r="C389" t="s">
        <v>25</v>
      </c>
      <c r="D389" t="e">
        <f ca="1">BDP("88035RG7 Muni","YIELD_ON_ISSUE_DATE")</f>
        <v>#NAME?</v>
      </c>
      <c r="E389">
        <v>9200000</v>
      </c>
      <c r="F389" t="e">
        <f ca="1">BDP("88035RG7 Muni","ISSUE_DT")</f>
        <v>#NAME?</v>
      </c>
      <c r="G389" t="e">
        <f ca="1">BDP("88035RG7 Muni","MATURITY")</f>
        <v>#NAME?</v>
      </c>
      <c r="H389" t="e">
        <f ca="1">BDP("88035RG7 Muni","MUNI_TAX_PROV")</f>
        <v>#NAME?</v>
      </c>
      <c r="I389" t="e">
        <f ca="1">BDP("88035RG7 Muni","FINANCING_TYPE")</f>
        <v>#NAME?</v>
      </c>
      <c r="J389" t="e">
        <f ca="1">BDP("88035RG7 Muni","BICS_LEVEL_2_INDUSTRY_GROUP_NAME")</f>
        <v>#NAME?</v>
      </c>
      <c r="K389" t="e">
        <f ca="1">BDP("88035RG7 Muni","SELF_REPRTD_GREEN_INSTR_INDCTR")</f>
        <v>#NAME?</v>
      </c>
      <c r="L389" t="e">
        <f ca="1">BDP("88035RG7 Muni","GB_MANAGEMENT_PROCEEDS")</f>
        <v>#NAME?</v>
      </c>
      <c r="M389" t="e">
        <f ca="1">BDP("88035RG7 Muni","GB_REPORTING")</f>
        <v>#NAME?</v>
      </c>
      <c r="N389" t="e">
        <f ca="1">BDP("88035RG7 Muni","GB_ASSURANCE_PROVIDERS")</f>
        <v>#NAME?</v>
      </c>
      <c r="O389" t="e">
        <f ca="1">BDP("88035RG7 Muni","GB_PROJECT_SELECTION_PROCESS")</f>
        <v>#NAME?</v>
      </c>
      <c r="P389" t="e">
        <f ca="1">BDP("88035RG7 Muni","ESG_FRAMEWORK_INDICATOR")</f>
        <v>#NAME?</v>
      </c>
      <c r="Q389" t="e">
        <f ca="1">BDP("88035RG7 Muni","BLOOMBERG_SECTOR_CODE")</f>
        <v>#NAME?</v>
      </c>
      <c r="R389" t="e">
        <f ca="1">BDP("88035RG7 Muni","ISSUER_TYPE")</f>
        <v>#NAME?</v>
      </c>
      <c r="S389" t="e">
        <f ca="1">BDS("88035RG7 Muni","ESG_PROJECT_CATEGORY", "aggregate=y")</f>
        <v>#NAME?</v>
      </c>
      <c r="T389" t="e">
        <f ca="1">BDS("88035RG7 Muni","ESG_PROJECT_SUBCATEGORY", "aggregate=y")</f>
        <v>#NAME?</v>
      </c>
    </row>
    <row r="390" spans="1:20" x14ac:dyDescent="0.25">
      <c r="A390" t="e">
        <f ca="1">BDP("88035RKZ Muni","ID_CUSIP")</f>
        <v>#NAME?</v>
      </c>
      <c r="B390" t="e">
        <f ca="1">BDP("88035RKZ Muni","STATE_CODE")</f>
        <v>#NAME?</v>
      </c>
      <c r="C390" t="s">
        <v>25</v>
      </c>
      <c r="D390" t="e">
        <f ca="1">BDP("88035RKZ Muni","YIELD_ON_ISSUE_DATE")</f>
        <v>#NAME?</v>
      </c>
      <c r="E390">
        <v>4665000</v>
      </c>
      <c r="F390" t="e">
        <f ca="1">BDP("88035RKZ Muni","ISSUE_DT")</f>
        <v>#NAME?</v>
      </c>
      <c r="G390" t="e">
        <f ca="1">BDP("88035RKZ Muni","MATURITY")</f>
        <v>#NAME?</v>
      </c>
      <c r="H390" t="e">
        <f ca="1">BDP("88035RKZ Muni","MUNI_TAX_PROV")</f>
        <v>#NAME?</v>
      </c>
      <c r="I390" t="e">
        <f ca="1">BDP("88035RKZ Muni","FINANCING_TYPE")</f>
        <v>#NAME?</v>
      </c>
      <c r="J390" t="e">
        <f ca="1">BDP("88035RKZ Muni","BICS_LEVEL_2_INDUSTRY_GROUP_NAME")</f>
        <v>#NAME?</v>
      </c>
      <c r="K390" t="e">
        <f ca="1">BDP("88035RKZ Muni","SELF_REPRTD_GREEN_INSTR_INDCTR")</f>
        <v>#NAME?</v>
      </c>
      <c r="L390" t="e">
        <f ca="1">BDP("88035RKZ Muni","GB_MANAGEMENT_PROCEEDS")</f>
        <v>#NAME?</v>
      </c>
      <c r="M390" t="e">
        <f ca="1">BDP("88035RKZ Muni","GB_REPORTING")</f>
        <v>#NAME?</v>
      </c>
      <c r="N390" t="e">
        <f ca="1">BDP("88035RKZ Muni","GB_ASSURANCE_PROVIDERS")</f>
        <v>#NAME?</v>
      </c>
      <c r="O390" t="e">
        <f ca="1">BDP("88035RKZ Muni","GB_PROJECT_SELECTION_PROCESS")</f>
        <v>#NAME?</v>
      </c>
      <c r="P390" t="e">
        <f ca="1">BDP("88035RKZ Muni","ESG_FRAMEWORK_INDICATOR")</f>
        <v>#NAME?</v>
      </c>
      <c r="Q390" t="e">
        <f ca="1">BDP("88035RKZ Muni","BLOOMBERG_SECTOR_CODE")</f>
        <v>#NAME?</v>
      </c>
      <c r="R390" t="e">
        <f ca="1">BDP("88035RKZ Muni","ISSUER_TYPE")</f>
        <v>#NAME?</v>
      </c>
      <c r="S390" t="e">
        <f ca="1">BDS("88035RKZ Muni","ESG_PROJECT_CATEGORY", "aggregate=y")</f>
        <v>#NAME?</v>
      </c>
      <c r="T390" t="e">
        <f ca="1">BDS("88035RKZ Muni","ESG_PROJECT_SUBCATEGORY", "aggregate=y")</f>
        <v>#NAME?</v>
      </c>
    </row>
    <row r="391" spans="1:20" x14ac:dyDescent="0.25">
      <c r="A391" t="e">
        <f ca="1">BDP("88035RLC Muni","ID_CUSIP")</f>
        <v>#NAME?</v>
      </c>
      <c r="B391" t="e">
        <f ca="1">BDP("88035RLC Muni","STATE_CODE")</f>
        <v>#NAME?</v>
      </c>
      <c r="C391" t="s">
        <v>25</v>
      </c>
      <c r="D391" t="e">
        <f ca="1">BDP("88035RLC Muni","YIELD_ON_ISSUE_DATE")</f>
        <v>#NAME?</v>
      </c>
      <c r="E391">
        <v>3680000</v>
      </c>
      <c r="F391" t="e">
        <f ca="1">BDP("88035RLC Muni","ISSUE_DT")</f>
        <v>#NAME?</v>
      </c>
      <c r="G391" t="e">
        <f ca="1">BDP("88035RLC Muni","MATURITY")</f>
        <v>#NAME?</v>
      </c>
      <c r="H391" t="e">
        <f ca="1">BDP("88035RLC Muni","MUNI_TAX_PROV")</f>
        <v>#NAME?</v>
      </c>
      <c r="I391" t="e">
        <f ca="1">BDP("88035RLC Muni","FINANCING_TYPE")</f>
        <v>#NAME?</v>
      </c>
      <c r="J391" t="e">
        <f ca="1">BDP("88035RLC Muni","BICS_LEVEL_2_INDUSTRY_GROUP_NAME")</f>
        <v>#NAME?</v>
      </c>
      <c r="K391" t="e">
        <f ca="1">BDP("88035RLC Muni","SELF_REPRTD_GREEN_INSTR_INDCTR")</f>
        <v>#NAME?</v>
      </c>
      <c r="L391" t="e">
        <f ca="1">BDP("88035RLC Muni","GB_MANAGEMENT_PROCEEDS")</f>
        <v>#NAME?</v>
      </c>
      <c r="M391" t="e">
        <f ca="1">BDP("88035RLC Muni","GB_REPORTING")</f>
        <v>#NAME?</v>
      </c>
      <c r="N391" t="e">
        <f ca="1">BDP("88035RLC Muni","GB_ASSURANCE_PROVIDERS")</f>
        <v>#NAME?</v>
      </c>
      <c r="O391" t="e">
        <f ca="1">BDP("88035RLC Muni","GB_PROJECT_SELECTION_PROCESS")</f>
        <v>#NAME?</v>
      </c>
      <c r="P391" t="e">
        <f ca="1">BDP("88035RLC Muni","ESG_FRAMEWORK_INDICATOR")</f>
        <v>#NAME?</v>
      </c>
      <c r="Q391" t="e">
        <f ca="1">BDP("88035RLC Muni","BLOOMBERG_SECTOR_CODE")</f>
        <v>#NAME?</v>
      </c>
      <c r="R391" t="e">
        <f ca="1">BDP("88035RLC Muni","ISSUER_TYPE")</f>
        <v>#NAME?</v>
      </c>
      <c r="S391" t="e">
        <f ca="1">BDS("88035RLC Muni","ESG_PROJECT_CATEGORY", "aggregate=y")</f>
        <v>#NAME?</v>
      </c>
      <c r="T391" t="e">
        <f ca="1">BDS("88035RLC Muni","ESG_PROJECT_SUBCATEGORY", "aggregate=y")</f>
        <v>#NAME?</v>
      </c>
    </row>
    <row r="392" spans="1:20" x14ac:dyDescent="0.25">
      <c r="A392" t="e">
        <f ca="1">BDP("959215GE Muni","ID_CUSIP")</f>
        <v>#NAME?</v>
      </c>
      <c r="B392" t="e">
        <f ca="1">BDP("959215GE Muni","STATE_CODE")</f>
        <v>#NAME?</v>
      </c>
      <c r="C392" t="s">
        <v>26</v>
      </c>
      <c r="D392" t="e">
        <f ca="1">BDP("959215GE Muni","YIELD_ON_ISSUE_DATE")</f>
        <v>#NAME?</v>
      </c>
      <c r="E392">
        <v>405000</v>
      </c>
      <c r="F392" t="e">
        <f ca="1">BDP("959215GE Muni","ISSUE_DT")</f>
        <v>#NAME?</v>
      </c>
      <c r="G392" t="e">
        <f ca="1">BDP("959215GE Muni","MATURITY")</f>
        <v>#NAME?</v>
      </c>
      <c r="H392" t="e">
        <f ca="1">BDP("959215GE Muni","MUNI_TAX_PROV")</f>
        <v>#NAME?</v>
      </c>
      <c r="I392" t="e">
        <f ca="1">BDP("959215GE Muni","FINANCING_TYPE")</f>
        <v>#NAME?</v>
      </c>
      <c r="J392" t="e">
        <f ca="1">BDP("959215GE Muni","BICS_LEVEL_2_INDUSTRY_GROUP_NAME")</f>
        <v>#NAME?</v>
      </c>
      <c r="K392" t="e">
        <f ca="1">BDP("959215GE Muni","SELF_REPRTD_GREEN_INSTR_INDCTR")</f>
        <v>#NAME?</v>
      </c>
      <c r="L392" t="e">
        <f ca="1">BDP("959215GE Muni","GB_MANAGEMENT_PROCEEDS")</f>
        <v>#NAME?</v>
      </c>
      <c r="M392" t="e">
        <f ca="1">BDP("959215GE Muni","GB_REPORTING")</f>
        <v>#NAME?</v>
      </c>
      <c r="N392" t="e">
        <f ca="1">BDP("959215GE Muni","GB_ASSURANCE_PROVIDERS")</f>
        <v>#NAME?</v>
      </c>
      <c r="O392" t="e">
        <f ca="1">BDP("959215GE Muni","GB_PROJECT_SELECTION_PROCESS")</f>
        <v>#NAME?</v>
      </c>
      <c r="P392" t="e">
        <f ca="1">BDP("959215GE Muni","ESG_FRAMEWORK_INDICATOR")</f>
        <v>#NAME?</v>
      </c>
      <c r="Q392" t="e">
        <f ca="1">BDP("959215GE Muni","BLOOMBERG_SECTOR_CODE")</f>
        <v>#NAME?</v>
      </c>
      <c r="R392" t="e">
        <f ca="1">BDP("959215GE Muni","ISSUER_TYPE")</f>
        <v>#NAME?</v>
      </c>
      <c r="S392" t="e">
        <f ca="1">BDS("959215GE Muni","ESG_PROJECT_CATEGORY", "aggregate=y")</f>
        <v>#NAME?</v>
      </c>
      <c r="T392" t="e">
        <f ca="1">BDS("959215GE Muni","ESG_PROJECT_SUBCATEGORY", "aggregate=y")</f>
        <v>#NAME?</v>
      </c>
    </row>
    <row r="393" spans="1:20" x14ac:dyDescent="0.25">
      <c r="A393" t="e">
        <f ca="1">BDP("959215GM Muni","ID_CUSIP")</f>
        <v>#NAME?</v>
      </c>
      <c r="B393" t="e">
        <f ca="1">BDP("959215GM Muni","STATE_CODE")</f>
        <v>#NAME?</v>
      </c>
      <c r="C393" t="s">
        <v>26</v>
      </c>
      <c r="D393" t="e">
        <f ca="1">BDP("959215GM Muni","YIELD_ON_ISSUE_DATE")</f>
        <v>#NAME?</v>
      </c>
      <c r="E393">
        <v>820000</v>
      </c>
      <c r="F393" t="e">
        <f ca="1">BDP("959215GM Muni","ISSUE_DT")</f>
        <v>#NAME?</v>
      </c>
      <c r="G393" t="e">
        <f ca="1">BDP("959215GM Muni","MATURITY")</f>
        <v>#NAME?</v>
      </c>
      <c r="H393" t="e">
        <f ca="1">BDP("959215GM Muni","MUNI_TAX_PROV")</f>
        <v>#NAME?</v>
      </c>
      <c r="I393" t="e">
        <f ca="1">BDP("959215GM Muni","FINANCING_TYPE")</f>
        <v>#NAME?</v>
      </c>
      <c r="J393" t="e">
        <f ca="1">BDP("959215GM Muni","BICS_LEVEL_2_INDUSTRY_GROUP_NAME")</f>
        <v>#NAME?</v>
      </c>
      <c r="K393" t="e">
        <f ca="1">BDP("959215GM Muni","SELF_REPRTD_GREEN_INSTR_INDCTR")</f>
        <v>#NAME?</v>
      </c>
      <c r="L393" t="e">
        <f ca="1">BDP("959215GM Muni","GB_MANAGEMENT_PROCEEDS")</f>
        <v>#NAME?</v>
      </c>
      <c r="M393" t="e">
        <f ca="1">BDP("959215GM Muni","GB_REPORTING")</f>
        <v>#NAME?</v>
      </c>
      <c r="N393" t="e">
        <f ca="1">BDP("959215GM Muni","GB_ASSURANCE_PROVIDERS")</f>
        <v>#NAME?</v>
      </c>
      <c r="O393" t="e">
        <f ca="1">BDP("959215GM Muni","GB_PROJECT_SELECTION_PROCESS")</f>
        <v>#NAME?</v>
      </c>
      <c r="P393" t="e">
        <f ca="1">BDP("959215GM Muni","ESG_FRAMEWORK_INDICATOR")</f>
        <v>#NAME?</v>
      </c>
      <c r="Q393" t="e">
        <f ca="1">BDP("959215GM Muni","BLOOMBERG_SECTOR_CODE")</f>
        <v>#NAME?</v>
      </c>
      <c r="R393" t="e">
        <f ca="1">BDP("959215GM Muni","ISSUER_TYPE")</f>
        <v>#NAME?</v>
      </c>
      <c r="S393" t="e">
        <f ca="1">BDS("959215GM Muni","ESG_PROJECT_CATEGORY", "aggregate=y")</f>
        <v>#NAME?</v>
      </c>
      <c r="T393" t="e">
        <f ca="1">BDS("959215GM Muni","ESG_PROJECT_SUBCATEGORY", "aggregate=y")</f>
        <v>#NAME?</v>
      </c>
    </row>
    <row r="394" spans="1:20" x14ac:dyDescent="0.25">
      <c r="A394" t="e">
        <f ca="1">BDP("072024J8 Muni","ID_CUSIP")</f>
        <v>#NAME?</v>
      </c>
      <c r="B394" t="e">
        <f ca="1">BDP("072024J8 Muni","STATE_CODE")</f>
        <v>#NAME?</v>
      </c>
      <c r="C394" t="s">
        <v>39</v>
      </c>
      <c r="D394" t="e">
        <f ca="1">BDP("072024J8 Muni","YIELD_ON_ISSUE_DATE")</f>
        <v>#NAME?</v>
      </c>
      <c r="E394">
        <v>25000000</v>
      </c>
      <c r="F394" t="e">
        <f ca="1">BDP("072024J8 Muni","ISSUE_DT")</f>
        <v>#NAME?</v>
      </c>
      <c r="G394" t="e">
        <f ca="1">BDP("072024J8 Muni","MATURITY")</f>
        <v>#NAME?</v>
      </c>
      <c r="H394" t="e">
        <f ca="1">BDP("072024J8 Muni","MUNI_TAX_PROV")</f>
        <v>#NAME?</v>
      </c>
      <c r="I394" t="e">
        <f ca="1">BDP("072024J8 Muni","FINANCING_TYPE")</f>
        <v>#NAME?</v>
      </c>
      <c r="J394" t="e">
        <f ca="1">BDP("072024J8 Muni","BICS_LEVEL_2_INDUSTRY_GROUP_NAME")</f>
        <v>#NAME?</v>
      </c>
      <c r="K394" t="e">
        <f ca="1">BDP("072024J8 Muni","SELF_REPRTD_GREEN_INSTR_INDCTR")</f>
        <v>#NAME?</v>
      </c>
      <c r="L394" t="e">
        <f ca="1">BDP("072024J8 Muni","GB_MANAGEMENT_PROCEEDS")</f>
        <v>#NAME?</v>
      </c>
      <c r="M394" t="e">
        <f ca="1">BDP("072024J8 Muni","GB_REPORTING")</f>
        <v>#NAME?</v>
      </c>
      <c r="N394" t="e">
        <f ca="1">BDP("072024J8 Muni","GB_ASSURANCE_PROVIDERS")</f>
        <v>#NAME?</v>
      </c>
      <c r="O394" t="e">
        <f ca="1">BDP("072024J8 Muni","GB_PROJECT_SELECTION_PROCESS")</f>
        <v>#NAME?</v>
      </c>
      <c r="P394" t="e">
        <f ca="1">BDP("072024J8 Muni","ESG_FRAMEWORK_INDICATOR")</f>
        <v>#NAME?</v>
      </c>
      <c r="Q394" t="e">
        <f ca="1">BDP("072024J8 Muni","BLOOMBERG_SECTOR_CODE")</f>
        <v>#NAME?</v>
      </c>
      <c r="R394" t="e">
        <f ca="1">BDP("072024J8 Muni","ISSUER_TYPE")</f>
        <v>#NAME?</v>
      </c>
      <c r="S394" t="e">
        <f ca="1">BDS("072024J8 Muni","ESG_PROJECT_CATEGORY", "aggregate=y")</f>
        <v>#NAME?</v>
      </c>
      <c r="T394" t="e">
        <f ca="1">BDS("072024J8 Muni","ESG_PROJECT_SUBCATEGORY", "aggregate=y")</f>
        <v>#NAME?</v>
      </c>
    </row>
    <row r="395" spans="1:20" x14ac:dyDescent="0.25">
      <c r="A395" t="e">
        <f ca="1">BDP("072024K2 Muni","ID_CUSIP")</f>
        <v>#NAME?</v>
      </c>
      <c r="B395" t="e">
        <f ca="1">BDP("072024K2 Muni","STATE_CODE")</f>
        <v>#NAME?</v>
      </c>
      <c r="C395" t="s">
        <v>39</v>
      </c>
      <c r="D395" t="e">
        <f ca="1">BDP("072024K2 Muni","YIELD_ON_ISSUE_DATE")</f>
        <v>#NAME?</v>
      </c>
      <c r="E395">
        <v>26750000</v>
      </c>
      <c r="F395" t="e">
        <f ca="1">BDP("072024K2 Muni","ISSUE_DT")</f>
        <v>#NAME?</v>
      </c>
      <c r="G395" t="e">
        <f ca="1">BDP("072024K2 Muni","MATURITY")</f>
        <v>#NAME?</v>
      </c>
      <c r="H395" t="e">
        <f ca="1">BDP("072024K2 Muni","MUNI_TAX_PROV")</f>
        <v>#NAME?</v>
      </c>
      <c r="I395" t="e">
        <f ca="1">BDP("072024K2 Muni","FINANCING_TYPE")</f>
        <v>#NAME?</v>
      </c>
      <c r="J395" t="e">
        <f ca="1">BDP("072024K2 Muni","BICS_LEVEL_2_INDUSTRY_GROUP_NAME")</f>
        <v>#NAME?</v>
      </c>
      <c r="K395" t="e">
        <f ca="1">BDP("072024K2 Muni","SELF_REPRTD_GREEN_INSTR_INDCTR")</f>
        <v>#NAME?</v>
      </c>
      <c r="L395" t="e">
        <f ca="1">BDP("072024K2 Muni","GB_MANAGEMENT_PROCEEDS")</f>
        <v>#NAME?</v>
      </c>
      <c r="M395" t="e">
        <f ca="1">BDP("072024K2 Muni","GB_REPORTING")</f>
        <v>#NAME?</v>
      </c>
      <c r="N395" t="e">
        <f ca="1">BDP("072024K2 Muni","GB_ASSURANCE_PROVIDERS")</f>
        <v>#NAME?</v>
      </c>
      <c r="O395" t="e">
        <f ca="1">BDP("072024K2 Muni","GB_PROJECT_SELECTION_PROCESS")</f>
        <v>#NAME?</v>
      </c>
      <c r="P395" t="e">
        <f ca="1">BDP("072024K2 Muni","ESG_FRAMEWORK_INDICATOR")</f>
        <v>#NAME?</v>
      </c>
      <c r="Q395" t="e">
        <f ca="1">BDP("072024K2 Muni","BLOOMBERG_SECTOR_CODE")</f>
        <v>#NAME?</v>
      </c>
      <c r="R395" t="e">
        <f ca="1">BDP("072024K2 Muni","ISSUER_TYPE")</f>
        <v>#NAME?</v>
      </c>
      <c r="S395" t="e">
        <f ca="1">BDS("072024K2 Muni","ESG_PROJECT_CATEGORY", "aggregate=y")</f>
        <v>#NAME?</v>
      </c>
      <c r="T395" t="e">
        <f ca="1">BDS("072024K2 Muni","ESG_PROJECT_SUBCATEGORY", "aggregate=y")</f>
        <v>#NAME?</v>
      </c>
    </row>
    <row r="396" spans="1:20" x14ac:dyDescent="0.25">
      <c r="A396" t="e">
        <f ca="1">BDP("13013JGZ Muni","ID_CUSIP")</f>
        <v>#NAME?</v>
      </c>
      <c r="B396" t="e">
        <f ca="1">BDP("13013JGZ Muni","STATE_CODE")</f>
        <v>#NAME?</v>
      </c>
      <c r="C396" t="s">
        <v>30</v>
      </c>
      <c r="D396" t="e">
        <f ca="1">BDP("13013JGZ Muni","YIELD_ON_ISSUE_DATE")</f>
        <v>#NAME?</v>
      </c>
      <c r="E396">
        <v>6695000</v>
      </c>
      <c r="F396" t="e">
        <f ca="1">BDP("13013JGZ Muni","ISSUE_DT")</f>
        <v>#NAME?</v>
      </c>
      <c r="G396" t="e">
        <f ca="1">BDP("13013JGZ Muni","MATURITY")</f>
        <v>#NAME?</v>
      </c>
      <c r="H396" t="e">
        <f ca="1">BDP("13013JGZ Muni","MUNI_TAX_PROV")</f>
        <v>#NAME?</v>
      </c>
      <c r="I396" t="e">
        <f ca="1">BDP("13013JGZ Muni","FINANCING_TYPE")</f>
        <v>#NAME?</v>
      </c>
      <c r="J396" t="e">
        <f ca="1">BDP("13013JGZ Muni","BICS_LEVEL_2_INDUSTRY_GROUP_NAME")</f>
        <v>#NAME?</v>
      </c>
      <c r="K396" t="e">
        <f ca="1">BDP("13013JGZ Muni","SELF_REPRTD_GREEN_INSTR_INDCTR")</f>
        <v>#NAME?</v>
      </c>
      <c r="L396" t="e">
        <f ca="1">BDP("13013JGZ Muni","GB_MANAGEMENT_PROCEEDS")</f>
        <v>#NAME?</v>
      </c>
      <c r="M396" t="e">
        <f ca="1">BDP("13013JGZ Muni","GB_REPORTING")</f>
        <v>#NAME?</v>
      </c>
      <c r="N396" t="e">
        <f ca="1">BDP("13013JGZ Muni","GB_ASSURANCE_PROVIDERS")</f>
        <v>#NAME?</v>
      </c>
      <c r="O396" t="e">
        <f ca="1">BDP("13013JGZ Muni","GB_PROJECT_SELECTION_PROCESS")</f>
        <v>#NAME?</v>
      </c>
      <c r="P396" t="e">
        <f ca="1">BDP("13013JGZ Muni","ESG_FRAMEWORK_INDICATOR")</f>
        <v>#NAME?</v>
      </c>
      <c r="Q396" t="e">
        <f ca="1">BDP("13013JGZ Muni","BLOOMBERG_SECTOR_CODE")</f>
        <v>#NAME?</v>
      </c>
      <c r="R396" t="e">
        <f ca="1">BDP("13013JGZ Muni","ISSUER_TYPE")</f>
        <v>#NAME?</v>
      </c>
      <c r="S396" t="e">
        <f ca="1">BDS("13013JGZ Muni","ESG_PROJECT_CATEGORY", "aggregate=y")</f>
        <v>#NAME?</v>
      </c>
      <c r="T396" t="e">
        <f ca="1">BDS("13013JGZ Muni","ESG_PROJECT_SUBCATEGORY", "aggregate=y")</f>
        <v>#NAME?</v>
      </c>
    </row>
    <row r="397" spans="1:20" x14ac:dyDescent="0.25">
      <c r="A397" t="e">
        <f ca="1">BDP("13013JHF Muni","ID_CUSIP")</f>
        <v>#NAME?</v>
      </c>
      <c r="B397" t="e">
        <f ca="1">BDP("13013JHF Muni","STATE_CODE")</f>
        <v>#NAME?</v>
      </c>
      <c r="C397" t="s">
        <v>30</v>
      </c>
      <c r="D397" t="e">
        <f ca="1">BDP("13013JHF Muni","YIELD_ON_ISSUE_DATE")</f>
        <v>#NAME?</v>
      </c>
      <c r="E397">
        <v>735000</v>
      </c>
      <c r="F397" t="e">
        <f ca="1">BDP("13013JHF Muni","ISSUE_DT")</f>
        <v>#NAME?</v>
      </c>
      <c r="G397" t="e">
        <f ca="1">BDP("13013JHF Muni","MATURITY")</f>
        <v>#NAME?</v>
      </c>
      <c r="H397" t="e">
        <f ca="1">BDP("13013JHF Muni","MUNI_TAX_PROV")</f>
        <v>#NAME?</v>
      </c>
      <c r="I397" t="e">
        <f ca="1">BDP("13013JHF Muni","FINANCING_TYPE")</f>
        <v>#NAME?</v>
      </c>
      <c r="J397" t="e">
        <f ca="1">BDP("13013JHF Muni","BICS_LEVEL_2_INDUSTRY_GROUP_NAME")</f>
        <v>#NAME?</v>
      </c>
      <c r="K397" t="e">
        <f ca="1">BDP("13013JHF Muni","SELF_REPRTD_GREEN_INSTR_INDCTR")</f>
        <v>#NAME?</v>
      </c>
      <c r="L397" t="e">
        <f ca="1">BDP("13013JHF Muni","GB_MANAGEMENT_PROCEEDS")</f>
        <v>#NAME?</v>
      </c>
      <c r="M397" t="e">
        <f ca="1">BDP("13013JHF Muni","GB_REPORTING")</f>
        <v>#NAME?</v>
      </c>
      <c r="N397" t="e">
        <f ca="1">BDP("13013JHF Muni","GB_ASSURANCE_PROVIDERS")</f>
        <v>#NAME?</v>
      </c>
      <c r="O397" t="e">
        <f ca="1">BDP("13013JHF Muni","GB_PROJECT_SELECTION_PROCESS")</f>
        <v>#NAME?</v>
      </c>
      <c r="P397" t="e">
        <f ca="1">BDP("13013JHF Muni","ESG_FRAMEWORK_INDICATOR")</f>
        <v>#NAME?</v>
      </c>
      <c r="Q397" t="e">
        <f ca="1">BDP("13013JHF Muni","BLOOMBERG_SECTOR_CODE")</f>
        <v>#NAME?</v>
      </c>
      <c r="R397" t="e">
        <f ca="1">BDP("13013JHF Muni","ISSUER_TYPE")</f>
        <v>#NAME?</v>
      </c>
      <c r="S397" t="e">
        <f ca="1">BDS("13013JHF Muni","ESG_PROJECT_CATEGORY", "aggregate=y")</f>
        <v>#NAME?</v>
      </c>
      <c r="T397" t="e">
        <f ca="1">BDS("13013JHF Muni","ESG_PROJECT_SUBCATEGORY", "aggregate=y")</f>
        <v>#NAME?</v>
      </c>
    </row>
    <row r="398" spans="1:20" x14ac:dyDescent="0.25">
      <c r="A398" t="e">
        <f ca="1">BDP("25156SHV Muni","ID_CUSIP")</f>
        <v>#NAME?</v>
      </c>
      <c r="B398" t="e">
        <f ca="1">BDP("25156SHV Muni","STATE_CODE")</f>
        <v>#NAME?</v>
      </c>
      <c r="C398" t="s">
        <v>31</v>
      </c>
      <c r="D398" t="e">
        <f ca="1">BDP("25156SHV Muni","YIELD_ON_ISSUE_DATE")</f>
        <v>#NAME?</v>
      </c>
      <c r="E398">
        <v>22990000</v>
      </c>
      <c r="F398" t="e">
        <f ca="1">BDP("25156SHV Muni","ISSUE_DT")</f>
        <v>#NAME?</v>
      </c>
      <c r="G398" t="e">
        <f ca="1">BDP("25156SHV Muni","MATURITY")</f>
        <v>#NAME?</v>
      </c>
      <c r="H398" t="e">
        <f ca="1">BDP("25156SHV Muni","MUNI_TAX_PROV")</f>
        <v>#NAME?</v>
      </c>
      <c r="I398" t="e">
        <f ca="1">BDP("25156SHV Muni","FINANCING_TYPE")</f>
        <v>#NAME?</v>
      </c>
      <c r="J398" t="e">
        <f ca="1">BDP("25156SHV Muni","BICS_LEVEL_2_INDUSTRY_GROUP_NAME")</f>
        <v>#NAME?</v>
      </c>
      <c r="K398" t="e">
        <f ca="1">BDP("25156SHV Muni","SELF_REPRTD_GREEN_INSTR_INDCTR")</f>
        <v>#NAME?</v>
      </c>
      <c r="L398" t="e">
        <f ca="1">BDP("25156SHV Muni","GB_MANAGEMENT_PROCEEDS")</f>
        <v>#NAME?</v>
      </c>
      <c r="M398" t="e">
        <f ca="1">BDP("25156SHV Muni","GB_REPORTING")</f>
        <v>#NAME?</v>
      </c>
      <c r="N398" t="e">
        <f ca="1">BDP("25156SHV Muni","GB_ASSURANCE_PROVIDERS")</f>
        <v>#NAME?</v>
      </c>
      <c r="O398" t="e">
        <f ca="1">BDP("25156SHV Muni","GB_PROJECT_SELECTION_PROCESS")</f>
        <v>#NAME?</v>
      </c>
      <c r="P398" t="e">
        <f ca="1">BDP("25156SHV Muni","ESG_FRAMEWORK_INDICATOR")</f>
        <v>#NAME?</v>
      </c>
      <c r="Q398" t="e">
        <f ca="1">BDP("25156SHV Muni","BLOOMBERG_SECTOR_CODE")</f>
        <v>#NAME?</v>
      </c>
      <c r="R398" t="e">
        <f ca="1">BDP("25156SHV Muni","ISSUER_TYPE")</f>
        <v>#NAME?</v>
      </c>
      <c r="S398" t="e">
        <f ca="1">BDS("25156SHV Muni","ESG_PROJECT_CATEGORY", "aggregate=y")</f>
        <v>#NAME?</v>
      </c>
      <c r="T398" t="e">
        <f ca="1">BDS("25156SHV Muni","ESG_PROJECT_SUBCATEGORY", "aggregate=y")</f>
        <v>#NAME?</v>
      </c>
    </row>
    <row r="399" spans="1:20" x14ac:dyDescent="0.25">
      <c r="A399" t="e">
        <f ca="1">BDP("5444452F Muni","ID_CUSIP")</f>
        <v>#NAME?</v>
      </c>
      <c r="B399" t="e">
        <f ca="1">BDP("5444452F Muni","STATE_CODE")</f>
        <v>#NAME?</v>
      </c>
      <c r="C399" t="s">
        <v>34</v>
      </c>
      <c r="D399" t="e">
        <f ca="1">BDP("5444452F Muni","YIELD_ON_ISSUE_DATE")</f>
        <v>#NAME?</v>
      </c>
      <c r="E399">
        <v>9415000</v>
      </c>
      <c r="F399" t="e">
        <f ca="1">BDP("5444452F Muni","ISSUE_DT")</f>
        <v>#NAME?</v>
      </c>
      <c r="G399" t="e">
        <f ca="1">BDP("5444452F Muni","MATURITY")</f>
        <v>#NAME?</v>
      </c>
      <c r="H399" t="e">
        <f ca="1">BDP("5444452F Muni","MUNI_TAX_PROV")</f>
        <v>#NAME?</v>
      </c>
      <c r="I399" t="e">
        <f ca="1">BDP("5444452F Muni","FINANCING_TYPE")</f>
        <v>#NAME?</v>
      </c>
      <c r="J399" t="e">
        <f ca="1">BDP("5444452F Muni","BICS_LEVEL_2_INDUSTRY_GROUP_NAME")</f>
        <v>#NAME?</v>
      </c>
      <c r="K399" t="e">
        <f ca="1">BDP("5444452F Muni","SELF_REPRTD_GREEN_INSTR_INDCTR")</f>
        <v>#NAME?</v>
      </c>
      <c r="L399" t="e">
        <f ca="1">BDP("5444452F Muni","GB_MANAGEMENT_PROCEEDS")</f>
        <v>#NAME?</v>
      </c>
      <c r="M399" t="e">
        <f ca="1">BDP("5444452F Muni","GB_REPORTING")</f>
        <v>#NAME?</v>
      </c>
      <c r="N399" t="e">
        <f ca="1">BDP("5444452F Muni","GB_ASSURANCE_PROVIDERS")</f>
        <v>#NAME?</v>
      </c>
      <c r="O399" t="e">
        <f ca="1">BDP("5444452F Muni","GB_PROJECT_SELECTION_PROCESS")</f>
        <v>#NAME?</v>
      </c>
      <c r="P399" t="e">
        <f ca="1">BDP("5444452F Muni","ESG_FRAMEWORK_INDICATOR")</f>
        <v>#NAME?</v>
      </c>
      <c r="Q399" t="e">
        <f ca="1">BDP("5444452F Muni","BLOOMBERG_SECTOR_CODE")</f>
        <v>#NAME?</v>
      </c>
      <c r="R399" t="e">
        <f ca="1">BDP("5444452F Muni","ISSUER_TYPE")</f>
        <v>#NAME?</v>
      </c>
      <c r="S399" t="e">
        <f ca="1">BDS("5444452F Muni","ESG_PROJECT_CATEGORY", "aggregate=y")</f>
        <v>#NAME?</v>
      </c>
      <c r="T399" t="e">
        <f ca="1">BDS("5444452F Muni","ESG_PROJECT_SUBCATEGORY", "aggregate=y")</f>
        <v>#NAME?</v>
      </c>
    </row>
    <row r="400" spans="1:20" x14ac:dyDescent="0.25">
      <c r="A400" t="e">
        <f ca="1">BDP("5444452K Muni","ID_CUSIP")</f>
        <v>#NAME?</v>
      </c>
      <c r="B400" t="e">
        <f ca="1">BDP("5444452K Muni","STATE_CODE")</f>
        <v>#NAME?</v>
      </c>
      <c r="C400" t="s">
        <v>34</v>
      </c>
      <c r="D400" t="e">
        <f ca="1">BDP("5444452K Muni","YIELD_ON_ISSUE_DATE")</f>
        <v>#NAME?</v>
      </c>
      <c r="E400">
        <v>32420000</v>
      </c>
      <c r="F400" t="e">
        <f ca="1">BDP("5444452K Muni","ISSUE_DT")</f>
        <v>#NAME?</v>
      </c>
      <c r="G400" t="e">
        <f ca="1">BDP("5444452K Muni","MATURITY")</f>
        <v>#NAME?</v>
      </c>
      <c r="H400" t="e">
        <f ca="1">BDP("5444452K Muni","MUNI_TAX_PROV")</f>
        <v>#NAME?</v>
      </c>
      <c r="I400" t="e">
        <f ca="1">BDP("5444452K Muni","FINANCING_TYPE")</f>
        <v>#NAME?</v>
      </c>
      <c r="J400" t="e">
        <f ca="1">BDP("5444452K Muni","BICS_LEVEL_2_INDUSTRY_GROUP_NAME")</f>
        <v>#NAME?</v>
      </c>
      <c r="K400" t="e">
        <f ca="1">BDP("5444452K Muni","SELF_REPRTD_GREEN_INSTR_INDCTR")</f>
        <v>#NAME?</v>
      </c>
      <c r="L400" t="e">
        <f ca="1">BDP("5444452K Muni","GB_MANAGEMENT_PROCEEDS")</f>
        <v>#NAME?</v>
      </c>
      <c r="M400" t="e">
        <f ca="1">BDP("5444452K Muni","GB_REPORTING")</f>
        <v>#NAME?</v>
      </c>
      <c r="N400" t="e">
        <f ca="1">BDP("5444452K Muni","GB_ASSURANCE_PROVIDERS")</f>
        <v>#NAME?</v>
      </c>
      <c r="O400" t="e">
        <f ca="1">BDP("5444452K Muni","GB_PROJECT_SELECTION_PROCESS")</f>
        <v>#NAME?</v>
      </c>
      <c r="P400" t="e">
        <f ca="1">BDP("5444452K Muni","ESG_FRAMEWORK_INDICATOR")</f>
        <v>#NAME?</v>
      </c>
      <c r="Q400" t="e">
        <f ca="1">BDP("5444452K Muni","BLOOMBERG_SECTOR_CODE")</f>
        <v>#NAME?</v>
      </c>
      <c r="R400" t="e">
        <f ca="1">BDP("5444452K Muni","ISSUER_TYPE")</f>
        <v>#NAME?</v>
      </c>
      <c r="S400" t="e">
        <f ca="1">BDS("5444452K Muni","ESG_PROJECT_CATEGORY", "aggregate=y")</f>
        <v>#NAME?</v>
      </c>
      <c r="T400" t="e">
        <f ca="1">BDS("5444452K Muni","ESG_PROJECT_SUBCATEGORY", "aggregate=y")</f>
        <v>#NAME?</v>
      </c>
    </row>
    <row r="401" spans="1:20" x14ac:dyDescent="0.25">
      <c r="A401" t="e">
        <f ca="1">BDP("5444452N Muni","ID_CUSIP")</f>
        <v>#NAME?</v>
      </c>
      <c r="B401" t="e">
        <f ca="1">BDP("5444452N Muni","STATE_CODE")</f>
        <v>#NAME?</v>
      </c>
      <c r="C401" t="s">
        <v>34</v>
      </c>
      <c r="D401" t="e">
        <f ca="1">BDP("5444452N Muni","YIELD_ON_ISSUE_DATE")</f>
        <v>#NAME?</v>
      </c>
      <c r="E401">
        <v>35825000</v>
      </c>
      <c r="F401" t="e">
        <f ca="1">BDP("5444452N Muni","ISSUE_DT")</f>
        <v>#NAME?</v>
      </c>
      <c r="G401" t="e">
        <f ca="1">BDP("5444452N Muni","MATURITY")</f>
        <v>#NAME?</v>
      </c>
      <c r="H401" t="e">
        <f ca="1">BDP("5444452N Muni","MUNI_TAX_PROV")</f>
        <v>#NAME?</v>
      </c>
      <c r="I401" t="e">
        <f ca="1">BDP("5444452N Muni","FINANCING_TYPE")</f>
        <v>#NAME?</v>
      </c>
      <c r="J401" t="e">
        <f ca="1">BDP("5444452N Muni","BICS_LEVEL_2_INDUSTRY_GROUP_NAME")</f>
        <v>#NAME?</v>
      </c>
      <c r="K401" t="e">
        <f ca="1">BDP("5444452N Muni","SELF_REPRTD_GREEN_INSTR_INDCTR")</f>
        <v>#NAME?</v>
      </c>
      <c r="L401" t="e">
        <f ca="1">BDP("5444452N Muni","GB_MANAGEMENT_PROCEEDS")</f>
        <v>#NAME?</v>
      </c>
      <c r="M401" t="e">
        <f ca="1">BDP("5444452N Muni","GB_REPORTING")</f>
        <v>#NAME?</v>
      </c>
      <c r="N401" t="e">
        <f ca="1">BDP("5444452N Muni","GB_ASSURANCE_PROVIDERS")</f>
        <v>#NAME?</v>
      </c>
      <c r="O401" t="e">
        <f ca="1">BDP("5444452N Muni","GB_PROJECT_SELECTION_PROCESS")</f>
        <v>#NAME?</v>
      </c>
      <c r="P401" t="e">
        <f ca="1">BDP("5444452N Muni","ESG_FRAMEWORK_INDICATOR")</f>
        <v>#NAME?</v>
      </c>
      <c r="Q401" t="e">
        <f ca="1">BDP("5444452N Muni","BLOOMBERG_SECTOR_CODE")</f>
        <v>#NAME?</v>
      </c>
      <c r="R401" t="e">
        <f ca="1">BDP("5444452N Muni","ISSUER_TYPE")</f>
        <v>#NAME?</v>
      </c>
      <c r="S401" t="e">
        <f ca="1">BDS("5444452N Muni","ESG_PROJECT_CATEGORY", "aggregate=y")</f>
        <v>#NAME?</v>
      </c>
      <c r="T401" t="e">
        <f ca="1">BDS("5444452N Muni","ESG_PROJECT_SUBCATEGORY", "aggregate=y")</f>
        <v>#NAME?</v>
      </c>
    </row>
    <row r="402" spans="1:20" x14ac:dyDescent="0.25">
      <c r="A402" t="e">
        <f ca="1">BDP("797661D6 Muni","ID_CUSIP")</f>
        <v>#NAME?</v>
      </c>
      <c r="B402" t="e">
        <f ca="1">BDP("797661D6 Muni","STATE_CODE")</f>
        <v>#NAME?</v>
      </c>
      <c r="C402" t="s">
        <v>36</v>
      </c>
      <c r="D402" t="e">
        <f ca="1">BDP("797661D6 Muni","YIELD_ON_ISSUE_DATE")</f>
        <v>#NAME?</v>
      </c>
      <c r="E402">
        <v>22410000</v>
      </c>
      <c r="F402" t="e">
        <f ca="1">BDP("797661D6 Muni","ISSUE_DT")</f>
        <v>#NAME?</v>
      </c>
      <c r="G402" t="e">
        <f ca="1">BDP("797661D6 Muni","MATURITY")</f>
        <v>#NAME?</v>
      </c>
      <c r="H402" t="e">
        <f ca="1">BDP("797661D6 Muni","MUNI_TAX_PROV")</f>
        <v>#NAME?</v>
      </c>
      <c r="I402" t="e">
        <f ca="1">BDP("797661D6 Muni","FINANCING_TYPE")</f>
        <v>#NAME?</v>
      </c>
      <c r="J402" t="e">
        <f ca="1">BDP("797661D6 Muni","BICS_LEVEL_2_INDUSTRY_GROUP_NAME")</f>
        <v>#NAME?</v>
      </c>
      <c r="K402" t="e">
        <f ca="1">BDP("797661D6 Muni","SELF_REPRTD_GREEN_INSTR_INDCTR")</f>
        <v>#NAME?</v>
      </c>
      <c r="L402" t="e">
        <f ca="1">BDP("797661D6 Muni","GB_MANAGEMENT_PROCEEDS")</f>
        <v>#NAME?</v>
      </c>
      <c r="M402" t="e">
        <f ca="1">BDP("797661D6 Muni","GB_REPORTING")</f>
        <v>#NAME?</v>
      </c>
      <c r="N402" t="e">
        <f ca="1">BDP("797661D6 Muni","GB_ASSURANCE_PROVIDERS")</f>
        <v>#NAME?</v>
      </c>
      <c r="O402" t="e">
        <f ca="1">BDP("797661D6 Muni","GB_PROJECT_SELECTION_PROCESS")</f>
        <v>#NAME?</v>
      </c>
      <c r="P402" t="e">
        <f ca="1">BDP("797661D6 Muni","ESG_FRAMEWORK_INDICATOR")</f>
        <v>#NAME?</v>
      </c>
      <c r="Q402" t="e">
        <f ca="1">BDP("797661D6 Muni","BLOOMBERG_SECTOR_CODE")</f>
        <v>#NAME?</v>
      </c>
      <c r="R402" t="e">
        <f ca="1">BDP("797661D6 Muni","ISSUER_TYPE")</f>
        <v>#NAME?</v>
      </c>
      <c r="S402" t="e">
        <f ca="1">BDS("797661D6 Muni","ESG_PROJECT_CATEGORY", "aggregate=y")</f>
        <v>#NAME?</v>
      </c>
      <c r="T402" t="e">
        <f ca="1">BDS("797661D6 Muni","ESG_PROJECT_SUBCATEGORY", "aggregate=y")</f>
        <v>#NAME?</v>
      </c>
    </row>
    <row r="403" spans="1:20" x14ac:dyDescent="0.25">
      <c r="A403" t="e">
        <f ca="1">BDP("797661F3 Muni","ID_CUSIP")</f>
        <v>#NAME?</v>
      </c>
      <c r="B403" t="e">
        <f ca="1">BDP("797661F3 Muni","STATE_CODE")</f>
        <v>#NAME?</v>
      </c>
      <c r="C403" t="s">
        <v>36</v>
      </c>
      <c r="D403" t="e">
        <f ca="1">BDP("797661F3 Muni","YIELD_ON_ISSUE_DATE")</f>
        <v>#NAME?</v>
      </c>
      <c r="E403">
        <v>42255000</v>
      </c>
      <c r="F403" t="e">
        <f ca="1">BDP("797661F3 Muni","ISSUE_DT")</f>
        <v>#NAME?</v>
      </c>
      <c r="G403" t="e">
        <f ca="1">BDP("797661F3 Muni","MATURITY")</f>
        <v>#NAME?</v>
      </c>
      <c r="H403" t="e">
        <f ca="1">BDP("797661F3 Muni","MUNI_TAX_PROV")</f>
        <v>#NAME?</v>
      </c>
      <c r="I403" t="e">
        <f ca="1">BDP("797661F3 Muni","FINANCING_TYPE")</f>
        <v>#NAME?</v>
      </c>
      <c r="J403" t="e">
        <f ca="1">BDP("797661F3 Muni","BICS_LEVEL_2_INDUSTRY_GROUP_NAME")</f>
        <v>#NAME?</v>
      </c>
      <c r="K403" t="e">
        <f ca="1">BDP("797661F3 Muni","SELF_REPRTD_GREEN_INSTR_INDCTR")</f>
        <v>#NAME?</v>
      </c>
      <c r="L403" t="e">
        <f ca="1">BDP("797661F3 Muni","GB_MANAGEMENT_PROCEEDS")</f>
        <v>#NAME?</v>
      </c>
      <c r="M403" t="e">
        <f ca="1">BDP("797661F3 Muni","GB_REPORTING")</f>
        <v>#NAME?</v>
      </c>
      <c r="N403" t="e">
        <f ca="1">BDP("797661F3 Muni","GB_ASSURANCE_PROVIDERS")</f>
        <v>#NAME?</v>
      </c>
      <c r="O403" t="e">
        <f ca="1">BDP("797661F3 Muni","GB_PROJECT_SELECTION_PROCESS")</f>
        <v>#NAME?</v>
      </c>
      <c r="P403" t="e">
        <f ca="1">BDP("797661F3 Muni","ESG_FRAMEWORK_INDICATOR")</f>
        <v>#NAME?</v>
      </c>
      <c r="Q403" t="e">
        <f ca="1">BDP("797661F3 Muni","BLOOMBERG_SECTOR_CODE")</f>
        <v>#NAME?</v>
      </c>
      <c r="R403" t="e">
        <f ca="1">BDP("797661F3 Muni","ISSUER_TYPE")</f>
        <v>#NAME?</v>
      </c>
      <c r="S403" t="e">
        <f ca="1">BDS("797661F3 Muni","ESG_PROJECT_CATEGORY", "aggregate=y")</f>
        <v>#NAME?</v>
      </c>
      <c r="T403" t="e">
        <f ca="1">BDS("797661F3 Muni","ESG_PROJECT_SUBCATEGORY", "aggregate=y")</f>
        <v>#NAME?</v>
      </c>
    </row>
    <row r="404" spans="1:20" x14ac:dyDescent="0.25">
      <c r="A404" t="e">
        <f ca="1">BDP("797669A7 Muni","ID_CUSIP")</f>
        <v>#NAME?</v>
      </c>
      <c r="B404" t="e">
        <f ca="1">BDP("797669A7 Muni","STATE_CODE")</f>
        <v>#NAME?</v>
      </c>
      <c r="C404" t="s">
        <v>28</v>
      </c>
      <c r="D404" t="e">
        <f ca="1">BDP("797669A7 Muni","YIELD_ON_ISSUE_DATE")</f>
        <v>#NAME?</v>
      </c>
      <c r="E404">
        <v>4980000</v>
      </c>
      <c r="F404" t="e">
        <f ca="1">BDP("797669A7 Muni","ISSUE_DT")</f>
        <v>#NAME?</v>
      </c>
      <c r="G404" t="e">
        <f ca="1">BDP("797669A7 Muni","MATURITY")</f>
        <v>#NAME?</v>
      </c>
      <c r="H404" t="e">
        <f ca="1">BDP("797669A7 Muni","MUNI_TAX_PROV")</f>
        <v>#NAME?</v>
      </c>
      <c r="I404" t="e">
        <f ca="1">BDP("797669A7 Muni","FINANCING_TYPE")</f>
        <v>#NAME?</v>
      </c>
      <c r="J404" t="e">
        <f ca="1">BDP("797669A7 Muni","BICS_LEVEL_2_INDUSTRY_GROUP_NAME")</f>
        <v>#NAME?</v>
      </c>
      <c r="K404" t="e">
        <f ca="1">BDP("797669A7 Muni","SELF_REPRTD_GREEN_INSTR_INDCTR")</f>
        <v>#NAME?</v>
      </c>
      <c r="L404" t="e">
        <f ca="1">BDP("797669A7 Muni","GB_MANAGEMENT_PROCEEDS")</f>
        <v>#NAME?</v>
      </c>
      <c r="M404" t="e">
        <f ca="1">BDP("797669A7 Muni","GB_REPORTING")</f>
        <v>#NAME?</v>
      </c>
      <c r="N404" t="e">
        <f ca="1">BDP("797669A7 Muni","GB_ASSURANCE_PROVIDERS")</f>
        <v>#NAME?</v>
      </c>
      <c r="O404" t="e">
        <f ca="1">BDP("797669A7 Muni","GB_PROJECT_SELECTION_PROCESS")</f>
        <v>#NAME?</v>
      </c>
      <c r="P404" t="e">
        <f ca="1">BDP("797669A7 Muni","ESG_FRAMEWORK_INDICATOR")</f>
        <v>#NAME?</v>
      </c>
      <c r="Q404" t="e">
        <f ca="1">BDP("797669A7 Muni","BLOOMBERG_SECTOR_CODE")</f>
        <v>#NAME?</v>
      </c>
      <c r="R404" t="e">
        <f ca="1">BDP("797669A7 Muni","ISSUER_TYPE")</f>
        <v>#NAME?</v>
      </c>
      <c r="S404" t="e">
        <f ca="1">BDS("797669A7 Muni","ESG_PROJECT_CATEGORY", "aggregate=y")</f>
        <v>#NAME?</v>
      </c>
      <c r="T404" t="e">
        <f ca="1">BDS("797669A7 Muni","ESG_PROJECT_SUBCATEGORY", "aggregate=y")</f>
        <v>#NAME?</v>
      </c>
    </row>
    <row r="405" spans="1:20" x14ac:dyDescent="0.25">
      <c r="A405" t="e">
        <f ca="1">BDP("79811YAD Muni","ID_CUSIP")</f>
        <v>#NAME?</v>
      </c>
      <c r="B405" t="e">
        <f ca="1">BDP("79811YAD Muni","STATE_CODE")</f>
        <v>#NAME?</v>
      </c>
      <c r="C405" t="s">
        <v>38</v>
      </c>
      <c r="D405" t="e">
        <f ca="1">BDP("79811YAD Muni","YIELD_ON_ISSUE_DATE")</f>
        <v>#NAME?</v>
      </c>
      <c r="E405">
        <v>5570000</v>
      </c>
      <c r="F405" t="e">
        <f ca="1">BDP("79811YAD Muni","ISSUE_DT")</f>
        <v>#NAME?</v>
      </c>
      <c r="G405" t="e">
        <f ca="1">BDP("79811YAD Muni","MATURITY")</f>
        <v>#NAME?</v>
      </c>
      <c r="H405" t="e">
        <f ca="1">BDP("79811YAD Muni","MUNI_TAX_PROV")</f>
        <v>#NAME?</v>
      </c>
      <c r="I405" t="e">
        <f ca="1">BDP("79811YAD Muni","FINANCING_TYPE")</f>
        <v>#NAME?</v>
      </c>
      <c r="J405" t="e">
        <f ca="1">BDP("79811YAD Muni","BICS_LEVEL_2_INDUSTRY_GROUP_NAME")</f>
        <v>#NAME?</v>
      </c>
      <c r="K405" t="e">
        <f ca="1">BDP("79811YAD Muni","SELF_REPRTD_GREEN_INSTR_INDCTR")</f>
        <v>#NAME?</v>
      </c>
      <c r="L405" t="e">
        <f ca="1">BDP("79811YAD Muni","GB_MANAGEMENT_PROCEEDS")</f>
        <v>#NAME?</v>
      </c>
      <c r="M405" t="e">
        <f ca="1">BDP("79811YAD Muni","GB_REPORTING")</f>
        <v>#NAME?</v>
      </c>
      <c r="N405" t="e">
        <f ca="1">BDP("79811YAD Muni","GB_ASSURANCE_PROVIDERS")</f>
        <v>#NAME?</v>
      </c>
      <c r="O405" t="e">
        <f ca="1">BDP("79811YAD Muni","GB_PROJECT_SELECTION_PROCESS")</f>
        <v>#NAME?</v>
      </c>
      <c r="P405" t="e">
        <f ca="1">BDP("79811YAD Muni","ESG_FRAMEWORK_INDICATOR")</f>
        <v>#NAME?</v>
      </c>
      <c r="Q405" t="e">
        <f ca="1">BDP("79811YAD Muni","BLOOMBERG_SECTOR_CODE")</f>
        <v>#NAME?</v>
      </c>
      <c r="R405" t="e">
        <f ca="1">BDP("79811YAD Muni","ISSUER_TYPE")</f>
        <v>#NAME?</v>
      </c>
      <c r="S405" t="e">
        <f ca="1">BDS("79811YAD Muni","ESG_PROJECT_CATEGORY", "aggregate=y")</f>
        <v>#NAME?</v>
      </c>
      <c r="T405" t="e">
        <f ca="1">BDS("79811YAD Muni","ESG_PROJECT_SUBCATEGORY", "aggregate=y")</f>
        <v>#NAME?</v>
      </c>
    </row>
    <row r="406" spans="1:20" x14ac:dyDescent="0.25">
      <c r="A406" t="e">
        <f ca="1">BDP("840528AV Muni","ID_CUSIP")</f>
        <v>#NAME?</v>
      </c>
      <c r="B406" t="e">
        <f ca="1">BDP("840528AV Muni","STATE_CODE")</f>
        <v>#NAME?</v>
      </c>
      <c r="C406" t="s">
        <v>29</v>
      </c>
      <c r="D406" t="e">
        <f ca="1">BDP("840528AV Muni","YIELD_ON_ISSUE_DATE")</f>
        <v>#NAME?</v>
      </c>
      <c r="E406">
        <v>5660000</v>
      </c>
      <c r="F406" t="e">
        <f ca="1">BDP("840528AV Muni","ISSUE_DT")</f>
        <v>#NAME?</v>
      </c>
      <c r="G406" t="e">
        <f ca="1">BDP("840528AV Muni","MATURITY")</f>
        <v>#NAME?</v>
      </c>
      <c r="H406" t="e">
        <f ca="1">BDP("840528AV Muni","MUNI_TAX_PROV")</f>
        <v>#NAME?</v>
      </c>
      <c r="I406" t="e">
        <f ca="1">BDP("840528AV Muni","FINANCING_TYPE")</f>
        <v>#NAME?</v>
      </c>
      <c r="J406" t="e">
        <f ca="1">BDP("840528AV Muni","BICS_LEVEL_2_INDUSTRY_GROUP_NAME")</f>
        <v>#NAME?</v>
      </c>
      <c r="K406" t="e">
        <f ca="1">BDP("840528AV Muni","SELF_REPRTD_GREEN_INSTR_INDCTR")</f>
        <v>#NAME?</v>
      </c>
      <c r="L406" t="e">
        <f ca="1">BDP("840528AV Muni","GB_MANAGEMENT_PROCEEDS")</f>
        <v>#NAME?</v>
      </c>
      <c r="M406" t="e">
        <f ca="1">BDP("840528AV Muni","GB_REPORTING")</f>
        <v>#NAME?</v>
      </c>
      <c r="N406" t="e">
        <f ca="1">BDP("840528AV Muni","GB_ASSURANCE_PROVIDERS")</f>
        <v>#NAME?</v>
      </c>
      <c r="O406" t="e">
        <f ca="1">BDP("840528AV Muni","GB_PROJECT_SELECTION_PROCESS")</f>
        <v>#NAME?</v>
      </c>
      <c r="P406" t="e">
        <f ca="1">BDP("840528AV Muni","ESG_FRAMEWORK_INDICATOR")</f>
        <v>#NAME?</v>
      </c>
      <c r="Q406" t="e">
        <f ca="1">BDP("840528AV Muni","BLOOMBERG_SECTOR_CODE")</f>
        <v>#NAME?</v>
      </c>
      <c r="R406" t="e">
        <f ca="1">BDP("840528AV Muni","ISSUER_TYPE")</f>
        <v>#NAME?</v>
      </c>
      <c r="S406" t="e">
        <f ca="1">BDS("840528AV Muni","ESG_PROJECT_CATEGORY", "aggregate=y")</f>
        <v>#NAME?</v>
      </c>
      <c r="T406" t="e">
        <f ca="1">BDS("840528AV Muni","ESG_PROJECT_SUBCATEGORY", "aggregate=y")</f>
        <v>#NAME?</v>
      </c>
    </row>
    <row r="407" spans="1:20" x14ac:dyDescent="0.25">
      <c r="A407" t="e">
        <f ca="1">BDP("88035J7C Muni","ID_CUSIP")</f>
        <v>#NAME?</v>
      </c>
      <c r="B407" t="e">
        <f ca="1">BDP("88035J7C Muni","STATE_CODE")</f>
        <v>#NAME?</v>
      </c>
      <c r="C407" t="s">
        <v>25</v>
      </c>
      <c r="D407" t="e">
        <f ca="1">BDP("88035J7C Muni","YIELD_ON_ISSUE_DATE")</f>
        <v>#NAME?</v>
      </c>
      <c r="E407">
        <v>2000000</v>
      </c>
      <c r="F407" t="e">
        <f ca="1">BDP("88035J7C Muni","ISSUE_DT")</f>
        <v>#NAME?</v>
      </c>
      <c r="G407" t="e">
        <f ca="1">BDP("88035J7C Muni","MATURITY")</f>
        <v>#NAME?</v>
      </c>
      <c r="H407" t="e">
        <f ca="1">BDP("88035J7C Muni","MUNI_TAX_PROV")</f>
        <v>#NAME?</v>
      </c>
      <c r="I407" t="e">
        <f ca="1">BDP("88035J7C Muni","FINANCING_TYPE")</f>
        <v>#NAME?</v>
      </c>
      <c r="J407" t="e">
        <f ca="1">BDP("88035J7C Muni","BICS_LEVEL_2_INDUSTRY_GROUP_NAME")</f>
        <v>#NAME?</v>
      </c>
      <c r="K407" t="e">
        <f ca="1">BDP("88035J7C Muni","SELF_REPRTD_GREEN_INSTR_INDCTR")</f>
        <v>#NAME?</v>
      </c>
      <c r="L407" t="e">
        <f ca="1">BDP("88035J7C Muni","GB_MANAGEMENT_PROCEEDS")</f>
        <v>#NAME?</v>
      </c>
      <c r="M407" t="e">
        <f ca="1">BDP("88035J7C Muni","GB_REPORTING")</f>
        <v>#NAME?</v>
      </c>
      <c r="N407" t="e">
        <f ca="1">BDP("88035J7C Muni","GB_ASSURANCE_PROVIDERS")</f>
        <v>#NAME?</v>
      </c>
      <c r="O407" t="e">
        <f ca="1">BDP("88035J7C Muni","GB_PROJECT_SELECTION_PROCESS")</f>
        <v>#NAME?</v>
      </c>
      <c r="P407" t="e">
        <f ca="1">BDP("88035J7C Muni","ESG_FRAMEWORK_INDICATOR")</f>
        <v>#NAME?</v>
      </c>
      <c r="Q407" t="e">
        <f ca="1">BDP("88035J7C Muni","BLOOMBERG_SECTOR_CODE")</f>
        <v>#NAME?</v>
      </c>
      <c r="R407" t="e">
        <f ca="1">BDP("88035J7C Muni","ISSUER_TYPE")</f>
        <v>#NAME?</v>
      </c>
      <c r="S407" t="e">
        <f ca="1">BDS("88035J7C Muni","ESG_PROJECT_CATEGORY", "aggregate=y")</f>
        <v>#NAME?</v>
      </c>
      <c r="T407" t="e">
        <f ca="1">BDS("88035J7C Muni","ESG_PROJECT_SUBCATEGORY", "aggregate=y")</f>
        <v>#NAME?</v>
      </c>
    </row>
    <row r="408" spans="1:20" x14ac:dyDescent="0.25">
      <c r="A408" t="e">
        <f ca="1">BDP("88035PRS Muni","ID_CUSIP")</f>
        <v>#NAME?</v>
      </c>
      <c r="B408" t="e">
        <f ca="1">BDP("88035PRS Muni","STATE_CODE")</f>
        <v>#NAME?</v>
      </c>
      <c r="C408" t="s">
        <v>25</v>
      </c>
      <c r="D408" t="e">
        <f ca="1">BDP("88035PRS Muni","YIELD_ON_ISSUE_DATE")</f>
        <v>#NAME?</v>
      </c>
      <c r="E408">
        <v>24240000</v>
      </c>
      <c r="F408" t="e">
        <f ca="1">BDP("88035PRS Muni","ISSUE_DT")</f>
        <v>#NAME?</v>
      </c>
      <c r="G408" t="e">
        <f ca="1">BDP("88035PRS Muni","MATURITY")</f>
        <v>#NAME?</v>
      </c>
      <c r="H408" t="e">
        <f ca="1">BDP("88035PRS Muni","MUNI_TAX_PROV")</f>
        <v>#NAME?</v>
      </c>
      <c r="I408" t="e">
        <f ca="1">BDP("88035PRS Muni","FINANCING_TYPE")</f>
        <v>#NAME?</v>
      </c>
      <c r="J408" t="e">
        <f ca="1">BDP("88035PRS Muni","BICS_LEVEL_2_INDUSTRY_GROUP_NAME")</f>
        <v>#NAME?</v>
      </c>
      <c r="K408" t="e">
        <f ca="1">BDP("88035PRS Muni","SELF_REPRTD_GREEN_INSTR_INDCTR")</f>
        <v>#NAME?</v>
      </c>
      <c r="L408" t="e">
        <f ca="1">BDP("88035PRS Muni","GB_MANAGEMENT_PROCEEDS")</f>
        <v>#NAME?</v>
      </c>
      <c r="M408" t="e">
        <f ca="1">BDP("88035PRS Muni","GB_REPORTING")</f>
        <v>#NAME?</v>
      </c>
      <c r="N408" t="e">
        <f ca="1">BDP("88035PRS Muni","GB_ASSURANCE_PROVIDERS")</f>
        <v>#NAME?</v>
      </c>
      <c r="O408" t="e">
        <f ca="1">BDP("88035PRS Muni","GB_PROJECT_SELECTION_PROCESS")</f>
        <v>#NAME?</v>
      </c>
      <c r="P408" t="e">
        <f ca="1">BDP("88035PRS Muni","ESG_FRAMEWORK_INDICATOR")</f>
        <v>#NAME?</v>
      </c>
      <c r="Q408" t="e">
        <f ca="1">BDP("88035PRS Muni","BLOOMBERG_SECTOR_CODE")</f>
        <v>#NAME?</v>
      </c>
      <c r="R408" t="e">
        <f ca="1">BDP("88035PRS Muni","ISSUER_TYPE")</f>
        <v>#NAME?</v>
      </c>
      <c r="S408" t="e">
        <f ca="1">BDS("88035PRS Muni","ESG_PROJECT_CATEGORY", "aggregate=y")</f>
        <v>#NAME?</v>
      </c>
      <c r="T408" t="e">
        <f ca="1">BDS("88035PRS Muni","ESG_PROJECT_SUBCATEGORY", "aggregate=y")</f>
        <v>#NAME?</v>
      </c>
    </row>
    <row r="409" spans="1:20" x14ac:dyDescent="0.25">
      <c r="A409" t="e">
        <f ca="1">BDP("88035PVT Muni","ID_CUSIP")</f>
        <v>#NAME?</v>
      </c>
      <c r="B409" t="e">
        <f ca="1">BDP("88035PVT Muni","STATE_CODE")</f>
        <v>#NAME?</v>
      </c>
      <c r="C409" t="s">
        <v>25</v>
      </c>
      <c r="D409" t="e">
        <f ca="1">BDP("88035PVT Muni","YIELD_ON_ISSUE_DATE")</f>
        <v>#NAME?</v>
      </c>
      <c r="E409">
        <v>2000000</v>
      </c>
      <c r="F409" t="e">
        <f ca="1">BDP("88035PVT Muni","ISSUE_DT")</f>
        <v>#NAME?</v>
      </c>
      <c r="G409" t="e">
        <f ca="1">BDP("88035PVT Muni","MATURITY")</f>
        <v>#NAME?</v>
      </c>
      <c r="H409" t="e">
        <f ca="1">BDP("88035PVT Muni","MUNI_TAX_PROV")</f>
        <v>#NAME?</v>
      </c>
      <c r="I409" t="e">
        <f ca="1">BDP("88035PVT Muni","FINANCING_TYPE")</f>
        <v>#NAME?</v>
      </c>
      <c r="J409" t="e">
        <f ca="1">BDP("88035PVT Muni","BICS_LEVEL_2_INDUSTRY_GROUP_NAME")</f>
        <v>#NAME?</v>
      </c>
      <c r="K409" t="e">
        <f ca="1">BDP("88035PVT Muni","SELF_REPRTD_GREEN_INSTR_INDCTR")</f>
        <v>#NAME?</v>
      </c>
      <c r="L409" t="e">
        <f ca="1">BDP("88035PVT Muni","GB_MANAGEMENT_PROCEEDS")</f>
        <v>#NAME?</v>
      </c>
      <c r="M409" t="e">
        <f ca="1">BDP("88035PVT Muni","GB_REPORTING")</f>
        <v>#NAME?</v>
      </c>
      <c r="N409" t="e">
        <f ca="1">BDP("88035PVT Muni","GB_ASSURANCE_PROVIDERS")</f>
        <v>#NAME?</v>
      </c>
      <c r="O409" t="e">
        <f ca="1">BDP("88035PVT Muni","GB_PROJECT_SELECTION_PROCESS")</f>
        <v>#NAME?</v>
      </c>
      <c r="P409" t="e">
        <f ca="1">BDP("88035PVT Muni","ESG_FRAMEWORK_INDICATOR")</f>
        <v>#NAME?</v>
      </c>
      <c r="Q409" t="e">
        <f ca="1">BDP("88035PVT Muni","BLOOMBERG_SECTOR_CODE")</f>
        <v>#NAME?</v>
      </c>
      <c r="R409" t="e">
        <f ca="1">BDP("88035PVT Muni","ISSUER_TYPE")</f>
        <v>#NAME?</v>
      </c>
      <c r="S409" t="e">
        <f ca="1">BDS("88035PVT Muni","ESG_PROJECT_CATEGORY", "aggregate=y")</f>
        <v>#NAME?</v>
      </c>
      <c r="T409" t="e">
        <f ca="1">BDS("88035PVT Muni","ESG_PROJECT_SUBCATEGORY", "aggregate=y")</f>
        <v>#NAME?</v>
      </c>
    </row>
    <row r="410" spans="1:20" x14ac:dyDescent="0.25">
      <c r="A410" t="e">
        <f ca="1">BDP("88035RMH Muni","ID_CUSIP")</f>
        <v>#NAME?</v>
      </c>
      <c r="B410" t="e">
        <f ca="1">BDP("88035RMH Muni","STATE_CODE")</f>
        <v>#NAME?</v>
      </c>
      <c r="C410" t="s">
        <v>25</v>
      </c>
      <c r="D410" t="e">
        <f ca="1">BDP("88035RMH Muni","YIELD_ON_ISSUE_DATE")</f>
        <v>#NAME?</v>
      </c>
      <c r="E410">
        <v>7370000</v>
      </c>
      <c r="F410" t="e">
        <f ca="1">BDP("88035RMH Muni","ISSUE_DT")</f>
        <v>#NAME?</v>
      </c>
      <c r="G410" t="e">
        <f ca="1">BDP("88035RMH Muni","MATURITY")</f>
        <v>#NAME?</v>
      </c>
      <c r="H410" t="e">
        <f ca="1">BDP("88035RMH Muni","MUNI_TAX_PROV")</f>
        <v>#NAME?</v>
      </c>
      <c r="I410" t="e">
        <f ca="1">BDP("88035RMH Muni","FINANCING_TYPE")</f>
        <v>#NAME?</v>
      </c>
      <c r="J410" t="e">
        <f ca="1">BDP("88035RMH Muni","BICS_LEVEL_2_INDUSTRY_GROUP_NAME")</f>
        <v>#NAME?</v>
      </c>
      <c r="K410" t="e">
        <f ca="1">BDP("88035RMH Muni","SELF_REPRTD_GREEN_INSTR_INDCTR")</f>
        <v>#NAME?</v>
      </c>
      <c r="L410" t="e">
        <f ca="1">BDP("88035RMH Muni","GB_MANAGEMENT_PROCEEDS")</f>
        <v>#NAME?</v>
      </c>
      <c r="M410" t="e">
        <f ca="1">BDP("88035RMH Muni","GB_REPORTING")</f>
        <v>#NAME?</v>
      </c>
      <c r="N410" t="e">
        <f ca="1">BDP("88035RMH Muni","GB_ASSURANCE_PROVIDERS")</f>
        <v>#NAME?</v>
      </c>
      <c r="O410" t="e">
        <f ca="1">BDP("88035RMH Muni","GB_PROJECT_SELECTION_PROCESS")</f>
        <v>#NAME?</v>
      </c>
      <c r="P410" t="e">
        <f ca="1">BDP("88035RMH Muni","ESG_FRAMEWORK_INDICATOR")</f>
        <v>#NAME?</v>
      </c>
      <c r="Q410" t="e">
        <f ca="1">BDP("88035RMH Muni","BLOOMBERG_SECTOR_CODE")</f>
        <v>#NAME?</v>
      </c>
      <c r="R410" t="e">
        <f ca="1">BDP("88035RMH Muni","ISSUER_TYPE")</f>
        <v>#NAME?</v>
      </c>
      <c r="S410" t="e">
        <f ca="1">BDS("88035RMH Muni","ESG_PROJECT_CATEGORY", "aggregate=y")</f>
        <v>#NAME?</v>
      </c>
      <c r="T410" t="e">
        <f ca="1">BDS("88035RMH Muni","ESG_PROJECT_SUBCATEGORY", "aggregate=y")</f>
        <v>#NAME?</v>
      </c>
    </row>
    <row r="411" spans="1:20" x14ac:dyDescent="0.25">
      <c r="A411" t="e">
        <f ca="1">BDP("88035RMJ Muni","ID_CUSIP")</f>
        <v>#NAME?</v>
      </c>
      <c r="B411" t="e">
        <f ca="1">BDP("88035RMJ Muni","STATE_CODE")</f>
        <v>#NAME?</v>
      </c>
      <c r="C411" t="s">
        <v>25</v>
      </c>
      <c r="D411" t="e">
        <f ca="1">BDP("88035RMJ Muni","YIELD_ON_ISSUE_DATE")</f>
        <v>#NAME?</v>
      </c>
      <c r="E411">
        <v>2280000</v>
      </c>
      <c r="F411" t="e">
        <f ca="1">BDP("88035RMJ Muni","ISSUE_DT")</f>
        <v>#NAME?</v>
      </c>
      <c r="G411" t="e">
        <f ca="1">BDP("88035RMJ Muni","MATURITY")</f>
        <v>#NAME?</v>
      </c>
      <c r="H411" t="e">
        <f ca="1">BDP("88035RMJ Muni","MUNI_TAX_PROV")</f>
        <v>#NAME?</v>
      </c>
      <c r="I411" t="e">
        <f ca="1">BDP("88035RMJ Muni","FINANCING_TYPE")</f>
        <v>#NAME?</v>
      </c>
      <c r="J411" t="e">
        <f ca="1">BDP("88035RMJ Muni","BICS_LEVEL_2_INDUSTRY_GROUP_NAME")</f>
        <v>#NAME?</v>
      </c>
      <c r="K411" t="e">
        <f ca="1">BDP("88035RMJ Muni","SELF_REPRTD_GREEN_INSTR_INDCTR")</f>
        <v>#NAME?</v>
      </c>
      <c r="L411" t="e">
        <f ca="1">BDP("88035RMJ Muni","GB_MANAGEMENT_PROCEEDS")</f>
        <v>#NAME?</v>
      </c>
      <c r="M411" t="e">
        <f ca="1">BDP("88035RMJ Muni","GB_REPORTING")</f>
        <v>#NAME?</v>
      </c>
      <c r="N411" t="e">
        <f ca="1">BDP("88035RMJ Muni","GB_ASSURANCE_PROVIDERS")</f>
        <v>#NAME?</v>
      </c>
      <c r="O411" t="e">
        <f ca="1">BDP("88035RMJ Muni","GB_PROJECT_SELECTION_PROCESS")</f>
        <v>#NAME?</v>
      </c>
      <c r="P411" t="e">
        <f ca="1">BDP("88035RMJ Muni","ESG_FRAMEWORK_INDICATOR")</f>
        <v>#NAME?</v>
      </c>
      <c r="Q411" t="e">
        <f ca="1">BDP("88035RMJ Muni","BLOOMBERG_SECTOR_CODE")</f>
        <v>#NAME?</v>
      </c>
      <c r="R411" t="e">
        <f ca="1">BDP("88035RMJ Muni","ISSUER_TYPE")</f>
        <v>#NAME?</v>
      </c>
      <c r="S411" t="e">
        <f ca="1">BDS("88035RMJ Muni","ESG_PROJECT_CATEGORY", "aggregate=y")</f>
        <v>#NAME?</v>
      </c>
      <c r="T411" t="e">
        <f ca="1">BDS("88035RMJ Muni","ESG_PROJECT_SUBCATEGORY", "aggregate=y")</f>
        <v>#NAME?</v>
      </c>
    </row>
    <row r="412" spans="1:20" x14ac:dyDescent="0.25">
      <c r="A412" t="e">
        <f ca="1">BDP("88035RY8 Muni","ID_CUSIP")</f>
        <v>#NAME?</v>
      </c>
      <c r="B412" t="e">
        <f ca="1">BDP("88035RY8 Muni","STATE_CODE")</f>
        <v>#NAME?</v>
      </c>
      <c r="C412" t="s">
        <v>25</v>
      </c>
      <c r="D412" t="e">
        <f ca="1">BDP("88035RY8 Muni","YIELD_ON_ISSUE_DATE")</f>
        <v>#NAME?</v>
      </c>
      <c r="E412">
        <v>14400000</v>
      </c>
      <c r="F412" t="e">
        <f ca="1">BDP("88035RY8 Muni","ISSUE_DT")</f>
        <v>#NAME?</v>
      </c>
      <c r="G412" t="e">
        <f ca="1">BDP("88035RY8 Muni","MATURITY")</f>
        <v>#NAME?</v>
      </c>
      <c r="H412" t="e">
        <f ca="1">BDP("88035RY8 Muni","MUNI_TAX_PROV")</f>
        <v>#NAME?</v>
      </c>
      <c r="I412" t="e">
        <f ca="1">BDP("88035RY8 Muni","FINANCING_TYPE")</f>
        <v>#NAME?</v>
      </c>
      <c r="J412" t="e">
        <f ca="1">BDP("88035RY8 Muni","BICS_LEVEL_2_INDUSTRY_GROUP_NAME")</f>
        <v>#NAME?</v>
      </c>
      <c r="K412" t="e">
        <f ca="1">BDP("88035RY8 Muni","SELF_REPRTD_GREEN_INSTR_INDCTR")</f>
        <v>#NAME?</v>
      </c>
      <c r="L412" t="e">
        <f ca="1">BDP("88035RY8 Muni","GB_MANAGEMENT_PROCEEDS")</f>
        <v>#NAME?</v>
      </c>
      <c r="M412" t="e">
        <f ca="1">BDP("88035RY8 Muni","GB_REPORTING")</f>
        <v>#NAME?</v>
      </c>
      <c r="N412" t="e">
        <f ca="1">BDP("88035RY8 Muni","GB_ASSURANCE_PROVIDERS")</f>
        <v>#NAME?</v>
      </c>
      <c r="O412" t="e">
        <f ca="1">BDP("88035RY8 Muni","GB_PROJECT_SELECTION_PROCESS")</f>
        <v>#NAME?</v>
      </c>
      <c r="P412" t="e">
        <f ca="1">BDP("88035RY8 Muni","ESG_FRAMEWORK_INDICATOR")</f>
        <v>#NAME?</v>
      </c>
      <c r="Q412" t="e">
        <f ca="1">BDP("88035RY8 Muni","BLOOMBERG_SECTOR_CODE")</f>
        <v>#NAME?</v>
      </c>
      <c r="R412" t="e">
        <f ca="1">BDP("88035RY8 Muni","ISSUER_TYPE")</f>
        <v>#NAME?</v>
      </c>
      <c r="S412" t="e">
        <f ca="1">BDS("88035RY8 Muni","ESG_PROJECT_CATEGORY", "aggregate=y")</f>
        <v>#NAME?</v>
      </c>
      <c r="T412" t="e">
        <f ca="1">BDS("88035RY8 Muni","ESG_PROJECT_SUBCATEGORY", "aggregate=y")</f>
        <v>#NAME?</v>
      </c>
    </row>
    <row r="413" spans="1:20" x14ac:dyDescent="0.25">
      <c r="A413" t="e">
        <f ca="1">BDP("959215GB Muni","ID_CUSIP")</f>
        <v>#NAME?</v>
      </c>
      <c r="B413" t="e">
        <f ca="1">BDP("959215GB Muni","STATE_CODE")</f>
        <v>#NAME?</v>
      </c>
      <c r="C413" t="s">
        <v>26</v>
      </c>
      <c r="D413" t="e">
        <f ca="1">BDP("959215GB Muni","YIELD_ON_ISSUE_DATE")</f>
        <v>#NAME?</v>
      </c>
      <c r="E413">
        <v>365000</v>
      </c>
      <c r="F413" t="e">
        <f ca="1">BDP("959215GB Muni","ISSUE_DT")</f>
        <v>#NAME?</v>
      </c>
      <c r="G413" t="e">
        <f ca="1">BDP("959215GB Muni","MATURITY")</f>
        <v>#NAME?</v>
      </c>
      <c r="H413" t="e">
        <f ca="1">BDP("959215GB Muni","MUNI_TAX_PROV")</f>
        <v>#NAME?</v>
      </c>
      <c r="I413" t="e">
        <f ca="1">BDP("959215GB Muni","FINANCING_TYPE")</f>
        <v>#NAME?</v>
      </c>
      <c r="J413" t="e">
        <f ca="1">BDP("959215GB Muni","BICS_LEVEL_2_INDUSTRY_GROUP_NAME")</f>
        <v>#NAME?</v>
      </c>
      <c r="K413" t="e">
        <f ca="1">BDP("959215GB Muni","SELF_REPRTD_GREEN_INSTR_INDCTR")</f>
        <v>#NAME?</v>
      </c>
      <c r="L413" t="e">
        <f ca="1">BDP("959215GB Muni","GB_MANAGEMENT_PROCEEDS")</f>
        <v>#NAME?</v>
      </c>
      <c r="M413" t="e">
        <f ca="1">BDP("959215GB Muni","GB_REPORTING")</f>
        <v>#NAME?</v>
      </c>
      <c r="N413" t="e">
        <f ca="1">BDP("959215GB Muni","GB_ASSURANCE_PROVIDERS")</f>
        <v>#NAME?</v>
      </c>
      <c r="O413" t="e">
        <f ca="1">BDP("959215GB Muni","GB_PROJECT_SELECTION_PROCESS")</f>
        <v>#NAME?</v>
      </c>
      <c r="P413" t="e">
        <f ca="1">BDP("959215GB Muni","ESG_FRAMEWORK_INDICATOR")</f>
        <v>#NAME?</v>
      </c>
      <c r="Q413" t="e">
        <f ca="1">BDP("959215GB Muni","BLOOMBERG_SECTOR_CODE")</f>
        <v>#NAME?</v>
      </c>
      <c r="R413" t="e">
        <f ca="1">BDP("959215GB Muni","ISSUER_TYPE")</f>
        <v>#NAME?</v>
      </c>
      <c r="S413" t="e">
        <f ca="1">BDS("959215GB Muni","ESG_PROJECT_CATEGORY", "aggregate=y")</f>
        <v>#NAME?</v>
      </c>
      <c r="T413" t="e">
        <f ca="1">BDS("959215GB Muni","ESG_PROJECT_SUBCATEGORY", "aggregate=y")</f>
        <v>#NAME?</v>
      </c>
    </row>
    <row r="414" spans="1:20" x14ac:dyDescent="0.25">
      <c r="A414" t="e">
        <f ca="1">BDP("959215GD Muni","ID_CUSIP")</f>
        <v>#NAME?</v>
      </c>
      <c r="B414" t="e">
        <f ca="1">BDP("959215GD Muni","STATE_CODE")</f>
        <v>#NAME?</v>
      </c>
      <c r="C414" t="s">
        <v>26</v>
      </c>
      <c r="D414" t="e">
        <f ca="1">BDP("959215GD Muni","YIELD_ON_ISSUE_DATE")</f>
        <v>#NAME?</v>
      </c>
      <c r="E414">
        <v>350000</v>
      </c>
      <c r="F414" t="e">
        <f ca="1">BDP("959215GD Muni","ISSUE_DT")</f>
        <v>#NAME?</v>
      </c>
      <c r="G414" t="e">
        <f ca="1">BDP("959215GD Muni","MATURITY")</f>
        <v>#NAME?</v>
      </c>
      <c r="H414" t="e">
        <f ca="1">BDP("959215GD Muni","MUNI_TAX_PROV")</f>
        <v>#NAME?</v>
      </c>
      <c r="I414" t="e">
        <f ca="1">BDP("959215GD Muni","FINANCING_TYPE")</f>
        <v>#NAME?</v>
      </c>
      <c r="J414" t="e">
        <f ca="1">BDP("959215GD Muni","BICS_LEVEL_2_INDUSTRY_GROUP_NAME")</f>
        <v>#NAME?</v>
      </c>
      <c r="K414" t="e">
        <f ca="1">BDP("959215GD Muni","SELF_REPRTD_GREEN_INSTR_INDCTR")</f>
        <v>#NAME?</v>
      </c>
      <c r="L414" t="e">
        <f ca="1">BDP("959215GD Muni","GB_MANAGEMENT_PROCEEDS")</f>
        <v>#NAME?</v>
      </c>
      <c r="M414" t="e">
        <f ca="1">BDP("959215GD Muni","GB_REPORTING")</f>
        <v>#NAME?</v>
      </c>
      <c r="N414" t="e">
        <f ca="1">BDP("959215GD Muni","GB_ASSURANCE_PROVIDERS")</f>
        <v>#NAME?</v>
      </c>
      <c r="O414" t="e">
        <f ca="1">BDP("959215GD Muni","GB_PROJECT_SELECTION_PROCESS")</f>
        <v>#NAME?</v>
      </c>
      <c r="P414" t="e">
        <f ca="1">BDP("959215GD Muni","ESG_FRAMEWORK_INDICATOR")</f>
        <v>#NAME?</v>
      </c>
      <c r="Q414" t="e">
        <f ca="1">BDP("959215GD Muni","BLOOMBERG_SECTOR_CODE")</f>
        <v>#NAME?</v>
      </c>
      <c r="R414" t="e">
        <f ca="1">BDP("959215GD Muni","ISSUER_TYPE")</f>
        <v>#NAME?</v>
      </c>
      <c r="S414" t="e">
        <f ca="1">BDS("959215GD Muni","ESG_PROJECT_CATEGORY", "aggregate=y")</f>
        <v>#NAME?</v>
      </c>
      <c r="T414" t="e">
        <f ca="1">BDS("959215GD Muni","ESG_PROJECT_SUBCATEGORY", "aggregate=y")</f>
        <v>#NAME?</v>
      </c>
    </row>
    <row r="415" spans="1:20" x14ac:dyDescent="0.25">
      <c r="A415" t="e">
        <f ca="1">BDP("959215GH Muni","ID_CUSIP")</f>
        <v>#NAME?</v>
      </c>
      <c r="B415" t="e">
        <f ca="1">BDP("959215GH Muni","STATE_CODE")</f>
        <v>#NAME?</v>
      </c>
      <c r="C415" t="s">
        <v>26</v>
      </c>
      <c r="D415" t="e">
        <f ca="1">BDP("959215GH Muni","YIELD_ON_ISSUE_DATE")</f>
        <v>#NAME?</v>
      </c>
      <c r="E415">
        <v>590000</v>
      </c>
      <c r="F415" t="e">
        <f ca="1">BDP("959215GH Muni","ISSUE_DT")</f>
        <v>#NAME?</v>
      </c>
      <c r="G415" t="e">
        <f ca="1">BDP("959215GH Muni","MATURITY")</f>
        <v>#NAME?</v>
      </c>
      <c r="H415" t="e">
        <f ca="1">BDP("959215GH Muni","MUNI_TAX_PROV")</f>
        <v>#NAME?</v>
      </c>
      <c r="I415" t="e">
        <f ca="1">BDP("959215GH Muni","FINANCING_TYPE")</f>
        <v>#NAME?</v>
      </c>
      <c r="J415" t="e">
        <f ca="1">BDP("959215GH Muni","BICS_LEVEL_2_INDUSTRY_GROUP_NAME")</f>
        <v>#NAME?</v>
      </c>
      <c r="K415" t="e">
        <f ca="1">BDP("959215GH Muni","SELF_REPRTD_GREEN_INSTR_INDCTR")</f>
        <v>#NAME?</v>
      </c>
      <c r="L415" t="e">
        <f ca="1">BDP("959215GH Muni","GB_MANAGEMENT_PROCEEDS")</f>
        <v>#NAME?</v>
      </c>
      <c r="M415" t="e">
        <f ca="1">BDP("959215GH Muni","GB_REPORTING")</f>
        <v>#NAME?</v>
      </c>
      <c r="N415" t="e">
        <f ca="1">BDP("959215GH Muni","GB_ASSURANCE_PROVIDERS")</f>
        <v>#NAME?</v>
      </c>
      <c r="O415" t="e">
        <f ca="1">BDP("959215GH Muni","GB_PROJECT_SELECTION_PROCESS")</f>
        <v>#NAME?</v>
      </c>
      <c r="P415" t="e">
        <f ca="1">BDP("959215GH Muni","ESG_FRAMEWORK_INDICATOR")</f>
        <v>#NAME?</v>
      </c>
      <c r="Q415" t="e">
        <f ca="1">BDP("959215GH Muni","BLOOMBERG_SECTOR_CODE")</f>
        <v>#NAME?</v>
      </c>
      <c r="R415" t="e">
        <f ca="1">BDP("959215GH Muni","ISSUER_TYPE")</f>
        <v>#NAME?</v>
      </c>
      <c r="S415" t="e">
        <f ca="1">BDS("959215GH Muni","ESG_PROJECT_CATEGORY", "aggregate=y")</f>
        <v>#NAME?</v>
      </c>
      <c r="T415" t="e">
        <f ca="1">BDS("959215GH Muni","ESG_PROJECT_SUBCATEGORY", "aggregate=y")</f>
        <v>#NAME?</v>
      </c>
    </row>
    <row r="416" spans="1:20" x14ac:dyDescent="0.25">
      <c r="A416" t="e">
        <f ca="1">BDP("072024H7 Muni","ID_CUSIP")</f>
        <v>#NAME?</v>
      </c>
      <c r="B416" t="e">
        <f ca="1">BDP("072024H7 Muni","STATE_CODE")</f>
        <v>#NAME?</v>
      </c>
      <c r="C416" t="s">
        <v>39</v>
      </c>
      <c r="D416" t="e">
        <f ca="1">BDP("072024H7 Muni","YIELD_ON_ISSUE_DATE")</f>
        <v>#NAME?</v>
      </c>
      <c r="E416">
        <v>34485000</v>
      </c>
      <c r="F416" t="e">
        <f ca="1">BDP("072024H7 Muni","ISSUE_DT")</f>
        <v>#NAME?</v>
      </c>
      <c r="G416" t="e">
        <f ca="1">BDP("072024H7 Muni","MATURITY")</f>
        <v>#NAME?</v>
      </c>
      <c r="H416" t="e">
        <f ca="1">BDP("072024H7 Muni","MUNI_TAX_PROV")</f>
        <v>#NAME?</v>
      </c>
      <c r="I416" t="e">
        <f ca="1">BDP("072024H7 Muni","FINANCING_TYPE")</f>
        <v>#NAME?</v>
      </c>
      <c r="J416" t="e">
        <f ca="1">BDP("072024H7 Muni","BICS_LEVEL_2_INDUSTRY_GROUP_NAME")</f>
        <v>#NAME?</v>
      </c>
      <c r="K416" t="e">
        <f ca="1">BDP("072024H7 Muni","SELF_REPRTD_GREEN_INSTR_INDCTR")</f>
        <v>#NAME?</v>
      </c>
      <c r="L416" t="e">
        <f ca="1">BDP("072024H7 Muni","GB_MANAGEMENT_PROCEEDS")</f>
        <v>#NAME?</v>
      </c>
      <c r="M416" t="e">
        <f ca="1">BDP("072024H7 Muni","GB_REPORTING")</f>
        <v>#NAME?</v>
      </c>
      <c r="N416" t="e">
        <f ca="1">BDP("072024H7 Muni","GB_ASSURANCE_PROVIDERS")</f>
        <v>#NAME?</v>
      </c>
      <c r="O416" t="e">
        <f ca="1">BDP("072024H7 Muni","GB_PROJECT_SELECTION_PROCESS")</f>
        <v>#NAME?</v>
      </c>
      <c r="P416" t="e">
        <f ca="1">BDP("072024H7 Muni","ESG_FRAMEWORK_INDICATOR")</f>
        <v>#NAME?</v>
      </c>
      <c r="Q416" t="e">
        <f ca="1">BDP("072024H7 Muni","BLOOMBERG_SECTOR_CODE")</f>
        <v>#NAME?</v>
      </c>
      <c r="R416" t="e">
        <f ca="1">BDP("072024H7 Muni","ISSUER_TYPE")</f>
        <v>#NAME?</v>
      </c>
      <c r="S416" t="e">
        <f ca="1">BDS("072024H7 Muni","ESG_PROJECT_CATEGORY", "aggregate=y")</f>
        <v>#NAME?</v>
      </c>
      <c r="T416" t="e">
        <f ca="1">BDS("072024H7 Muni","ESG_PROJECT_SUBCATEGORY", "aggregate=y")</f>
        <v>#NAME?</v>
      </c>
    </row>
    <row r="417" spans="1:20" x14ac:dyDescent="0.25">
      <c r="A417" t="e">
        <f ca="1">BDP("13013JGW Muni","ID_CUSIP")</f>
        <v>#NAME?</v>
      </c>
      <c r="B417" t="e">
        <f ca="1">BDP("13013JGW Muni","STATE_CODE")</f>
        <v>#NAME?</v>
      </c>
      <c r="C417" t="s">
        <v>30</v>
      </c>
      <c r="D417" t="e">
        <f ca="1">BDP("13013JGW Muni","YIELD_ON_ISSUE_DATE")</f>
        <v>#NAME?</v>
      </c>
      <c r="E417">
        <v>6585000</v>
      </c>
      <c r="F417" t="e">
        <f ca="1">BDP("13013JGW Muni","ISSUE_DT")</f>
        <v>#NAME?</v>
      </c>
      <c r="G417" t="e">
        <f ca="1">BDP("13013JGW Muni","MATURITY")</f>
        <v>#NAME?</v>
      </c>
      <c r="H417" t="e">
        <f ca="1">BDP("13013JGW Muni","MUNI_TAX_PROV")</f>
        <v>#NAME?</v>
      </c>
      <c r="I417" t="e">
        <f ca="1">BDP("13013JGW Muni","FINANCING_TYPE")</f>
        <v>#NAME?</v>
      </c>
      <c r="J417" t="e">
        <f ca="1">BDP("13013JGW Muni","BICS_LEVEL_2_INDUSTRY_GROUP_NAME")</f>
        <v>#NAME?</v>
      </c>
      <c r="K417" t="e">
        <f ca="1">BDP("13013JGW Muni","SELF_REPRTD_GREEN_INSTR_INDCTR")</f>
        <v>#NAME?</v>
      </c>
      <c r="L417" t="e">
        <f ca="1">BDP("13013JGW Muni","GB_MANAGEMENT_PROCEEDS")</f>
        <v>#NAME?</v>
      </c>
      <c r="M417" t="e">
        <f ca="1">BDP("13013JGW Muni","GB_REPORTING")</f>
        <v>#NAME?</v>
      </c>
      <c r="N417" t="e">
        <f ca="1">BDP("13013JGW Muni","GB_ASSURANCE_PROVIDERS")</f>
        <v>#NAME?</v>
      </c>
      <c r="O417" t="e">
        <f ca="1">BDP("13013JGW Muni","GB_PROJECT_SELECTION_PROCESS")</f>
        <v>#NAME?</v>
      </c>
      <c r="P417" t="e">
        <f ca="1">BDP("13013JGW Muni","ESG_FRAMEWORK_INDICATOR")</f>
        <v>#NAME?</v>
      </c>
      <c r="Q417" t="e">
        <f ca="1">BDP("13013JGW Muni","BLOOMBERG_SECTOR_CODE")</f>
        <v>#NAME?</v>
      </c>
      <c r="R417" t="e">
        <f ca="1">BDP("13013JGW Muni","ISSUER_TYPE")</f>
        <v>#NAME?</v>
      </c>
      <c r="S417" t="e">
        <f ca="1">BDS("13013JGW Muni","ESG_PROJECT_CATEGORY", "aggregate=y")</f>
        <v>#NAME?</v>
      </c>
      <c r="T417" t="e">
        <f ca="1">BDS("13013JGW Muni","ESG_PROJECT_SUBCATEGORY", "aggregate=y")</f>
        <v>#NAME?</v>
      </c>
    </row>
    <row r="418" spans="1:20" x14ac:dyDescent="0.25">
      <c r="A418" t="e">
        <f ca="1">BDP("13013JHB Muni","ID_CUSIP")</f>
        <v>#NAME?</v>
      </c>
      <c r="B418" t="e">
        <f ca="1">BDP("13013JHB Muni","STATE_CODE")</f>
        <v>#NAME?</v>
      </c>
      <c r="C418" t="s">
        <v>30</v>
      </c>
      <c r="D418" t="e">
        <f ca="1">BDP("13013JHB Muni","YIELD_ON_ISSUE_DATE")</f>
        <v>#NAME?</v>
      </c>
      <c r="E418">
        <v>6875000</v>
      </c>
      <c r="F418" t="e">
        <f ca="1">BDP("13013JHB Muni","ISSUE_DT")</f>
        <v>#NAME?</v>
      </c>
      <c r="G418" t="e">
        <f ca="1">BDP("13013JHB Muni","MATURITY")</f>
        <v>#NAME?</v>
      </c>
      <c r="H418" t="e">
        <f ca="1">BDP("13013JHB Muni","MUNI_TAX_PROV")</f>
        <v>#NAME?</v>
      </c>
      <c r="I418" t="e">
        <f ca="1">BDP("13013JHB Muni","FINANCING_TYPE")</f>
        <v>#NAME?</v>
      </c>
      <c r="J418" t="e">
        <f ca="1">BDP("13013JHB Muni","BICS_LEVEL_2_INDUSTRY_GROUP_NAME")</f>
        <v>#NAME?</v>
      </c>
      <c r="K418" t="e">
        <f ca="1">BDP("13013JHB Muni","SELF_REPRTD_GREEN_INSTR_INDCTR")</f>
        <v>#NAME?</v>
      </c>
      <c r="L418" t="e">
        <f ca="1">BDP("13013JHB Muni","GB_MANAGEMENT_PROCEEDS")</f>
        <v>#NAME?</v>
      </c>
      <c r="M418" t="e">
        <f ca="1">BDP("13013JHB Muni","GB_REPORTING")</f>
        <v>#NAME?</v>
      </c>
      <c r="N418" t="e">
        <f ca="1">BDP("13013JHB Muni","GB_ASSURANCE_PROVIDERS")</f>
        <v>#NAME?</v>
      </c>
      <c r="O418" t="e">
        <f ca="1">BDP("13013JHB Muni","GB_PROJECT_SELECTION_PROCESS")</f>
        <v>#NAME?</v>
      </c>
      <c r="P418" t="e">
        <f ca="1">BDP("13013JHB Muni","ESG_FRAMEWORK_INDICATOR")</f>
        <v>#NAME?</v>
      </c>
      <c r="Q418" t="e">
        <f ca="1">BDP("13013JHB Muni","BLOOMBERG_SECTOR_CODE")</f>
        <v>#NAME?</v>
      </c>
      <c r="R418" t="e">
        <f ca="1">BDP("13013JHB Muni","ISSUER_TYPE")</f>
        <v>#NAME?</v>
      </c>
      <c r="S418" t="e">
        <f ca="1">BDS("13013JHB Muni","ESG_PROJECT_CATEGORY", "aggregate=y")</f>
        <v>#NAME?</v>
      </c>
      <c r="T418" t="e">
        <f ca="1">BDS("13013JHB Muni","ESG_PROJECT_SUBCATEGORY", "aggregate=y")</f>
        <v>#NAME?</v>
      </c>
    </row>
    <row r="419" spans="1:20" x14ac:dyDescent="0.25">
      <c r="A419" t="e">
        <f ca="1">BDP("13013JHC Muni","ID_CUSIP")</f>
        <v>#NAME?</v>
      </c>
      <c r="B419" t="e">
        <f ca="1">BDP("13013JHC Muni","STATE_CODE")</f>
        <v>#NAME?</v>
      </c>
      <c r="C419" t="s">
        <v>30</v>
      </c>
      <c r="D419" t="e">
        <f ca="1">BDP("13013JHC Muni","YIELD_ON_ISSUE_DATE")</f>
        <v>#NAME?</v>
      </c>
      <c r="E419">
        <v>7600000</v>
      </c>
      <c r="F419" t="e">
        <f ca="1">BDP("13013JHC Muni","ISSUE_DT")</f>
        <v>#NAME?</v>
      </c>
      <c r="G419" t="e">
        <f ca="1">BDP("13013JHC Muni","MATURITY")</f>
        <v>#NAME?</v>
      </c>
      <c r="H419" t="e">
        <f ca="1">BDP("13013JHC Muni","MUNI_TAX_PROV")</f>
        <v>#NAME?</v>
      </c>
      <c r="I419" t="e">
        <f ca="1">BDP("13013JHC Muni","FINANCING_TYPE")</f>
        <v>#NAME?</v>
      </c>
      <c r="J419" t="e">
        <f ca="1">BDP("13013JHC Muni","BICS_LEVEL_2_INDUSTRY_GROUP_NAME")</f>
        <v>#NAME?</v>
      </c>
      <c r="K419" t="e">
        <f ca="1">BDP("13013JHC Muni","SELF_REPRTD_GREEN_INSTR_INDCTR")</f>
        <v>#NAME?</v>
      </c>
      <c r="L419" t="e">
        <f ca="1">BDP("13013JHC Muni","GB_MANAGEMENT_PROCEEDS")</f>
        <v>#NAME?</v>
      </c>
      <c r="M419" t="e">
        <f ca="1">BDP("13013JHC Muni","GB_REPORTING")</f>
        <v>#NAME?</v>
      </c>
      <c r="N419" t="e">
        <f ca="1">BDP("13013JHC Muni","GB_ASSURANCE_PROVIDERS")</f>
        <v>#NAME?</v>
      </c>
      <c r="O419" t="e">
        <f ca="1">BDP("13013JHC Muni","GB_PROJECT_SELECTION_PROCESS")</f>
        <v>#NAME?</v>
      </c>
      <c r="P419" t="e">
        <f ca="1">BDP("13013JHC Muni","ESG_FRAMEWORK_INDICATOR")</f>
        <v>#NAME?</v>
      </c>
      <c r="Q419" t="e">
        <f ca="1">BDP("13013JHC Muni","BLOOMBERG_SECTOR_CODE")</f>
        <v>#NAME?</v>
      </c>
      <c r="R419" t="e">
        <f ca="1">BDP("13013JHC Muni","ISSUER_TYPE")</f>
        <v>#NAME?</v>
      </c>
      <c r="S419" t="e">
        <f ca="1">BDS("13013JHC Muni","ESG_PROJECT_CATEGORY", "aggregate=y")</f>
        <v>#NAME?</v>
      </c>
      <c r="T419" t="e">
        <f ca="1">BDS("13013JHC Muni","ESG_PROJECT_SUBCATEGORY", "aggregate=y")</f>
        <v>#NAME?</v>
      </c>
    </row>
    <row r="420" spans="1:20" x14ac:dyDescent="0.25">
      <c r="A420" t="e">
        <f ca="1">BDP("13034A7S Muni","ID_CUSIP")</f>
        <v>#NAME?</v>
      </c>
      <c r="B420" t="e">
        <f ca="1">BDP("13034A7S Muni","STATE_CODE")</f>
        <v>#NAME?</v>
      </c>
      <c r="C420" t="s">
        <v>27</v>
      </c>
      <c r="D420" t="e">
        <f ca="1">BDP("13034A7S Muni","YIELD_ON_ISSUE_DATE")</f>
        <v>#NAME?</v>
      </c>
      <c r="E420">
        <v>19440000</v>
      </c>
      <c r="F420" t="e">
        <f ca="1">BDP("13034A7S Muni","ISSUE_DT")</f>
        <v>#NAME?</v>
      </c>
      <c r="G420" t="e">
        <f ca="1">BDP("13034A7S Muni","MATURITY")</f>
        <v>#NAME?</v>
      </c>
      <c r="H420" t="e">
        <f ca="1">BDP("13034A7S Muni","MUNI_TAX_PROV")</f>
        <v>#NAME?</v>
      </c>
      <c r="I420" t="e">
        <f ca="1">BDP("13034A7S Muni","FINANCING_TYPE")</f>
        <v>#NAME?</v>
      </c>
      <c r="J420" t="e">
        <f ca="1">BDP("13034A7S Muni","BICS_LEVEL_2_INDUSTRY_GROUP_NAME")</f>
        <v>#NAME?</v>
      </c>
      <c r="K420" t="e">
        <f ca="1">BDP("13034A7S Muni","SELF_REPRTD_GREEN_INSTR_INDCTR")</f>
        <v>#NAME?</v>
      </c>
      <c r="L420" t="e">
        <f ca="1">BDP("13034A7S Muni","GB_MANAGEMENT_PROCEEDS")</f>
        <v>#NAME?</v>
      </c>
      <c r="M420" t="e">
        <f ca="1">BDP("13034A7S Muni","GB_REPORTING")</f>
        <v>#NAME?</v>
      </c>
      <c r="N420" t="e">
        <f ca="1">BDP("13034A7S Muni","GB_ASSURANCE_PROVIDERS")</f>
        <v>#NAME?</v>
      </c>
      <c r="O420" t="e">
        <f ca="1">BDP("13034A7S Muni","GB_PROJECT_SELECTION_PROCESS")</f>
        <v>#NAME?</v>
      </c>
      <c r="P420" t="e">
        <f ca="1">BDP("13034A7S Muni","ESG_FRAMEWORK_INDICATOR")</f>
        <v>#NAME?</v>
      </c>
      <c r="Q420" t="e">
        <f ca="1">BDP("13034A7S Muni","BLOOMBERG_SECTOR_CODE")</f>
        <v>#NAME?</v>
      </c>
      <c r="R420" t="e">
        <f ca="1">BDP("13034A7S Muni","ISSUER_TYPE")</f>
        <v>#NAME?</v>
      </c>
      <c r="S420" t="e">
        <f ca="1">BDS("13034A7S Muni","ESG_PROJECT_CATEGORY", "aggregate=y")</f>
        <v>#NAME?</v>
      </c>
      <c r="T420" t="e">
        <f ca="1">BDS("13034A7S Muni","ESG_PROJECT_SUBCATEGORY", "aggregate=y")</f>
        <v>#NAME?</v>
      </c>
    </row>
    <row r="421" spans="1:20" x14ac:dyDescent="0.25">
      <c r="A421" t="e">
        <f ca="1">BDP("13034A7W Muni","ID_CUSIP")</f>
        <v>#NAME?</v>
      </c>
      <c r="B421" t="e">
        <f ca="1">BDP("13034A7W Muni","STATE_CODE")</f>
        <v>#NAME?</v>
      </c>
      <c r="C421" t="s">
        <v>27</v>
      </c>
      <c r="D421" t="e">
        <f ca="1">BDP("13034A7W Muni","YIELD_ON_ISSUE_DATE")</f>
        <v>#NAME?</v>
      </c>
      <c r="E421">
        <v>23630000</v>
      </c>
      <c r="F421" t="e">
        <f ca="1">BDP("13034A7W Muni","ISSUE_DT")</f>
        <v>#NAME?</v>
      </c>
      <c r="G421" t="e">
        <f ca="1">BDP("13034A7W Muni","MATURITY")</f>
        <v>#NAME?</v>
      </c>
      <c r="H421" t="e">
        <f ca="1">BDP("13034A7W Muni","MUNI_TAX_PROV")</f>
        <v>#NAME?</v>
      </c>
      <c r="I421" t="e">
        <f ca="1">BDP("13034A7W Muni","FINANCING_TYPE")</f>
        <v>#NAME?</v>
      </c>
      <c r="J421" t="e">
        <f ca="1">BDP("13034A7W Muni","BICS_LEVEL_2_INDUSTRY_GROUP_NAME")</f>
        <v>#NAME?</v>
      </c>
      <c r="K421" t="e">
        <f ca="1">BDP("13034A7W Muni","SELF_REPRTD_GREEN_INSTR_INDCTR")</f>
        <v>#NAME?</v>
      </c>
      <c r="L421" t="e">
        <f ca="1">BDP("13034A7W Muni","GB_MANAGEMENT_PROCEEDS")</f>
        <v>#NAME?</v>
      </c>
      <c r="M421" t="e">
        <f ca="1">BDP("13034A7W Muni","GB_REPORTING")</f>
        <v>#NAME?</v>
      </c>
      <c r="N421" t="e">
        <f ca="1">BDP("13034A7W Muni","GB_ASSURANCE_PROVIDERS")</f>
        <v>#NAME?</v>
      </c>
      <c r="O421" t="e">
        <f ca="1">BDP("13034A7W Muni","GB_PROJECT_SELECTION_PROCESS")</f>
        <v>#NAME?</v>
      </c>
      <c r="P421" t="e">
        <f ca="1">BDP("13034A7W Muni","ESG_FRAMEWORK_INDICATOR")</f>
        <v>#NAME?</v>
      </c>
      <c r="Q421" t="e">
        <f ca="1">BDP("13034A7W Muni","BLOOMBERG_SECTOR_CODE")</f>
        <v>#NAME?</v>
      </c>
      <c r="R421" t="e">
        <f ca="1">BDP("13034A7W Muni","ISSUER_TYPE")</f>
        <v>#NAME?</v>
      </c>
      <c r="S421" t="e">
        <f ca="1">BDS("13034A7W Muni","ESG_PROJECT_CATEGORY", "aggregate=y")</f>
        <v>#NAME?</v>
      </c>
      <c r="T421" t="e">
        <f ca="1">BDS("13034A7W Muni","ESG_PROJECT_SUBCATEGORY", "aggregate=y")</f>
        <v>#NAME?</v>
      </c>
    </row>
    <row r="422" spans="1:20" x14ac:dyDescent="0.25">
      <c r="A422" t="e">
        <f ca="1">BDP("271012HL Muni","ID_CUSIP")</f>
        <v>#NAME?</v>
      </c>
      <c r="B422" t="e">
        <f ca="1">BDP("271012HL Muni","STATE_CODE")</f>
        <v>#NAME?</v>
      </c>
      <c r="C422" t="s">
        <v>32</v>
      </c>
      <c r="D422" t="e">
        <f ca="1">BDP("271012HL Muni","YIELD_ON_ISSUE_DATE")</f>
        <v>#NAME?</v>
      </c>
      <c r="E422">
        <v>1535000</v>
      </c>
      <c r="F422" t="e">
        <f ca="1">BDP("271012HL Muni","ISSUE_DT")</f>
        <v>#NAME?</v>
      </c>
      <c r="G422" t="e">
        <f ca="1">BDP("271012HL Muni","MATURITY")</f>
        <v>#NAME?</v>
      </c>
      <c r="H422" t="e">
        <f ca="1">BDP("271012HL Muni","MUNI_TAX_PROV")</f>
        <v>#NAME?</v>
      </c>
      <c r="I422" t="e">
        <f ca="1">BDP("271012HL Muni","FINANCING_TYPE")</f>
        <v>#NAME?</v>
      </c>
      <c r="J422" t="e">
        <f ca="1">BDP("271012HL Muni","BICS_LEVEL_2_INDUSTRY_GROUP_NAME")</f>
        <v>#NAME?</v>
      </c>
      <c r="K422" t="e">
        <f ca="1">BDP("271012HL Muni","SELF_REPRTD_GREEN_INSTR_INDCTR")</f>
        <v>#NAME?</v>
      </c>
      <c r="L422" t="e">
        <f ca="1">BDP("271012HL Muni","GB_MANAGEMENT_PROCEEDS")</f>
        <v>#NAME?</v>
      </c>
      <c r="M422" t="e">
        <f ca="1">BDP("271012HL Muni","GB_REPORTING")</f>
        <v>#NAME?</v>
      </c>
      <c r="N422" t="e">
        <f ca="1">BDP("271012HL Muni","GB_ASSURANCE_PROVIDERS")</f>
        <v>#NAME?</v>
      </c>
      <c r="O422" t="e">
        <f ca="1">BDP("271012HL Muni","GB_PROJECT_SELECTION_PROCESS")</f>
        <v>#NAME?</v>
      </c>
      <c r="P422" t="e">
        <f ca="1">BDP("271012HL Muni","ESG_FRAMEWORK_INDICATOR")</f>
        <v>#NAME?</v>
      </c>
      <c r="Q422" t="e">
        <f ca="1">BDP("271012HL Muni","BLOOMBERG_SECTOR_CODE")</f>
        <v>#NAME?</v>
      </c>
      <c r="R422" t="e">
        <f ca="1">BDP("271012HL Muni","ISSUER_TYPE")</f>
        <v>#NAME?</v>
      </c>
      <c r="S422" t="e">
        <f ca="1">BDS("271012HL Muni","ESG_PROJECT_CATEGORY", "aggregate=y")</f>
        <v>#NAME?</v>
      </c>
      <c r="T422" t="e">
        <f ca="1">BDS("271012HL Muni","ESG_PROJECT_SUBCATEGORY", "aggregate=y")</f>
        <v>#NAME?</v>
      </c>
    </row>
    <row r="423" spans="1:20" x14ac:dyDescent="0.25">
      <c r="A423" t="e">
        <f ca="1">BDP("271012HM Muni","ID_CUSIP")</f>
        <v>#NAME?</v>
      </c>
      <c r="B423" t="e">
        <f ca="1">BDP("271012HM Muni","STATE_CODE")</f>
        <v>#NAME?</v>
      </c>
      <c r="C423" t="s">
        <v>32</v>
      </c>
      <c r="D423" t="e">
        <f ca="1">BDP("271012HM Muni","YIELD_ON_ISSUE_DATE")</f>
        <v>#NAME?</v>
      </c>
      <c r="E423">
        <v>1610000</v>
      </c>
      <c r="F423" t="e">
        <f ca="1">BDP("271012HM Muni","ISSUE_DT")</f>
        <v>#NAME?</v>
      </c>
      <c r="G423" t="e">
        <f ca="1">BDP("271012HM Muni","MATURITY")</f>
        <v>#NAME?</v>
      </c>
      <c r="H423" t="e">
        <f ca="1">BDP("271012HM Muni","MUNI_TAX_PROV")</f>
        <v>#NAME?</v>
      </c>
      <c r="I423" t="e">
        <f ca="1">BDP("271012HM Muni","FINANCING_TYPE")</f>
        <v>#NAME?</v>
      </c>
      <c r="J423" t="e">
        <f ca="1">BDP("271012HM Muni","BICS_LEVEL_2_INDUSTRY_GROUP_NAME")</f>
        <v>#NAME?</v>
      </c>
      <c r="K423" t="e">
        <f ca="1">BDP("271012HM Muni","SELF_REPRTD_GREEN_INSTR_INDCTR")</f>
        <v>#NAME?</v>
      </c>
      <c r="L423" t="e">
        <f ca="1">BDP("271012HM Muni","GB_MANAGEMENT_PROCEEDS")</f>
        <v>#NAME?</v>
      </c>
      <c r="M423" t="e">
        <f ca="1">BDP("271012HM Muni","GB_REPORTING")</f>
        <v>#NAME?</v>
      </c>
      <c r="N423" t="e">
        <f ca="1">BDP("271012HM Muni","GB_ASSURANCE_PROVIDERS")</f>
        <v>#NAME?</v>
      </c>
      <c r="O423" t="e">
        <f ca="1">BDP("271012HM Muni","GB_PROJECT_SELECTION_PROCESS")</f>
        <v>#NAME?</v>
      </c>
      <c r="P423" t="e">
        <f ca="1">BDP("271012HM Muni","ESG_FRAMEWORK_INDICATOR")</f>
        <v>#NAME?</v>
      </c>
      <c r="Q423" t="e">
        <f ca="1">BDP("271012HM Muni","BLOOMBERG_SECTOR_CODE")</f>
        <v>#NAME?</v>
      </c>
      <c r="R423" t="e">
        <f ca="1">BDP("271012HM Muni","ISSUER_TYPE")</f>
        <v>#NAME?</v>
      </c>
      <c r="S423" t="e">
        <f ca="1">BDS("271012HM Muni","ESG_PROJECT_CATEGORY", "aggregate=y")</f>
        <v>#NAME?</v>
      </c>
      <c r="T423" t="e">
        <f ca="1">BDS("271012HM Muni","ESG_PROJECT_SUBCATEGORY", "aggregate=y")</f>
        <v>#NAME?</v>
      </c>
    </row>
    <row r="424" spans="1:20" x14ac:dyDescent="0.25">
      <c r="A424" t="e">
        <f ca="1">BDP("271012HN Muni","ID_CUSIP")</f>
        <v>#NAME?</v>
      </c>
      <c r="B424" t="e">
        <f ca="1">BDP("271012HN Muni","STATE_CODE")</f>
        <v>#NAME?</v>
      </c>
      <c r="C424" t="s">
        <v>32</v>
      </c>
      <c r="D424" t="e">
        <f ca="1">BDP("271012HN Muni","YIELD_ON_ISSUE_DATE")</f>
        <v>#NAME?</v>
      </c>
      <c r="E424">
        <v>9340000</v>
      </c>
      <c r="F424" t="e">
        <f ca="1">BDP("271012HN Muni","ISSUE_DT")</f>
        <v>#NAME?</v>
      </c>
      <c r="G424" t="e">
        <f ca="1">BDP("271012HN Muni","MATURITY")</f>
        <v>#NAME?</v>
      </c>
      <c r="H424" t="e">
        <f ca="1">BDP("271012HN Muni","MUNI_TAX_PROV")</f>
        <v>#NAME?</v>
      </c>
      <c r="I424" t="e">
        <f ca="1">BDP("271012HN Muni","FINANCING_TYPE")</f>
        <v>#NAME?</v>
      </c>
      <c r="J424" t="e">
        <f ca="1">BDP("271012HN Muni","BICS_LEVEL_2_INDUSTRY_GROUP_NAME")</f>
        <v>#NAME?</v>
      </c>
      <c r="K424" t="e">
        <f ca="1">BDP("271012HN Muni","SELF_REPRTD_GREEN_INSTR_INDCTR")</f>
        <v>#NAME?</v>
      </c>
      <c r="L424" t="e">
        <f ca="1">BDP("271012HN Muni","GB_MANAGEMENT_PROCEEDS")</f>
        <v>#NAME?</v>
      </c>
      <c r="M424" t="e">
        <f ca="1">BDP("271012HN Muni","GB_REPORTING")</f>
        <v>#NAME?</v>
      </c>
      <c r="N424" t="e">
        <f ca="1">BDP("271012HN Muni","GB_ASSURANCE_PROVIDERS")</f>
        <v>#NAME?</v>
      </c>
      <c r="O424" t="e">
        <f ca="1">BDP("271012HN Muni","GB_PROJECT_SELECTION_PROCESS")</f>
        <v>#NAME?</v>
      </c>
      <c r="P424" t="e">
        <f ca="1">BDP("271012HN Muni","ESG_FRAMEWORK_INDICATOR")</f>
        <v>#NAME?</v>
      </c>
      <c r="Q424" t="e">
        <f ca="1">BDP("271012HN Muni","BLOOMBERG_SECTOR_CODE")</f>
        <v>#NAME?</v>
      </c>
      <c r="R424" t="e">
        <f ca="1">BDP("271012HN Muni","ISSUER_TYPE")</f>
        <v>#NAME?</v>
      </c>
      <c r="S424" t="e">
        <f ca="1">BDS("271012HN Muni","ESG_PROJECT_CATEGORY", "aggregate=y")</f>
        <v>#NAME?</v>
      </c>
      <c r="T424" t="e">
        <f ca="1">BDS("271012HN Muni","ESG_PROJECT_SUBCATEGORY", "aggregate=y")</f>
        <v>#NAME?</v>
      </c>
    </row>
    <row r="425" spans="1:20" x14ac:dyDescent="0.25">
      <c r="A425" t="e">
        <f ca="1">BDP("797661E2 Muni","ID_CUSIP")</f>
        <v>#NAME?</v>
      </c>
      <c r="B425" t="e">
        <f ca="1">BDP("797661E2 Muni","STATE_CODE")</f>
        <v>#NAME?</v>
      </c>
      <c r="C425" t="s">
        <v>36</v>
      </c>
      <c r="D425" t="e">
        <f ca="1">BDP("797661E2 Muni","YIELD_ON_ISSUE_DATE")</f>
        <v>#NAME?</v>
      </c>
      <c r="E425">
        <v>27240000</v>
      </c>
      <c r="F425" t="e">
        <f ca="1">BDP("797661E2 Muni","ISSUE_DT")</f>
        <v>#NAME?</v>
      </c>
      <c r="G425" t="e">
        <f ca="1">BDP("797661E2 Muni","MATURITY")</f>
        <v>#NAME?</v>
      </c>
      <c r="H425" t="e">
        <f ca="1">BDP("797661E2 Muni","MUNI_TAX_PROV")</f>
        <v>#NAME?</v>
      </c>
      <c r="I425" t="e">
        <f ca="1">BDP("797661E2 Muni","FINANCING_TYPE")</f>
        <v>#NAME?</v>
      </c>
      <c r="J425" t="e">
        <f ca="1">BDP("797661E2 Muni","BICS_LEVEL_2_INDUSTRY_GROUP_NAME")</f>
        <v>#NAME?</v>
      </c>
      <c r="K425" t="e">
        <f ca="1">BDP("797661E2 Muni","SELF_REPRTD_GREEN_INSTR_INDCTR")</f>
        <v>#NAME?</v>
      </c>
      <c r="L425" t="e">
        <f ca="1">BDP("797661E2 Muni","GB_MANAGEMENT_PROCEEDS")</f>
        <v>#NAME?</v>
      </c>
      <c r="M425" t="e">
        <f ca="1">BDP("797661E2 Muni","GB_REPORTING")</f>
        <v>#NAME?</v>
      </c>
      <c r="N425" t="e">
        <f ca="1">BDP("797661E2 Muni","GB_ASSURANCE_PROVIDERS")</f>
        <v>#NAME?</v>
      </c>
      <c r="O425" t="e">
        <f ca="1">BDP("797661E2 Muni","GB_PROJECT_SELECTION_PROCESS")</f>
        <v>#NAME?</v>
      </c>
      <c r="P425" t="e">
        <f ca="1">BDP("797661E2 Muni","ESG_FRAMEWORK_INDICATOR")</f>
        <v>#NAME?</v>
      </c>
      <c r="Q425" t="e">
        <f ca="1">BDP("797661E2 Muni","BLOOMBERG_SECTOR_CODE")</f>
        <v>#NAME?</v>
      </c>
      <c r="R425" t="e">
        <f ca="1">BDP("797661E2 Muni","ISSUER_TYPE")</f>
        <v>#NAME?</v>
      </c>
      <c r="S425" t="e">
        <f ca="1">BDS("797661E2 Muni","ESG_PROJECT_CATEGORY", "aggregate=y")</f>
        <v>#NAME?</v>
      </c>
      <c r="T425" t="e">
        <f ca="1">BDS("797661E2 Muni","ESG_PROJECT_SUBCATEGORY", "aggregate=y")</f>
        <v>#NAME?</v>
      </c>
    </row>
    <row r="426" spans="1:20" x14ac:dyDescent="0.25">
      <c r="A426" t="e">
        <f ca="1">BDP("797661E7 Muni","ID_CUSIP")</f>
        <v>#NAME?</v>
      </c>
      <c r="B426" t="e">
        <f ca="1">BDP("797661E7 Muni","STATE_CODE")</f>
        <v>#NAME?</v>
      </c>
      <c r="C426" t="s">
        <v>36</v>
      </c>
      <c r="D426" t="e">
        <f ca="1">BDP("797661E7 Muni","YIELD_ON_ISSUE_DATE")</f>
        <v>#NAME?</v>
      </c>
      <c r="E426">
        <v>34765000</v>
      </c>
      <c r="F426" t="e">
        <f ca="1">BDP("797661E7 Muni","ISSUE_DT")</f>
        <v>#NAME?</v>
      </c>
      <c r="G426" t="e">
        <f ca="1">BDP("797661E7 Muni","MATURITY")</f>
        <v>#NAME?</v>
      </c>
      <c r="H426" t="e">
        <f ca="1">BDP("797661E7 Muni","MUNI_TAX_PROV")</f>
        <v>#NAME?</v>
      </c>
      <c r="I426" t="e">
        <f ca="1">BDP("797661E7 Muni","FINANCING_TYPE")</f>
        <v>#NAME?</v>
      </c>
      <c r="J426" t="e">
        <f ca="1">BDP("797661E7 Muni","BICS_LEVEL_2_INDUSTRY_GROUP_NAME")</f>
        <v>#NAME?</v>
      </c>
      <c r="K426" t="e">
        <f ca="1">BDP("797661E7 Muni","SELF_REPRTD_GREEN_INSTR_INDCTR")</f>
        <v>#NAME?</v>
      </c>
      <c r="L426" t="e">
        <f ca="1">BDP("797661E7 Muni","GB_MANAGEMENT_PROCEEDS")</f>
        <v>#NAME?</v>
      </c>
      <c r="M426" t="e">
        <f ca="1">BDP("797661E7 Muni","GB_REPORTING")</f>
        <v>#NAME?</v>
      </c>
      <c r="N426" t="e">
        <f ca="1">BDP("797661E7 Muni","GB_ASSURANCE_PROVIDERS")</f>
        <v>#NAME?</v>
      </c>
      <c r="O426" t="e">
        <f ca="1">BDP("797661E7 Muni","GB_PROJECT_SELECTION_PROCESS")</f>
        <v>#NAME?</v>
      </c>
      <c r="P426" t="e">
        <f ca="1">BDP("797661E7 Muni","ESG_FRAMEWORK_INDICATOR")</f>
        <v>#NAME?</v>
      </c>
      <c r="Q426" t="e">
        <f ca="1">BDP("797661E7 Muni","BLOOMBERG_SECTOR_CODE")</f>
        <v>#NAME?</v>
      </c>
      <c r="R426" t="e">
        <f ca="1">BDP("797661E7 Muni","ISSUER_TYPE")</f>
        <v>#NAME?</v>
      </c>
      <c r="S426" t="e">
        <f ca="1">BDS("797661E7 Muni","ESG_PROJECT_CATEGORY", "aggregate=y")</f>
        <v>#NAME?</v>
      </c>
      <c r="T426" t="e">
        <f ca="1">BDS("797661E7 Muni","ESG_PROJECT_SUBCATEGORY", "aggregate=y")</f>
        <v>#NAME?</v>
      </c>
    </row>
    <row r="427" spans="1:20" x14ac:dyDescent="0.25">
      <c r="A427" t="e">
        <f ca="1">BDP("797669A2 Muni","ID_CUSIP")</f>
        <v>#NAME?</v>
      </c>
      <c r="B427" t="e">
        <f ca="1">BDP("797669A2 Muni","STATE_CODE")</f>
        <v>#NAME?</v>
      </c>
      <c r="C427" t="s">
        <v>28</v>
      </c>
      <c r="D427" t="e">
        <f ca="1">BDP("797669A2 Muni","YIELD_ON_ISSUE_DATE")</f>
        <v>#NAME?</v>
      </c>
      <c r="E427">
        <v>3925000</v>
      </c>
      <c r="F427" t="e">
        <f ca="1">BDP("797669A2 Muni","ISSUE_DT")</f>
        <v>#NAME?</v>
      </c>
      <c r="G427" t="e">
        <f ca="1">BDP("797669A2 Muni","MATURITY")</f>
        <v>#NAME?</v>
      </c>
      <c r="H427" t="e">
        <f ca="1">BDP("797669A2 Muni","MUNI_TAX_PROV")</f>
        <v>#NAME?</v>
      </c>
      <c r="I427" t="e">
        <f ca="1">BDP("797669A2 Muni","FINANCING_TYPE")</f>
        <v>#NAME?</v>
      </c>
      <c r="J427" t="e">
        <f ca="1">BDP("797669A2 Muni","BICS_LEVEL_2_INDUSTRY_GROUP_NAME")</f>
        <v>#NAME?</v>
      </c>
      <c r="K427" t="e">
        <f ca="1">BDP("797669A2 Muni","SELF_REPRTD_GREEN_INSTR_INDCTR")</f>
        <v>#NAME?</v>
      </c>
      <c r="L427" t="e">
        <f ca="1">BDP("797669A2 Muni","GB_MANAGEMENT_PROCEEDS")</f>
        <v>#NAME?</v>
      </c>
      <c r="M427" t="e">
        <f ca="1">BDP("797669A2 Muni","GB_REPORTING")</f>
        <v>#NAME?</v>
      </c>
      <c r="N427" t="e">
        <f ca="1">BDP("797669A2 Muni","GB_ASSURANCE_PROVIDERS")</f>
        <v>#NAME?</v>
      </c>
      <c r="O427" t="e">
        <f ca="1">BDP("797669A2 Muni","GB_PROJECT_SELECTION_PROCESS")</f>
        <v>#NAME?</v>
      </c>
      <c r="P427" t="e">
        <f ca="1">BDP("797669A2 Muni","ESG_FRAMEWORK_INDICATOR")</f>
        <v>#NAME?</v>
      </c>
      <c r="Q427" t="e">
        <f ca="1">BDP("797669A2 Muni","BLOOMBERG_SECTOR_CODE")</f>
        <v>#NAME?</v>
      </c>
      <c r="R427" t="e">
        <f ca="1">BDP("797669A2 Muni","ISSUER_TYPE")</f>
        <v>#NAME?</v>
      </c>
      <c r="S427" t="e">
        <f ca="1">BDS("797669A2 Muni","ESG_PROJECT_CATEGORY", "aggregate=y")</f>
        <v>#NAME?</v>
      </c>
      <c r="T427" t="e">
        <f ca="1">BDS("797669A2 Muni","ESG_PROJECT_SUBCATEGORY", "aggregate=y")</f>
        <v>#NAME?</v>
      </c>
    </row>
    <row r="428" spans="1:20" x14ac:dyDescent="0.25">
      <c r="A428" t="e">
        <f ca="1">BDP("797669ZY Muni","ID_CUSIP")</f>
        <v>#NAME?</v>
      </c>
      <c r="B428" t="e">
        <f ca="1">BDP("797669ZY Muni","STATE_CODE")</f>
        <v>#NAME?</v>
      </c>
      <c r="C428" t="s">
        <v>28</v>
      </c>
      <c r="D428" t="e">
        <f ca="1">BDP("797669ZY Muni","YIELD_ON_ISSUE_DATE")</f>
        <v>#NAME?</v>
      </c>
      <c r="E428">
        <v>18760000</v>
      </c>
      <c r="F428" t="e">
        <f ca="1">BDP("797669ZY Muni","ISSUE_DT")</f>
        <v>#NAME?</v>
      </c>
      <c r="G428" t="e">
        <f ca="1">BDP("797669ZY Muni","MATURITY")</f>
        <v>#NAME?</v>
      </c>
      <c r="H428" t="e">
        <f ca="1">BDP("797669ZY Muni","MUNI_TAX_PROV")</f>
        <v>#NAME?</v>
      </c>
      <c r="I428" t="e">
        <f ca="1">BDP("797669ZY Muni","FINANCING_TYPE")</f>
        <v>#NAME?</v>
      </c>
      <c r="J428" t="e">
        <f ca="1">BDP("797669ZY Muni","BICS_LEVEL_2_INDUSTRY_GROUP_NAME")</f>
        <v>#NAME?</v>
      </c>
      <c r="K428" t="e">
        <f ca="1">BDP("797669ZY Muni","SELF_REPRTD_GREEN_INSTR_INDCTR")</f>
        <v>#NAME?</v>
      </c>
      <c r="L428" t="e">
        <f ca="1">BDP("797669ZY Muni","GB_MANAGEMENT_PROCEEDS")</f>
        <v>#NAME?</v>
      </c>
      <c r="M428" t="e">
        <f ca="1">BDP("797669ZY Muni","GB_REPORTING")</f>
        <v>#NAME?</v>
      </c>
      <c r="N428" t="e">
        <f ca="1">BDP("797669ZY Muni","GB_ASSURANCE_PROVIDERS")</f>
        <v>#NAME?</v>
      </c>
      <c r="O428" t="e">
        <f ca="1">BDP("797669ZY Muni","GB_PROJECT_SELECTION_PROCESS")</f>
        <v>#NAME?</v>
      </c>
      <c r="P428" t="e">
        <f ca="1">BDP("797669ZY Muni","ESG_FRAMEWORK_INDICATOR")</f>
        <v>#NAME?</v>
      </c>
      <c r="Q428" t="e">
        <f ca="1">BDP("797669ZY Muni","BLOOMBERG_SECTOR_CODE")</f>
        <v>#NAME?</v>
      </c>
      <c r="R428" t="e">
        <f ca="1">BDP("797669ZY Muni","ISSUER_TYPE")</f>
        <v>#NAME?</v>
      </c>
      <c r="S428" t="e">
        <f ca="1">BDS("797669ZY Muni","ESG_PROJECT_CATEGORY", "aggregate=y")</f>
        <v>#NAME?</v>
      </c>
      <c r="T428" t="e">
        <f ca="1">BDS("797669ZY Muni","ESG_PROJECT_SUBCATEGORY", "aggregate=y")</f>
        <v>#NAME?</v>
      </c>
    </row>
    <row r="429" spans="1:20" x14ac:dyDescent="0.25">
      <c r="A429" t="e">
        <f ca="1">BDP("79771FGG Muni","ID_CUSIP")</f>
        <v>#NAME?</v>
      </c>
      <c r="B429" t="e">
        <f ca="1">BDP("79771FGG Muni","STATE_CODE")</f>
        <v>#NAME?</v>
      </c>
      <c r="C429" t="s">
        <v>37</v>
      </c>
      <c r="D429" t="e">
        <f ca="1">BDP("79771FGG Muni","YIELD_ON_ISSUE_DATE")</f>
        <v>#NAME?</v>
      </c>
      <c r="E429">
        <v>9850000</v>
      </c>
      <c r="F429" t="e">
        <f ca="1">BDP("79771FGG Muni","ISSUE_DT")</f>
        <v>#NAME?</v>
      </c>
      <c r="G429" t="e">
        <f ca="1">BDP("79771FGG Muni","MATURITY")</f>
        <v>#NAME?</v>
      </c>
      <c r="H429" t="e">
        <f ca="1">BDP("79771FGG Muni","MUNI_TAX_PROV")</f>
        <v>#NAME?</v>
      </c>
      <c r="I429" t="e">
        <f ca="1">BDP("79771FGG Muni","FINANCING_TYPE")</f>
        <v>#NAME?</v>
      </c>
      <c r="J429" t="e">
        <f ca="1">BDP("79771FGG Muni","BICS_LEVEL_2_INDUSTRY_GROUP_NAME")</f>
        <v>#NAME?</v>
      </c>
      <c r="K429" t="e">
        <f ca="1">BDP("79771FGG Muni","SELF_REPRTD_GREEN_INSTR_INDCTR")</f>
        <v>#NAME?</v>
      </c>
      <c r="L429" t="e">
        <f ca="1">BDP("79771FGG Muni","GB_MANAGEMENT_PROCEEDS")</f>
        <v>#NAME?</v>
      </c>
      <c r="M429" t="e">
        <f ca="1">BDP("79771FGG Muni","GB_REPORTING")</f>
        <v>#NAME?</v>
      </c>
      <c r="N429" t="e">
        <f ca="1">BDP("79771FGG Muni","GB_ASSURANCE_PROVIDERS")</f>
        <v>#NAME?</v>
      </c>
      <c r="O429" t="e">
        <f ca="1">BDP("79771FGG Muni","GB_PROJECT_SELECTION_PROCESS")</f>
        <v>#NAME?</v>
      </c>
      <c r="P429" t="e">
        <f ca="1">BDP("79771FGG Muni","ESG_FRAMEWORK_INDICATOR")</f>
        <v>#NAME?</v>
      </c>
      <c r="Q429" t="e">
        <f ca="1">BDP("79771FGG Muni","BLOOMBERG_SECTOR_CODE")</f>
        <v>#NAME?</v>
      </c>
      <c r="R429" t="e">
        <f ca="1">BDP("79771FGG Muni","ISSUER_TYPE")</f>
        <v>#NAME?</v>
      </c>
      <c r="S429" t="e">
        <f ca="1">BDS("79771FGG Muni","ESG_PROJECT_CATEGORY", "aggregate=y")</f>
        <v>#NAME?</v>
      </c>
      <c r="T429" t="e">
        <f ca="1">BDS("79771FGG Muni","ESG_PROJECT_SUBCATEGORY", "aggregate=y")</f>
        <v>#NAME?</v>
      </c>
    </row>
    <row r="430" spans="1:20" x14ac:dyDescent="0.25">
      <c r="A430" t="e">
        <f ca="1">BDP("840528AT Muni","ID_CUSIP")</f>
        <v>#NAME?</v>
      </c>
      <c r="B430" t="e">
        <f ca="1">BDP("840528AT Muni","STATE_CODE")</f>
        <v>#NAME?</v>
      </c>
      <c r="C430" t="s">
        <v>29</v>
      </c>
      <c r="D430" t="e">
        <f ca="1">BDP("840528AT Muni","YIELD_ON_ISSUE_DATE")</f>
        <v>#NAME?</v>
      </c>
      <c r="E430">
        <v>4815000</v>
      </c>
      <c r="F430" t="e">
        <f ca="1">BDP("840528AT Muni","ISSUE_DT")</f>
        <v>#NAME?</v>
      </c>
      <c r="G430" t="e">
        <f ca="1">BDP("840528AT Muni","MATURITY")</f>
        <v>#NAME?</v>
      </c>
      <c r="H430" t="e">
        <f ca="1">BDP("840528AT Muni","MUNI_TAX_PROV")</f>
        <v>#NAME?</v>
      </c>
      <c r="I430" t="e">
        <f ca="1">BDP("840528AT Muni","FINANCING_TYPE")</f>
        <v>#NAME?</v>
      </c>
      <c r="J430" t="e">
        <f ca="1">BDP("840528AT Muni","BICS_LEVEL_2_INDUSTRY_GROUP_NAME")</f>
        <v>#NAME?</v>
      </c>
      <c r="K430" t="e">
        <f ca="1">BDP("840528AT Muni","SELF_REPRTD_GREEN_INSTR_INDCTR")</f>
        <v>#NAME?</v>
      </c>
      <c r="L430" t="e">
        <f ca="1">BDP("840528AT Muni","GB_MANAGEMENT_PROCEEDS")</f>
        <v>#NAME?</v>
      </c>
      <c r="M430" t="e">
        <f ca="1">BDP("840528AT Muni","GB_REPORTING")</f>
        <v>#NAME?</v>
      </c>
      <c r="N430" t="e">
        <f ca="1">BDP("840528AT Muni","GB_ASSURANCE_PROVIDERS")</f>
        <v>#NAME?</v>
      </c>
      <c r="O430" t="e">
        <f ca="1">BDP("840528AT Muni","GB_PROJECT_SELECTION_PROCESS")</f>
        <v>#NAME?</v>
      </c>
      <c r="P430" t="e">
        <f ca="1">BDP("840528AT Muni","ESG_FRAMEWORK_INDICATOR")</f>
        <v>#NAME?</v>
      </c>
      <c r="Q430" t="e">
        <f ca="1">BDP("840528AT Muni","BLOOMBERG_SECTOR_CODE")</f>
        <v>#NAME?</v>
      </c>
      <c r="R430" t="e">
        <f ca="1">BDP("840528AT Muni","ISSUER_TYPE")</f>
        <v>#NAME?</v>
      </c>
      <c r="S430" t="e">
        <f ca="1">BDS("840528AT Muni","ESG_PROJECT_CATEGORY", "aggregate=y")</f>
        <v>#NAME?</v>
      </c>
      <c r="T430" t="e">
        <f ca="1">BDS("840528AT Muni","ESG_PROJECT_SUBCATEGORY", "aggregate=y")</f>
        <v>#NAME?</v>
      </c>
    </row>
    <row r="431" spans="1:20" x14ac:dyDescent="0.25">
      <c r="A431" t="e">
        <f ca="1">BDP("840528AU Muni","ID_CUSIP")</f>
        <v>#NAME?</v>
      </c>
      <c r="B431" t="e">
        <f ca="1">BDP("840528AU Muni","STATE_CODE")</f>
        <v>#NAME?</v>
      </c>
      <c r="C431" t="s">
        <v>29</v>
      </c>
      <c r="D431" t="e">
        <f ca="1">BDP("840528AU Muni","YIELD_ON_ISSUE_DATE")</f>
        <v>#NAME?</v>
      </c>
      <c r="E431">
        <v>3610000</v>
      </c>
      <c r="F431" t="e">
        <f ca="1">BDP("840528AU Muni","ISSUE_DT")</f>
        <v>#NAME?</v>
      </c>
      <c r="G431" t="e">
        <f ca="1">BDP("840528AU Muni","MATURITY")</f>
        <v>#NAME?</v>
      </c>
      <c r="H431" t="e">
        <f ca="1">BDP("840528AU Muni","MUNI_TAX_PROV")</f>
        <v>#NAME?</v>
      </c>
      <c r="I431" t="e">
        <f ca="1">BDP("840528AU Muni","FINANCING_TYPE")</f>
        <v>#NAME?</v>
      </c>
      <c r="J431" t="e">
        <f ca="1">BDP("840528AU Muni","BICS_LEVEL_2_INDUSTRY_GROUP_NAME")</f>
        <v>#NAME?</v>
      </c>
      <c r="K431" t="e">
        <f ca="1">BDP("840528AU Muni","SELF_REPRTD_GREEN_INSTR_INDCTR")</f>
        <v>#NAME?</v>
      </c>
      <c r="L431" t="e">
        <f ca="1">BDP("840528AU Muni","GB_MANAGEMENT_PROCEEDS")</f>
        <v>#NAME?</v>
      </c>
      <c r="M431" t="e">
        <f ca="1">BDP("840528AU Muni","GB_REPORTING")</f>
        <v>#NAME?</v>
      </c>
      <c r="N431" t="e">
        <f ca="1">BDP("840528AU Muni","GB_ASSURANCE_PROVIDERS")</f>
        <v>#NAME?</v>
      </c>
      <c r="O431" t="e">
        <f ca="1">BDP("840528AU Muni","GB_PROJECT_SELECTION_PROCESS")</f>
        <v>#NAME?</v>
      </c>
      <c r="P431" t="e">
        <f ca="1">BDP("840528AU Muni","ESG_FRAMEWORK_INDICATOR")</f>
        <v>#NAME?</v>
      </c>
      <c r="Q431" t="e">
        <f ca="1">BDP("840528AU Muni","BLOOMBERG_SECTOR_CODE")</f>
        <v>#NAME?</v>
      </c>
      <c r="R431" t="e">
        <f ca="1">BDP("840528AU Muni","ISSUER_TYPE")</f>
        <v>#NAME?</v>
      </c>
      <c r="S431" t="e">
        <f ca="1">BDS("840528AU Muni","ESG_PROJECT_CATEGORY", "aggregate=y")</f>
        <v>#NAME?</v>
      </c>
      <c r="T431" t="e">
        <f ca="1">BDS("840528AU Muni","ESG_PROJECT_SUBCATEGORY", "aggregate=y")</f>
        <v>#NAME?</v>
      </c>
    </row>
    <row r="432" spans="1:20" x14ac:dyDescent="0.25">
      <c r="A432" t="e">
        <f ca="1">BDP("861431DL Muni","ID_CUSIP")</f>
        <v>#NAME?</v>
      </c>
      <c r="B432" t="e">
        <f ca="1">BDP("861431DL Muni","STATE_CODE")</f>
        <v>#NAME?</v>
      </c>
      <c r="C432" t="s">
        <v>24</v>
      </c>
      <c r="D432" t="e">
        <f ca="1">BDP("861431DL Muni","YIELD_ON_ISSUE_DATE")</f>
        <v>#NAME?</v>
      </c>
      <c r="E432">
        <v>170000</v>
      </c>
      <c r="F432" t="e">
        <f ca="1">BDP("861431DL Muni","ISSUE_DT")</f>
        <v>#NAME?</v>
      </c>
      <c r="G432" t="e">
        <f ca="1">BDP("861431DL Muni","MATURITY")</f>
        <v>#NAME?</v>
      </c>
      <c r="H432" t="e">
        <f ca="1">BDP("861431DL Muni","MUNI_TAX_PROV")</f>
        <v>#NAME?</v>
      </c>
      <c r="I432" t="e">
        <f ca="1">BDP("861431DL Muni","FINANCING_TYPE")</f>
        <v>#NAME?</v>
      </c>
      <c r="J432" t="e">
        <f ca="1">BDP("861431DL Muni","BICS_LEVEL_2_INDUSTRY_GROUP_NAME")</f>
        <v>#NAME?</v>
      </c>
      <c r="K432" t="e">
        <f ca="1">BDP("861431DL Muni","SELF_REPRTD_GREEN_INSTR_INDCTR")</f>
        <v>#NAME?</v>
      </c>
      <c r="L432" t="e">
        <f ca="1">BDP("861431DL Muni","GB_MANAGEMENT_PROCEEDS")</f>
        <v>#NAME?</v>
      </c>
      <c r="M432" t="e">
        <f ca="1">BDP("861431DL Muni","GB_REPORTING")</f>
        <v>#NAME?</v>
      </c>
      <c r="N432" t="e">
        <f ca="1">BDP("861431DL Muni","GB_ASSURANCE_PROVIDERS")</f>
        <v>#NAME?</v>
      </c>
      <c r="O432" t="e">
        <f ca="1">BDP("861431DL Muni","GB_PROJECT_SELECTION_PROCESS")</f>
        <v>#NAME?</v>
      </c>
      <c r="P432" t="e">
        <f ca="1">BDP("861431DL Muni","ESG_FRAMEWORK_INDICATOR")</f>
        <v>#NAME?</v>
      </c>
      <c r="Q432" t="e">
        <f ca="1">BDP("861431DL Muni","BLOOMBERG_SECTOR_CODE")</f>
        <v>#NAME?</v>
      </c>
      <c r="R432" t="e">
        <f ca="1">BDP("861431DL Muni","ISSUER_TYPE")</f>
        <v>#NAME?</v>
      </c>
      <c r="S432" t="e">
        <f ca="1">BDS("861431DL Muni","ESG_PROJECT_CATEGORY", "aggregate=y")</f>
        <v>#NAME?</v>
      </c>
      <c r="T432" t="e">
        <f ca="1">BDS("861431DL Muni","ESG_PROJECT_SUBCATEGORY", "aggregate=y")</f>
        <v>#NAME?</v>
      </c>
    </row>
    <row r="433" spans="1:20" x14ac:dyDescent="0.25">
      <c r="A433" t="e">
        <f ca="1">BDP("861431DZ Muni","ID_CUSIP")</f>
        <v>#NAME?</v>
      </c>
      <c r="B433" t="e">
        <f ca="1">BDP("861431DZ Muni","STATE_CODE")</f>
        <v>#NAME?</v>
      </c>
      <c r="C433" t="s">
        <v>24</v>
      </c>
      <c r="D433" t="e">
        <f ca="1">BDP("861431DZ Muni","YIELD_ON_ISSUE_DATE")</f>
        <v>#NAME?</v>
      </c>
      <c r="E433">
        <v>1150000</v>
      </c>
      <c r="F433" t="e">
        <f ca="1">BDP("861431DZ Muni","ISSUE_DT")</f>
        <v>#NAME?</v>
      </c>
      <c r="G433" t="e">
        <f ca="1">BDP("861431DZ Muni","MATURITY")</f>
        <v>#NAME?</v>
      </c>
      <c r="H433" t="e">
        <f ca="1">BDP("861431DZ Muni","MUNI_TAX_PROV")</f>
        <v>#NAME?</v>
      </c>
      <c r="I433" t="e">
        <f ca="1">BDP("861431DZ Muni","FINANCING_TYPE")</f>
        <v>#NAME?</v>
      </c>
      <c r="J433" t="e">
        <f ca="1">BDP("861431DZ Muni","BICS_LEVEL_2_INDUSTRY_GROUP_NAME")</f>
        <v>#NAME?</v>
      </c>
      <c r="K433" t="e">
        <f ca="1">BDP("861431DZ Muni","SELF_REPRTD_GREEN_INSTR_INDCTR")</f>
        <v>#NAME?</v>
      </c>
      <c r="L433" t="e">
        <f ca="1">BDP("861431DZ Muni","GB_MANAGEMENT_PROCEEDS")</f>
        <v>#NAME?</v>
      </c>
      <c r="M433" t="e">
        <f ca="1">BDP("861431DZ Muni","GB_REPORTING")</f>
        <v>#NAME?</v>
      </c>
      <c r="N433" t="e">
        <f ca="1">BDP("861431DZ Muni","GB_ASSURANCE_PROVIDERS")</f>
        <v>#NAME?</v>
      </c>
      <c r="O433" t="e">
        <f ca="1">BDP("861431DZ Muni","GB_PROJECT_SELECTION_PROCESS")</f>
        <v>#NAME?</v>
      </c>
      <c r="P433" t="e">
        <f ca="1">BDP("861431DZ Muni","ESG_FRAMEWORK_INDICATOR")</f>
        <v>#NAME?</v>
      </c>
      <c r="Q433" t="e">
        <f ca="1">BDP("861431DZ Muni","BLOOMBERG_SECTOR_CODE")</f>
        <v>#NAME?</v>
      </c>
      <c r="R433" t="e">
        <f ca="1">BDP("861431DZ Muni","ISSUER_TYPE")</f>
        <v>#NAME?</v>
      </c>
      <c r="S433" t="e">
        <f ca="1">BDS("861431DZ Muni","ESG_PROJECT_CATEGORY", "aggregate=y")</f>
        <v>#NAME?</v>
      </c>
      <c r="T433" t="e">
        <f ca="1">BDS("861431DZ Muni","ESG_PROJECT_SUBCATEGORY", "aggregate=y")</f>
        <v>#NAME?</v>
      </c>
    </row>
    <row r="434" spans="1:20" x14ac:dyDescent="0.25">
      <c r="A434" t="e">
        <f ca="1">BDP("88035MD3 Muni","ID_CUSIP")</f>
        <v>#NAME?</v>
      </c>
      <c r="B434" t="e">
        <f ca="1">BDP("88035MD3 Muni","STATE_CODE")</f>
        <v>#NAME?</v>
      </c>
      <c r="C434" t="s">
        <v>25</v>
      </c>
      <c r="D434" t="e">
        <f ca="1">BDP("88035MD3 Muni","YIELD_ON_ISSUE_DATE")</f>
        <v>#NAME?</v>
      </c>
      <c r="E434">
        <v>8800000</v>
      </c>
      <c r="F434" t="e">
        <f ca="1">BDP("88035MD3 Muni","ISSUE_DT")</f>
        <v>#NAME?</v>
      </c>
      <c r="G434" t="e">
        <f ca="1">BDP("88035MD3 Muni","MATURITY")</f>
        <v>#NAME?</v>
      </c>
      <c r="H434" t="e">
        <f ca="1">BDP("88035MD3 Muni","MUNI_TAX_PROV")</f>
        <v>#NAME?</v>
      </c>
      <c r="I434" t="e">
        <f ca="1">BDP("88035MD3 Muni","FINANCING_TYPE")</f>
        <v>#NAME?</v>
      </c>
      <c r="J434" t="e">
        <f ca="1">BDP("88035MD3 Muni","BICS_LEVEL_2_INDUSTRY_GROUP_NAME")</f>
        <v>#NAME?</v>
      </c>
      <c r="K434" t="e">
        <f ca="1">BDP("88035MD3 Muni","SELF_REPRTD_GREEN_INSTR_INDCTR")</f>
        <v>#NAME?</v>
      </c>
      <c r="L434" t="e">
        <f ca="1">BDP("88035MD3 Muni","GB_MANAGEMENT_PROCEEDS")</f>
        <v>#NAME?</v>
      </c>
      <c r="M434" t="e">
        <f ca="1">BDP("88035MD3 Muni","GB_REPORTING")</f>
        <v>#NAME?</v>
      </c>
      <c r="N434" t="e">
        <f ca="1">BDP("88035MD3 Muni","GB_ASSURANCE_PROVIDERS")</f>
        <v>#NAME?</v>
      </c>
      <c r="O434" t="e">
        <f ca="1">BDP("88035MD3 Muni","GB_PROJECT_SELECTION_PROCESS")</f>
        <v>#NAME?</v>
      </c>
      <c r="P434" t="e">
        <f ca="1">BDP("88035MD3 Muni","ESG_FRAMEWORK_INDICATOR")</f>
        <v>#NAME?</v>
      </c>
      <c r="Q434" t="e">
        <f ca="1">BDP("88035MD3 Muni","BLOOMBERG_SECTOR_CODE")</f>
        <v>#NAME?</v>
      </c>
      <c r="R434" t="e">
        <f ca="1">BDP("88035MD3 Muni","ISSUER_TYPE")</f>
        <v>#NAME?</v>
      </c>
      <c r="S434" t="e">
        <f ca="1">BDS("88035MD3 Muni","ESG_PROJECT_CATEGORY", "aggregate=y")</f>
        <v>#NAME?</v>
      </c>
      <c r="T434" t="e">
        <f ca="1">BDS("88035MD3 Muni","ESG_PROJECT_SUBCATEGORY", "aggregate=y")</f>
        <v>#NAME?</v>
      </c>
    </row>
    <row r="435" spans="1:20" x14ac:dyDescent="0.25">
      <c r="A435" t="e">
        <f ca="1">BDP("88035MD4 Muni","ID_CUSIP")</f>
        <v>#NAME?</v>
      </c>
      <c r="B435" t="e">
        <f ca="1">BDP("88035MD4 Muni","STATE_CODE")</f>
        <v>#NAME?</v>
      </c>
      <c r="C435" t="s">
        <v>25</v>
      </c>
      <c r="D435" t="e">
        <f ca="1">BDP("88035MD4 Muni","YIELD_ON_ISSUE_DATE")</f>
        <v>#NAME?</v>
      </c>
      <c r="E435">
        <v>2200000</v>
      </c>
      <c r="F435" t="e">
        <f ca="1">BDP("88035MD4 Muni","ISSUE_DT")</f>
        <v>#NAME?</v>
      </c>
      <c r="G435" t="e">
        <f ca="1">BDP("88035MD4 Muni","MATURITY")</f>
        <v>#NAME?</v>
      </c>
      <c r="H435" t="e">
        <f ca="1">BDP("88035MD4 Muni","MUNI_TAX_PROV")</f>
        <v>#NAME?</v>
      </c>
      <c r="I435" t="e">
        <f ca="1">BDP("88035MD4 Muni","FINANCING_TYPE")</f>
        <v>#NAME?</v>
      </c>
      <c r="J435" t="e">
        <f ca="1">BDP("88035MD4 Muni","BICS_LEVEL_2_INDUSTRY_GROUP_NAME")</f>
        <v>#NAME?</v>
      </c>
      <c r="K435" t="e">
        <f ca="1">BDP("88035MD4 Muni","SELF_REPRTD_GREEN_INSTR_INDCTR")</f>
        <v>#NAME?</v>
      </c>
      <c r="L435" t="e">
        <f ca="1">BDP("88035MD4 Muni","GB_MANAGEMENT_PROCEEDS")</f>
        <v>#NAME?</v>
      </c>
      <c r="M435" t="e">
        <f ca="1">BDP("88035MD4 Muni","GB_REPORTING")</f>
        <v>#NAME?</v>
      </c>
      <c r="N435" t="e">
        <f ca="1">BDP("88035MD4 Muni","GB_ASSURANCE_PROVIDERS")</f>
        <v>#NAME?</v>
      </c>
      <c r="O435" t="e">
        <f ca="1">BDP("88035MD4 Muni","GB_PROJECT_SELECTION_PROCESS")</f>
        <v>#NAME?</v>
      </c>
      <c r="P435" t="e">
        <f ca="1">BDP("88035MD4 Muni","ESG_FRAMEWORK_INDICATOR")</f>
        <v>#NAME?</v>
      </c>
      <c r="Q435" t="e">
        <f ca="1">BDP("88035MD4 Muni","BLOOMBERG_SECTOR_CODE")</f>
        <v>#NAME?</v>
      </c>
      <c r="R435" t="e">
        <f ca="1">BDP("88035MD4 Muni","ISSUER_TYPE")</f>
        <v>#NAME?</v>
      </c>
      <c r="S435" t="e">
        <f ca="1">BDS("88035MD4 Muni","ESG_PROJECT_CATEGORY", "aggregate=y")</f>
        <v>#NAME?</v>
      </c>
      <c r="T435" t="e">
        <f ca="1">BDS("88035MD4 Muni","ESG_PROJECT_SUBCATEGORY", "aggregate=y")</f>
        <v>#NAME?</v>
      </c>
    </row>
    <row r="436" spans="1:20" x14ac:dyDescent="0.25">
      <c r="A436" t="e">
        <f ca="1">BDP("88035P3Y Muni","ID_CUSIP")</f>
        <v>#NAME?</v>
      </c>
      <c r="B436" t="e">
        <f ca="1">BDP("88035P3Y Muni","STATE_CODE")</f>
        <v>#NAME?</v>
      </c>
      <c r="C436" t="s">
        <v>25</v>
      </c>
      <c r="D436" t="e">
        <f ca="1">BDP("88035P3Y Muni","YIELD_ON_ISSUE_DATE")</f>
        <v>#NAME?</v>
      </c>
      <c r="E436">
        <v>3960000</v>
      </c>
      <c r="F436" t="e">
        <f ca="1">BDP("88035P3Y Muni","ISSUE_DT")</f>
        <v>#NAME?</v>
      </c>
      <c r="G436" t="e">
        <f ca="1">BDP("88035P3Y Muni","MATURITY")</f>
        <v>#NAME?</v>
      </c>
      <c r="H436" t="e">
        <f ca="1">BDP("88035P3Y Muni","MUNI_TAX_PROV")</f>
        <v>#NAME?</v>
      </c>
      <c r="I436" t="e">
        <f ca="1">BDP("88035P3Y Muni","FINANCING_TYPE")</f>
        <v>#NAME?</v>
      </c>
      <c r="J436" t="e">
        <f ca="1">BDP("88035P3Y Muni","BICS_LEVEL_2_INDUSTRY_GROUP_NAME")</f>
        <v>#NAME?</v>
      </c>
      <c r="K436" t="e">
        <f ca="1">BDP("88035P3Y Muni","SELF_REPRTD_GREEN_INSTR_INDCTR")</f>
        <v>#NAME?</v>
      </c>
      <c r="L436" t="e">
        <f ca="1">BDP("88035P3Y Muni","GB_MANAGEMENT_PROCEEDS")</f>
        <v>#NAME?</v>
      </c>
      <c r="M436" t="e">
        <f ca="1">BDP("88035P3Y Muni","GB_REPORTING")</f>
        <v>#NAME?</v>
      </c>
      <c r="N436" t="e">
        <f ca="1">BDP("88035P3Y Muni","GB_ASSURANCE_PROVIDERS")</f>
        <v>#NAME?</v>
      </c>
      <c r="O436" t="e">
        <f ca="1">BDP("88035P3Y Muni","GB_PROJECT_SELECTION_PROCESS")</f>
        <v>#NAME?</v>
      </c>
      <c r="P436" t="e">
        <f ca="1">BDP("88035P3Y Muni","ESG_FRAMEWORK_INDICATOR")</f>
        <v>#NAME?</v>
      </c>
      <c r="Q436" t="e">
        <f ca="1">BDP("88035P3Y Muni","BLOOMBERG_SECTOR_CODE")</f>
        <v>#NAME?</v>
      </c>
      <c r="R436" t="e">
        <f ca="1">BDP("88035P3Y Muni","ISSUER_TYPE")</f>
        <v>#NAME?</v>
      </c>
      <c r="S436" t="e">
        <f ca="1">BDS("88035P3Y Muni","ESG_PROJECT_CATEGORY", "aggregate=y")</f>
        <v>#NAME?</v>
      </c>
      <c r="T436" t="e">
        <f ca="1">BDS("88035P3Y Muni","ESG_PROJECT_SUBCATEGORY", "aggregate=y")</f>
        <v>#NAME?</v>
      </c>
    </row>
    <row r="437" spans="1:20" x14ac:dyDescent="0.25">
      <c r="A437" t="e">
        <f ca="1">BDP("88035P4E Muni","ID_CUSIP")</f>
        <v>#NAME?</v>
      </c>
      <c r="B437" t="e">
        <f ca="1">BDP("88035P4E Muni","STATE_CODE")</f>
        <v>#NAME?</v>
      </c>
      <c r="C437" t="s">
        <v>25</v>
      </c>
      <c r="D437" t="e">
        <f ca="1">BDP("88035P4E Muni","YIELD_ON_ISSUE_DATE")</f>
        <v>#NAME?</v>
      </c>
      <c r="E437">
        <v>2000000</v>
      </c>
      <c r="F437" t="e">
        <f ca="1">BDP("88035P4E Muni","ISSUE_DT")</f>
        <v>#NAME?</v>
      </c>
      <c r="G437" t="e">
        <f ca="1">BDP("88035P4E Muni","MATURITY")</f>
        <v>#NAME?</v>
      </c>
      <c r="H437" t="e">
        <f ca="1">BDP("88035P4E Muni","MUNI_TAX_PROV")</f>
        <v>#NAME?</v>
      </c>
      <c r="I437" t="e">
        <f ca="1">BDP("88035P4E Muni","FINANCING_TYPE")</f>
        <v>#NAME?</v>
      </c>
      <c r="J437" t="e">
        <f ca="1">BDP("88035P4E Muni","BICS_LEVEL_2_INDUSTRY_GROUP_NAME")</f>
        <v>#NAME?</v>
      </c>
      <c r="K437" t="e">
        <f ca="1">BDP("88035P4E Muni","SELF_REPRTD_GREEN_INSTR_INDCTR")</f>
        <v>#NAME?</v>
      </c>
      <c r="L437" t="e">
        <f ca="1">BDP("88035P4E Muni","GB_MANAGEMENT_PROCEEDS")</f>
        <v>#NAME?</v>
      </c>
      <c r="M437" t="e">
        <f ca="1">BDP("88035P4E Muni","GB_REPORTING")</f>
        <v>#NAME?</v>
      </c>
      <c r="N437" t="e">
        <f ca="1">BDP("88035P4E Muni","GB_ASSURANCE_PROVIDERS")</f>
        <v>#NAME?</v>
      </c>
      <c r="O437" t="e">
        <f ca="1">BDP("88035P4E Muni","GB_PROJECT_SELECTION_PROCESS")</f>
        <v>#NAME?</v>
      </c>
      <c r="P437" t="e">
        <f ca="1">BDP("88035P4E Muni","ESG_FRAMEWORK_INDICATOR")</f>
        <v>#NAME?</v>
      </c>
      <c r="Q437" t="e">
        <f ca="1">BDP("88035P4E Muni","BLOOMBERG_SECTOR_CODE")</f>
        <v>#NAME?</v>
      </c>
      <c r="R437" t="e">
        <f ca="1">BDP("88035P4E Muni","ISSUER_TYPE")</f>
        <v>#NAME?</v>
      </c>
      <c r="S437" t="e">
        <f ca="1">BDS("88035P4E Muni","ESG_PROJECT_CATEGORY", "aggregate=y")</f>
        <v>#NAME?</v>
      </c>
      <c r="T437" t="e">
        <f ca="1">BDS("88035P4E Muni","ESG_PROJECT_SUBCATEGORY", "aggregate=y")</f>
        <v>#NAME?</v>
      </c>
    </row>
    <row r="438" spans="1:20" x14ac:dyDescent="0.25">
      <c r="A438" t="e">
        <f ca="1">BDP("88035PQX Muni","ID_CUSIP")</f>
        <v>#NAME?</v>
      </c>
      <c r="B438" t="e">
        <f ca="1">BDP("88035PQX Muni","STATE_CODE")</f>
        <v>#NAME?</v>
      </c>
      <c r="C438" t="s">
        <v>25</v>
      </c>
      <c r="D438" t="e">
        <f ca="1">BDP("88035PQX Muni","YIELD_ON_ISSUE_DATE")</f>
        <v>#NAME?</v>
      </c>
      <c r="E438">
        <v>335000</v>
      </c>
      <c r="F438" t="e">
        <f ca="1">BDP("88035PQX Muni","ISSUE_DT")</f>
        <v>#NAME?</v>
      </c>
      <c r="G438" t="e">
        <f ca="1">BDP("88035PQX Muni","MATURITY")</f>
        <v>#NAME?</v>
      </c>
      <c r="H438" t="e">
        <f ca="1">BDP("88035PQX Muni","MUNI_TAX_PROV")</f>
        <v>#NAME?</v>
      </c>
      <c r="I438" t="e">
        <f ca="1">BDP("88035PQX Muni","FINANCING_TYPE")</f>
        <v>#NAME?</v>
      </c>
      <c r="J438" t="e">
        <f ca="1">BDP("88035PQX Muni","BICS_LEVEL_2_INDUSTRY_GROUP_NAME")</f>
        <v>#NAME?</v>
      </c>
      <c r="K438" t="e">
        <f ca="1">BDP("88035PQX Muni","SELF_REPRTD_GREEN_INSTR_INDCTR")</f>
        <v>#NAME?</v>
      </c>
      <c r="L438" t="e">
        <f ca="1">BDP("88035PQX Muni","GB_MANAGEMENT_PROCEEDS")</f>
        <v>#NAME?</v>
      </c>
      <c r="M438" t="e">
        <f ca="1">BDP("88035PQX Muni","GB_REPORTING")</f>
        <v>#NAME?</v>
      </c>
      <c r="N438" t="e">
        <f ca="1">BDP("88035PQX Muni","GB_ASSURANCE_PROVIDERS")</f>
        <v>#NAME?</v>
      </c>
      <c r="O438" t="e">
        <f ca="1">BDP("88035PQX Muni","GB_PROJECT_SELECTION_PROCESS")</f>
        <v>#NAME?</v>
      </c>
      <c r="P438" t="e">
        <f ca="1">BDP("88035PQX Muni","ESG_FRAMEWORK_INDICATOR")</f>
        <v>#NAME?</v>
      </c>
      <c r="Q438" t="e">
        <f ca="1">BDP("88035PQX Muni","BLOOMBERG_SECTOR_CODE")</f>
        <v>#NAME?</v>
      </c>
      <c r="R438" t="e">
        <f ca="1">BDP("88035PQX Muni","ISSUER_TYPE")</f>
        <v>#NAME?</v>
      </c>
      <c r="S438" t="e">
        <f ca="1">BDS("88035PQX Muni","ESG_PROJECT_CATEGORY", "aggregate=y")</f>
        <v>#NAME?</v>
      </c>
      <c r="T438" t="e">
        <f ca="1">BDS("88035PQX Muni","ESG_PROJECT_SUBCATEGORY", "aggregate=y")</f>
        <v>#NAME?</v>
      </c>
    </row>
    <row r="439" spans="1:20" x14ac:dyDescent="0.25">
      <c r="A439" t="e">
        <f ca="1">BDP("88035PQY Muni","ID_CUSIP")</f>
        <v>#NAME?</v>
      </c>
      <c r="B439" t="e">
        <f ca="1">BDP("88035PQY Muni","STATE_CODE")</f>
        <v>#NAME?</v>
      </c>
      <c r="C439" t="s">
        <v>25</v>
      </c>
      <c r="D439" t="e">
        <f ca="1">BDP("88035PQY Muni","YIELD_ON_ISSUE_DATE")</f>
        <v>#NAME?</v>
      </c>
      <c r="E439">
        <v>1010000</v>
      </c>
      <c r="F439" t="e">
        <f ca="1">BDP("88035PQY Muni","ISSUE_DT")</f>
        <v>#NAME?</v>
      </c>
      <c r="G439" t="e">
        <f ca="1">BDP("88035PQY Muni","MATURITY")</f>
        <v>#NAME?</v>
      </c>
      <c r="H439" t="e">
        <f ca="1">BDP("88035PQY Muni","MUNI_TAX_PROV")</f>
        <v>#NAME?</v>
      </c>
      <c r="I439" t="e">
        <f ca="1">BDP("88035PQY Muni","FINANCING_TYPE")</f>
        <v>#NAME?</v>
      </c>
      <c r="J439" t="e">
        <f ca="1">BDP("88035PQY Muni","BICS_LEVEL_2_INDUSTRY_GROUP_NAME")</f>
        <v>#NAME?</v>
      </c>
      <c r="K439" t="e">
        <f ca="1">BDP("88035PQY Muni","SELF_REPRTD_GREEN_INSTR_INDCTR")</f>
        <v>#NAME?</v>
      </c>
      <c r="L439" t="e">
        <f ca="1">BDP("88035PQY Muni","GB_MANAGEMENT_PROCEEDS")</f>
        <v>#NAME?</v>
      </c>
      <c r="M439" t="e">
        <f ca="1">BDP("88035PQY Muni","GB_REPORTING")</f>
        <v>#NAME?</v>
      </c>
      <c r="N439" t="e">
        <f ca="1">BDP("88035PQY Muni","GB_ASSURANCE_PROVIDERS")</f>
        <v>#NAME?</v>
      </c>
      <c r="O439" t="e">
        <f ca="1">BDP("88035PQY Muni","GB_PROJECT_SELECTION_PROCESS")</f>
        <v>#NAME?</v>
      </c>
      <c r="P439" t="e">
        <f ca="1">BDP("88035PQY Muni","ESG_FRAMEWORK_INDICATOR")</f>
        <v>#NAME?</v>
      </c>
      <c r="Q439" t="e">
        <f ca="1">BDP("88035PQY Muni","BLOOMBERG_SECTOR_CODE")</f>
        <v>#NAME?</v>
      </c>
      <c r="R439" t="e">
        <f ca="1">BDP("88035PQY Muni","ISSUER_TYPE")</f>
        <v>#NAME?</v>
      </c>
      <c r="S439" t="e">
        <f ca="1">BDS("88035PQY Muni","ESG_PROJECT_CATEGORY", "aggregate=y")</f>
        <v>#NAME?</v>
      </c>
      <c r="T439" t="e">
        <f ca="1">BDS("88035PQY Muni","ESG_PROJECT_SUBCATEGORY", "aggregate=y")</f>
        <v>#NAME?</v>
      </c>
    </row>
    <row r="440" spans="1:20" x14ac:dyDescent="0.25">
      <c r="A440" t="e">
        <f ca="1">BDP("88035PS7 Muni","ID_CUSIP")</f>
        <v>#NAME?</v>
      </c>
      <c r="B440" t="e">
        <f ca="1">BDP("88035PS7 Muni","STATE_CODE")</f>
        <v>#NAME?</v>
      </c>
      <c r="C440" t="s">
        <v>25</v>
      </c>
      <c r="D440" t="e">
        <f ca="1">BDP("88035PS7 Muni","YIELD_ON_ISSUE_DATE")</f>
        <v>#NAME?</v>
      </c>
      <c r="E440">
        <v>200000</v>
      </c>
      <c r="F440" t="e">
        <f ca="1">BDP("88035PS7 Muni","ISSUE_DT")</f>
        <v>#NAME?</v>
      </c>
      <c r="G440" t="e">
        <f ca="1">BDP("88035PS7 Muni","MATURITY")</f>
        <v>#NAME?</v>
      </c>
      <c r="H440" t="e">
        <f ca="1">BDP("88035PS7 Muni","MUNI_TAX_PROV")</f>
        <v>#NAME?</v>
      </c>
      <c r="I440" t="e">
        <f ca="1">BDP("88035PS7 Muni","FINANCING_TYPE")</f>
        <v>#NAME?</v>
      </c>
      <c r="J440" t="e">
        <f ca="1">BDP("88035PS7 Muni","BICS_LEVEL_2_INDUSTRY_GROUP_NAME")</f>
        <v>#NAME?</v>
      </c>
      <c r="K440" t="e">
        <f ca="1">BDP("88035PS7 Muni","SELF_REPRTD_GREEN_INSTR_INDCTR")</f>
        <v>#NAME?</v>
      </c>
      <c r="L440" t="e">
        <f ca="1">BDP("88035PS7 Muni","GB_MANAGEMENT_PROCEEDS")</f>
        <v>#NAME?</v>
      </c>
      <c r="M440" t="e">
        <f ca="1">BDP("88035PS7 Muni","GB_REPORTING")</f>
        <v>#NAME?</v>
      </c>
      <c r="N440" t="e">
        <f ca="1">BDP("88035PS7 Muni","GB_ASSURANCE_PROVIDERS")</f>
        <v>#NAME?</v>
      </c>
      <c r="O440" t="e">
        <f ca="1">BDP("88035PS7 Muni","GB_PROJECT_SELECTION_PROCESS")</f>
        <v>#NAME?</v>
      </c>
      <c r="P440" t="e">
        <f ca="1">BDP("88035PS7 Muni","ESG_FRAMEWORK_INDICATOR")</f>
        <v>#NAME?</v>
      </c>
      <c r="Q440" t="e">
        <f ca="1">BDP("88035PS7 Muni","BLOOMBERG_SECTOR_CODE")</f>
        <v>#NAME?</v>
      </c>
      <c r="R440" t="e">
        <f ca="1">BDP("88035PS7 Muni","ISSUER_TYPE")</f>
        <v>#NAME?</v>
      </c>
      <c r="S440" t="e">
        <f ca="1">BDS("88035PS7 Muni","ESG_PROJECT_CATEGORY", "aggregate=y")</f>
        <v>#NAME?</v>
      </c>
      <c r="T440" t="e">
        <f ca="1">BDS("88035PS7 Muni","ESG_PROJECT_SUBCATEGORY", "aggregate=y")</f>
        <v>#NAME?</v>
      </c>
    </row>
    <row r="441" spans="1:20" x14ac:dyDescent="0.25">
      <c r="A441" t="e">
        <f ca="1">BDP("88035R5C Muni","ID_CUSIP")</f>
        <v>#NAME?</v>
      </c>
      <c r="B441" t="e">
        <f ca="1">BDP("88035R5C Muni","STATE_CODE")</f>
        <v>#NAME?</v>
      </c>
      <c r="C441" t="s">
        <v>25</v>
      </c>
      <c r="D441" t="e">
        <f ca="1">BDP("88035R5C Muni","YIELD_ON_ISSUE_DATE")</f>
        <v>#NAME?</v>
      </c>
      <c r="E441">
        <v>2000000</v>
      </c>
      <c r="F441" t="e">
        <f ca="1">BDP("88035R5C Muni","ISSUE_DT")</f>
        <v>#NAME?</v>
      </c>
      <c r="G441" t="e">
        <f ca="1">BDP("88035R5C Muni","MATURITY")</f>
        <v>#NAME?</v>
      </c>
      <c r="H441" t="e">
        <f ca="1">BDP("88035R5C Muni","MUNI_TAX_PROV")</f>
        <v>#NAME?</v>
      </c>
      <c r="I441" t="e">
        <f ca="1">BDP("88035R5C Muni","FINANCING_TYPE")</f>
        <v>#NAME?</v>
      </c>
      <c r="J441" t="e">
        <f ca="1">BDP("88035R5C Muni","BICS_LEVEL_2_INDUSTRY_GROUP_NAME")</f>
        <v>#NAME?</v>
      </c>
      <c r="K441" t="e">
        <f ca="1">BDP("88035R5C Muni","SELF_REPRTD_GREEN_INSTR_INDCTR")</f>
        <v>#NAME?</v>
      </c>
      <c r="L441" t="e">
        <f ca="1">BDP("88035R5C Muni","GB_MANAGEMENT_PROCEEDS")</f>
        <v>#NAME?</v>
      </c>
      <c r="M441" t="e">
        <f ca="1">BDP("88035R5C Muni","GB_REPORTING")</f>
        <v>#NAME?</v>
      </c>
      <c r="N441" t="e">
        <f ca="1">BDP("88035R5C Muni","GB_ASSURANCE_PROVIDERS")</f>
        <v>#NAME?</v>
      </c>
      <c r="O441" t="e">
        <f ca="1">BDP("88035R5C Muni","GB_PROJECT_SELECTION_PROCESS")</f>
        <v>#NAME?</v>
      </c>
      <c r="P441" t="e">
        <f ca="1">BDP("88035R5C Muni","ESG_FRAMEWORK_INDICATOR")</f>
        <v>#NAME?</v>
      </c>
      <c r="Q441" t="e">
        <f ca="1">BDP("88035R5C Muni","BLOOMBERG_SECTOR_CODE")</f>
        <v>#NAME?</v>
      </c>
      <c r="R441" t="e">
        <f ca="1">BDP("88035R5C Muni","ISSUER_TYPE")</f>
        <v>#NAME?</v>
      </c>
      <c r="S441" t="e">
        <f ca="1">BDS("88035R5C Muni","ESG_PROJECT_CATEGORY", "aggregate=y")</f>
        <v>#NAME?</v>
      </c>
      <c r="T441" t="e">
        <f ca="1">BDS("88035R5C Muni","ESG_PROJECT_SUBCATEGORY", "aggregate=y")</f>
        <v>#NAME?</v>
      </c>
    </row>
    <row r="442" spans="1:20" x14ac:dyDescent="0.25">
      <c r="A442" t="e">
        <f ca="1">BDP("88035RY9 Muni","ID_CUSIP")</f>
        <v>#NAME?</v>
      </c>
      <c r="B442" t="e">
        <f ca="1">BDP("88035RY9 Muni","STATE_CODE")</f>
        <v>#NAME?</v>
      </c>
      <c r="C442" t="s">
        <v>25</v>
      </c>
      <c r="D442" t="e">
        <f ca="1">BDP("88035RY9 Muni","YIELD_ON_ISSUE_DATE")</f>
        <v>#NAME?</v>
      </c>
      <c r="E442">
        <v>3600000</v>
      </c>
      <c r="F442" t="e">
        <f ca="1">BDP("88035RY9 Muni","ISSUE_DT")</f>
        <v>#NAME?</v>
      </c>
      <c r="G442" t="e">
        <f ca="1">BDP("88035RY9 Muni","MATURITY")</f>
        <v>#NAME?</v>
      </c>
      <c r="H442" t="e">
        <f ca="1">BDP("88035RY9 Muni","MUNI_TAX_PROV")</f>
        <v>#NAME?</v>
      </c>
      <c r="I442" t="e">
        <f ca="1">BDP("88035RY9 Muni","FINANCING_TYPE")</f>
        <v>#NAME?</v>
      </c>
      <c r="J442" t="e">
        <f ca="1">BDP("88035RY9 Muni","BICS_LEVEL_2_INDUSTRY_GROUP_NAME")</f>
        <v>#NAME?</v>
      </c>
      <c r="K442" t="e">
        <f ca="1">BDP("88035RY9 Muni","SELF_REPRTD_GREEN_INSTR_INDCTR")</f>
        <v>#NAME?</v>
      </c>
      <c r="L442" t="e">
        <f ca="1">BDP("88035RY9 Muni","GB_MANAGEMENT_PROCEEDS")</f>
        <v>#NAME?</v>
      </c>
      <c r="M442" t="e">
        <f ca="1">BDP("88035RY9 Muni","GB_REPORTING")</f>
        <v>#NAME?</v>
      </c>
      <c r="N442" t="e">
        <f ca="1">BDP("88035RY9 Muni","GB_ASSURANCE_PROVIDERS")</f>
        <v>#NAME?</v>
      </c>
      <c r="O442" t="e">
        <f ca="1">BDP("88035RY9 Muni","GB_PROJECT_SELECTION_PROCESS")</f>
        <v>#NAME?</v>
      </c>
      <c r="P442" t="e">
        <f ca="1">BDP("88035RY9 Muni","ESG_FRAMEWORK_INDICATOR")</f>
        <v>#NAME?</v>
      </c>
      <c r="Q442" t="e">
        <f ca="1">BDP("88035RY9 Muni","BLOOMBERG_SECTOR_CODE")</f>
        <v>#NAME?</v>
      </c>
      <c r="R442" t="e">
        <f ca="1">BDP("88035RY9 Muni","ISSUER_TYPE")</f>
        <v>#NAME?</v>
      </c>
      <c r="S442" t="e">
        <f ca="1">BDS("88035RY9 Muni","ESG_PROJECT_CATEGORY", "aggregate=y")</f>
        <v>#NAME?</v>
      </c>
      <c r="T442" t="e">
        <f ca="1">BDS("88035RY9 Muni","ESG_PROJECT_SUBCATEGORY", "aggregate=y")</f>
        <v>#NAME?</v>
      </c>
    </row>
    <row r="443" spans="1:20" x14ac:dyDescent="0.25">
      <c r="A443" t="e">
        <f ca="1">BDP("88035THS Muni","ID_CUSIP")</f>
        <v>#NAME?</v>
      </c>
      <c r="B443" t="e">
        <f ca="1">BDP("88035THS Muni","STATE_CODE")</f>
        <v>#NAME?</v>
      </c>
      <c r="C443" t="s">
        <v>25</v>
      </c>
      <c r="D443" t="e">
        <f ca="1">BDP("88035THS Muni","YIELD_ON_ISSUE_DATE")</f>
        <v>#NAME?</v>
      </c>
      <c r="E443">
        <v>8000000</v>
      </c>
      <c r="F443" t="e">
        <f ca="1">BDP("88035THS Muni","ISSUE_DT")</f>
        <v>#NAME?</v>
      </c>
      <c r="G443" t="e">
        <f ca="1">BDP("88035THS Muni","MATURITY")</f>
        <v>#NAME?</v>
      </c>
      <c r="H443" t="e">
        <f ca="1">BDP("88035THS Muni","MUNI_TAX_PROV")</f>
        <v>#NAME?</v>
      </c>
      <c r="I443" t="e">
        <f ca="1">BDP("88035THS Muni","FINANCING_TYPE")</f>
        <v>#NAME?</v>
      </c>
      <c r="J443" t="e">
        <f ca="1">BDP("88035THS Muni","BICS_LEVEL_2_INDUSTRY_GROUP_NAME")</f>
        <v>#NAME?</v>
      </c>
      <c r="K443" t="e">
        <f ca="1">BDP("88035THS Muni","SELF_REPRTD_GREEN_INSTR_INDCTR")</f>
        <v>#NAME?</v>
      </c>
      <c r="L443" t="e">
        <f ca="1">BDP("88035THS Muni","GB_MANAGEMENT_PROCEEDS")</f>
        <v>#NAME?</v>
      </c>
      <c r="M443" t="e">
        <f ca="1">BDP("88035THS Muni","GB_REPORTING")</f>
        <v>#NAME?</v>
      </c>
      <c r="N443" t="e">
        <f ca="1">BDP("88035THS Muni","GB_ASSURANCE_PROVIDERS")</f>
        <v>#NAME?</v>
      </c>
      <c r="O443" t="e">
        <f ca="1">BDP("88035THS Muni","GB_PROJECT_SELECTION_PROCESS")</f>
        <v>#NAME?</v>
      </c>
      <c r="P443" t="e">
        <f ca="1">BDP("88035THS Muni","ESG_FRAMEWORK_INDICATOR")</f>
        <v>#NAME?</v>
      </c>
      <c r="Q443" t="e">
        <f ca="1">BDP("88035THS Muni","BLOOMBERG_SECTOR_CODE")</f>
        <v>#NAME?</v>
      </c>
      <c r="R443" t="e">
        <f ca="1">BDP("88035THS Muni","ISSUER_TYPE")</f>
        <v>#NAME?</v>
      </c>
      <c r="S443" t="e">
        <f ca="1">BDS("88035THS Muni","ESG_PROJECT_CATEGORY", "aggregate=y")</f>
        <v>#NAME?</v>
      </c>
      <c r="T443" t="e">
        <f ca="1">BDS("88035THS Muni","ESG_PROJECT_SUBCATEGORY", "aggregate=y")</f>
        <v>#NAME?</v>
      </c>
    </row>
    <row r="444" spans="1:20" x14ac:dyDescent="0.25">
      <c r="A444" t="e">
        <f ca="1">BDP("88035THT Muni","ID_CUSIP")</f>
        <v>#NAME?</v>
      </c>
      <c r="B444" t="e">
        <f ca="1">BDP("88035THT Muni","STATE_CODE")</f>
        <v>#NAME?</v>
      </c>
      <c r="C444" t="s">
        <v>25</v>
      </c>
      <c r="D444" t="e">
        <f ca="1">BDP("88035THT Muni","YIELD_ON_ISSUE_DATE")</f>
        <v>#NAME?</v>
      </c>
      <c r="E444">
        <v>2000000</v>
      </c>
      <c r="F444" t="e">
        <f ca="1">BDP("88035THT Muni","ISSUE_DT")</f>
        <v>#NAME?</v>
      </c>
      <c r="G444" t="e">
        <f ca="1">BDP("88035THT Muni","MATURITY")</f>
        <v>#NAME?</v>
      </c>
      <c r="H444" t="e">
        <f ca="1">BDP("88035THT Muni","MUNI_TAX_PROV")</f>
        <v>#NAME?</v>
      </c>
      <c r="I444" t="e">
        <f ca="1">BDP("88035THT Muni","FINANCING_TYPE")</f>
        <v>#NAME?</v>
      </c>
      <c r="J444" t="e">
        <f ca="1">BDP("88035THT Muni","BICS_LEVEL_2_INDUSTRY_GROUP_NAME")</f>
        <v>#NAME?</v>
      </c>
      <c r="K444" t="e">
        <f ca="1">BDP("88035THT Muni","SELF_REPRTD_GREEN_INSTR_INDCTR")</f>
        <v>#NAME?</v>
      </c>
      <c r="L444" t="e">
        <f ca="1">BDP("88035THT Muni","GB_MANAGEMENT_PROCEEDS")</f>
        <v>#NAME?</v>
      </c>
      <c r="M444" t="e">
        <f ca="1">BDP("88035THT Muni","GB_REPORTING")</f>
        <v>#NAME?</v>
      </c>
      <c r="N444" t="e">
        <f ca="1">BDP("88035THT Muni","GB_ASSURANCE_PROVIDERS")</f>
        <v>#NAME?</v>
      </c>
      <c r="O444" t="e">
        <f ca="1">BDP("88035THT Muni","GB_PROJECT_SELECTION_PROCESS")</f>
        <v>#NAME?</v>
      </c>
      <c r="P444" t="e">
        <f ca="1">BDP("88035THT Muni","ESG_FRAMEWORK_INDICATOR")</f>
        <v>#NAME?</v>
      </c>
      <c r="Q444" t="e">
        <f ca="1">BDP("88035THT Muni","BLOOMBERG_SECTOR_CODE")</f>
        <v>#NAME?</v>
      </c>
      <c r="R444" t="e">
        <f ca="1">BDP("88035THT Muni","ISSUER_TYPE")</f>
        <v>#NAME?</v>
      </c>
      <c r="S444" t="e">
        <f ca="1">BDS("88035THT Muni","ESG_PROJECT_CATEGORY", "aggregate=y")</f>
        <v>#NAME?</v>
      </c>
      <c r="T444" t="e">
        <f ca="1">BDS("88035THT Muni","ESG_PROJECT_SUBCATEGORY", "aggregate=y")</f>
        <v>#NAME?</v>
      </c>
    </row>
    <row r="445" spans="1:20" x14ac:dyDescent="0.25">
      <c r="A445" t="e">
        <f ca="1">BDP("959215GF Muni","ID_CUSIP")</f>
        <v>#NAME?</v>
      </c>
      <c r="B445" t="e">
        <f ca="1">BDP("959215GF Muni","STATE_CODE")</f>
        <v>#NAME?</v>
      </c>
      <c r="C445" t="s">
        <v>26</v>
      </c>
      <c r="D445" t="e">
        <f ca="1">BDP("959215GF Muni","YIELD_ON_ISSUE_DATE")</f>
        <v>#NAME?</v>
      </c>
      <c r="E445">
        <v>460000</v>
      </c>
      <c r="F445" t="e">
        <f ca="1">BDP("959215GF Muni","ISSUE_DT")</f>
        <v>#NAME?</v>
      </c>
      <c r="G445" t="e">
        <f ca="1">BDP("959215GF Muni","MATURITY")</f>
        <v>#NAME?</v>
      </c>
      <c r="H445" t="e">
        <f ca="1">BDP("959215GF Muni","MUNI_TAX_PROV")</f>
        <v>#NAME?</v>
      </c>
      <c r="I445" t="e">
        <f ca="1">BDP("959215GF Muni","FINANCING_TYPE")</f>
        <v>#NAME?</v>
      </c>
      <c r="J445" t="e">
        <f ca="1">BDP("959215GF Muni","BICS_LEVEL_2_INDUSTRY_GROUP_NAME")</f>
        <v>#NAME?</v>
      </c>
      <c r="K445" t="e">
        <f ca="1">BDP("959215GF Muni","SELF_REPRTD_GREEN_INSTR_INDCTR")</f>
        <v>#NAME?</v>
      </c>
      <c r="L445" t="e">
        <f ca="1">BDP("959215GF Muni","GB_MANAGEMENT_PROCEEDS")</f>
        <v>#NAME?</v>
      </c>
      <c r="M445" t="e">
        <f ca="1">BDP("959215GF Muni","GB_REPORTING")</f>
        <v>#NAME?</v>
      </c>
      <c r="N445" t="e">
        <f ca="1">BDP("959215GF Muni","GB_ASSURANCE_PROVIDERS")</f>
        <v>#NAME?</v>
      </c>
      <c r="O445" t="e">
        <f ca="1">BDP("959215GF Muni","GB_PROJECT_SELECTION_PROCESS")</f>
        <v>#NAME?</v>
      </c>
      <c r="P445" t="e">
        <f ca="1">BDP("959215GF Muni","ESG_FRAMEWORK_INDICATOR")</f>
        <v>#NAME?</v>
      </c>
      <c r="Q445" t="e">
        <f ca="1">BDP("959215GF Muni","BLOOMBERG_SECTOR_CODE")</f>
        <v>#NAME?</v>
      </c>
      <c r="R445" t="e">
        <f ca="1">BDP("959215GF Muni","ISSUER_TYPE")</f>
        <v>#NAME?</v>
      </c>
      <c r="S445" t="e">
        <f ca="1">BDS("959215GF Muni","ESG_PROJECT_CATEGORY", "aggregate=y")</f>
        <v>#NAME?</v>
      </c>
      <c r="T445" t="e">
        <f ca="1">BDS("959215GF Muni","ESG_PROJECT_SUBCATEGORY", "aggregate=y")</f>
        <v>#NAME?</v>
      </c>
    </row>
    <row r="446" spans="1:20" x14ac:dyDescent="0.25">
      <c r="A446" t="e">
        <f ca="1">BDP("959215GG Muni","ID_CUSIP")</f>
        <v>#NAME?</v>
      </c>
      <c r="B446" t="e">
        <f ca="1">BDP("959215GG Muni","STATE_CODE")</f>
        <v>#NAME?</v>
      </c>
      <c r="C446" t="s">
        <v>26</v>
      </c>
      <c r="D446" t="e">
        <f ca="1">BDP("959215GG Muni","YIELD_ON_ISSUE_DATE")</f>
        <v>#NAME?</v>
      </c>
      <c r="E446">
        <v>455000</v>
      </c>
      <c r="F446" t="e">
        <f ca="1">BDP("959215GG Muni","ISSUE_DT")</f>
        <v>#NAME?</v>
      </c>
      <c r="G446" t="e">
        <f ca="1">BDP("959215GG Muni","MATURITY")</f>
        <v>#NAME?</v>
      </c>
      <c r="H446" t="e">
        <f ca="1">BDP("959215GG Muni","MUNI_TAX_PROV")</f>
        <v>#NAME?</v>
      </c>
      <c r="I446" t="e">
        <f ca="1">BDP("959215GG Muni","FINANCING_TYPE")</f>
        <v>#NAME?</v>
      </c>
      <c r="J446" t="e">
        <f ca="1">BDP("959215GG Muni","BICS_LEVEL_2_INDUSTRY_GROUP_NAME")</f>
        <v>#NAME?</v>
      </c>
      <c r="K446" t="e">
        <f ca="1">BDP("959215GG Muni","SELF_REPRTD_GREEN_INSTR_INDCTR")</f>
        <v>#NAME?</v>
      </c>
      <c r="L446" t="e">
        <f ca="1">BDP("959215GG Muni","GB_MANAGEMENT_PROCEEDS")</f>
        <v>#NAME?</v>
      </c>
      <c r="M446" t="e">
        <f ca="1">BDP("959215GG Muni","GB_REPORTING")</f>
        <v>#NAME?</v>
      </c>
      <c r="N446" t="e">
        <f ca="1">BDP("959215GG Muni","GB_ASSURANCE_PROVIDERS")</f>
        <v>#NAME?</v>
      </c>
      <c r="O446" t="e">
        <f ca="1">BDP("959215GG Muni","GB_PROJECT_SELECTION_PROCESS")</f>
        <v>#NAME?</v>
      </c>
      <c r="P446" t="e">
        <f ca="1">BDP("959215GG Muni","ESG_FRAMEWORK_INDICATOR")</f>
        <v>#NAME?</v>
      </c>
      <c r="Q446" t="e">
        <f ca="1">BDP("959215GG Muni","BLOOMBERG_SECTOR_CODE")</f>
        <v>#NAME?</v>
      </c>
      <c r="R446" t="e">
        <f ca="1">BDP("959215GG Muni","ISSUER_TYPE")</f>
        <v>#NAME?</v>
      </c>
      <c r="S446" t="e">
        <f ca="1">BDS("959215GG Muni","ESG_PROJECT_CATEGORY", "aggregate=y")</f>
        <v>#NAME?</v>
      </c>
      <c r="T446" t="e">
        <f ca="1">BDS("959215GG Muni","ESG_PROJECT_SUBCATEGORY", "aggregate=y")</f>
        <v>#NAME?</v>
      </c>
    </row>
    <row r="447" spans="1:20" x14ac:dyDescent="0.25">
      <c r="A447" t="e">
        <f ca="1">BDP("959215GL Muni","ID_CUSIP")</f>
        <v>#NAME?</v>
      </c>
      <c r="B447" t="e">
        <f ca="1">BDP("959215GL Muni","STATE_CODE")</f>
        <v>#NAME?</v>
      </c>
      <c r="C447" t="s">
        <v>26</v>
      </c>
      <c r="D447" t="e">
        <f ca="1">BDP("959215GL Muni","YIELD_ON_ISSUE_DATE")</f>
        <v>#NAME?</v>
      </c>
      <c r="E447">
        <v>815000</v>
      </c>
      <c r="F447" t="e">
        <f ca="1">BDP("959215GL Muni","ISSUE_DT")</f>
        <v>#NAME?</v>
      </c>
      <c r="G447" t="e">
        <f ca="1">BDP("959215GL Muni","MATURITY")</f>
        <v>#NAME?</v>
      </c>
      <c r="H447" t="e">
        <f ca="1">BDP("959215GL Muni","MUNI_TAX_PROV")</f>
        <v>#NAME?</v>
      </c>
      <c r="I447" t="e">
        <f ca="1">BDP("959215GL Muni","FINANCING_TYPE")</f>
        <v>#NAME?</v>
      </c>
      <c r="J447" t="e">
        <f ca="1">BDP("959215GL Muni","BICS_LEVEL_2_INDUSTRY_GROUP_NAME")</f>
        <v>#NAME?</v>
      </c>
      <c r="K447" t="e">
        <f ca="1">BDP("959215GL Muni","SELF_REPRTD_GREEN_INSTR_INDCTR")</f>
        <v>#NAME?</v>
      </c>
      <c r="L447" t="e">
        <f ca="1">BDP("959215GL Muni","GB_MANAGEMENT_PROCEEDS")</f>
        <v>#NAME?</v>
      </c>
      <c r="M447" t="e">
        <f ca="1">BDP("959215GL Muni","GB_REPORTING")</f>
        <v>#NAME?</v>
      </c>
      <c r="N447" t="e">
        <f ca="1">BDP("959215GL Muni","GB_ASSURANCE_PROVIDERS")</f>
        <v>#NAME?</v>
      </c>
      <c r="O447" t="e">
        <f ca="1">BDP("959215GL Muni","GB_PROJECT_SELECTION_PROCESS")</f>
        <v>#NAME?</v>
      </c>
      <c r="P447" t="e">
        <f ca="1">BDP("959215GL Muni","ESG_FRAMEWORK_INDICATOR")</f>
        <v>#NAME?</v>
      </c>
      <c r="Q447" t="e">
        <f ca="1">BDP("959215GL Muni","BLOOMBERG_SECTOR_CODE")</f>
        <v>#NAME?</v>
      </c>
      <c r="R447" t="e">
        <f ca="1">BDP("959215GL Muni","ISSUER_TYPE")</f>
        <v>#NAME?</v>
      </c>
      <c r="S447" t="e">
        <f ca="1">BDS("959215GL Muni","ESG_PROJECT_CATEGORY", "aggregate=y")</f>
        <v>#NAME?</v>
      </c>
      <c r="T447" t="e">
        <f ca="1">BDS("959215GL Muni","ESG_PROJECT_SUBCATEGORY", "aggregate=y")</f>
        <v>#NAME?</v>
      </c>
    </row>
    <row r="448" spans="1:20" x14ac:dyDescent="0.25">
      <c r="A448" t="e">
        <f ca="1">BDP("959215GV Muni","ID_CUSIP")</f>
        <v>#NAME?</v>
      </c>
      <c r="B448" t="e">
        <f ca="1">BDP("959215GV Muni","STATE_CODE")</f>
        <v>#NAME?</v>
      </c>
      <c r="C448" t="s">
        <v>26</v>
      </c>
      <c r="D448" t="e">
        <f ca="1">BDP("959215GV Muni","YIELD_ON_ISSUE_DATE")</f>
        <v>#NAME?</v>
      </c>
      <c r="E448">
        <v>445000</v>
      </c>
      <c r="F448" t="e">
        <f ca="1">BDP("959215GV Muni","ISSUE_DT")</f>
        <v>#NAME?</v>
      </c>
      <c r="G448" t="e">
        <f ca="1">BDP("959215GV Muni","MATURITY")</f>
        <v>#NAME?</v>
      </c>
      <c r="H448" t="e">
        <f ca="1">BDP("959215GV Muni","MUNI_TAX_PROV")</f>
        <v>#NAME?</v>
      </c>
      <c r="I448" t="e">
        <f ca="1">BDP("959215GV Muni","FINANCING_TYPE")</f>
        <v>#NAME?</v>
      </c>
      <c r="J448" t="e">
        <f ca="1">BDP("959215GV Muni","BICS_LEVEL_2_INDUSTRY_GROUP_NAME")</f>
        <v>#NAME?</v>
      </c>
      <c r="K448" t="e">
        <f ca="1">BDP("959215GV Muni","SELF_REPRTD_GREEN_INSTR_INDCTR")</f>
        <v>#NAME?</v>
      </c>
      <c r="L448" t="e">
        <f ca="1">BDP("959215GV Muni","GB_MANAGEMENT_PROCEEDS")</f>
        <v>#NAME?</v>
      </c>
      <c r="M448" t="e">
        <f ca="1">BDP("959215GV Muni","GB_REPORTING")</f>
        <v>#NAME?</v>
      </c>
      <c r="N448" t="e">
        <f ca="1">BDP("959215GV Muni","GB_ASSURANCE_PROVIDERS")</f>
        <v>#NAME?</v>
      </c>
      <c r="O448" t="e">
        <f ca="1">BDP("959215GV Muni","GB_PROJECT_SELECTION_PROCESS")</f>
        <v>#NAME?</v>
      </c>
      <c r="P448" t="e">
        <f ca="1">BDP("959215GV Muni","ESG_FRAMEWORK_INDICATOR")</f>
        <v>#NAME?</v>
      </c>
      <c r="Q448" t="e">
        <f ca="1">BDP("959215GV Muni","BLOOMBERG_SECTOR_CODE")</f>
        <v>#NAME?</v>
      </c>
      <c r="R448" t="e">
        <f ca="1">BDP("959215GV Muni","ISSUER_TYPE")</f>
        <v>#NAME?</v>
      </c>
      <c r="S448" t="e">
        <f ca="1">BDS("959215GV Muni","ESG_PROJECT_CATEGORY", "aggregate=y")</f>
        <v>#NAME?</v>
      </c>
      <c r="T448" t="e">
        <f ca="1">BDS("959215GV Muni","ESG_PROJECT_SUBCATEGORY", "aggregate=y")</f>
        <v>#NAME?</v>
      </c>
    </row>
    <row r="449" spans="1:20" x14ac:dyDescent="0.25">
      <c r="A449" t="e">
        <f ca="1">BDP("072024H6 Muni","ID_CUSIP")</f>
        <v>#NAME?</v>
      </c>
      <c r="B449" t="e">
        <f ca="1">BDP("072024H6 Muni","STATE_CODE")</f>
        <v>#NAME?</v>
      </c>
      <c r="C449" t="s">
        <v>39</v>
      </c>
      <c r="D449" t="e">
        <f ca="1">BDP("072024H6 Muni","YIELD_ON_ISSUE_DATE")</f>
        <v>#NAME?</v>
      </c>
      <c r="E449">
        <v>32800000</v>
      </c>
      <c r="F449" t="e">
        <f ca="1">BDP("072024H6 Muni","ISSUE_DT")</f>
        <v>#NAME?</v>
      </c>
      <c r="G449" t="e">
        <f ca="1">BDP("072024H6 Muni","MATURITY")</f>
        <v>#NAME?</v>
      </c>
      <c r="H449" t="e">
        <f ca="1">BDP("072024H6 Muni","MUNI_TAX_PROV")</f>
        <v>#NAME?</v>
      </c>
      <c r="I449" t="e">
        <f ca="1">BDP("072024H6 Muni","FINANCING_TYPE")</f>
        <v>#NAME?</v>
      </c>
      <c r="J449" t="e">
        <f ca="1">BDP("072024H6 Muni","BICS_LEVEL_2_INDUSTRY_GROUP_NAME")</f>
        <v>#NAME?</v>
      </c>
      <c r="K449" t="e">
        <f ca="1">BDP("072024H6 Muni","SELF_REPRTD_GREEN_INSTR_INDCTR")</f>
        <v>#NAME?</v>
      </c>
      <c r="L449" t="e">
        <f ca="1">BDP("072024H6 Muni","GB_MANAGEMENT_PROCEEDS")</f>
        <v>#NAME?</v>
      </c>
      <c r="M449" t="e">
        <f ca="1">BDP("072024H6 Muni","GB_REPORTING")</f>
        <v>#NAME?</v>
      </c>
      <c r="N449" t="e">
        <f ca="1">BDP("072024H6 Muni","GB_ASSURANCE_PROVIDERS")</f>
        <v>#NAME?</v>
      </c>
      <c r="O449" t="e">
        <f ca="1">BDP("072024H6 Muni","GB_PROJECT_SELECTION_PROCESS")</f>
        <v>#NAME?</v>
      </c>
      <c r="P449" t="e">
        <f ca="1">BDP("072024H6 Muni","ESG_FRAMEWORK_INDICATOR")</f>
        <v>#NAME?</v>
      </c>
      <c r="Q449" t="e">
        <f ca="1">BDP("072024H6 Muni","BLOOMBERG_SECTOR_CODE")</f>
        <v>#NAME?</v>
      </c>
      <c r="R449" t="e">
        <f ca="1">BDP("072024H6 Muni","ISSUER_TYPE")</f>
        <v>#NAME?</v>
      </c>
      <c r="S449" t="e">
        <f ca="1">BDS("072024H6 Muni","ESG_PROJECT_CATEGORY", "aggregate=y")</f>
        <v>#NAME?</v>
      </c>
      <c r="T449" t="e">
        <f ca="1">BDS("072024H6 Muni","ESG_PROJECT_SUBCATEGORY", "aggregate=y")</f>
        <v>#NAME?</v>
      </c>
    </row>
    <row r="450" spans="1:20" x14ac:dyDescent="0.25">
      <c r="A450" t="e">
        <f ca="1">BDP("072024H8 Muni","ID_CUSIP")</f>
        <v>#NAME?</v>
      </c>
      <c r="B450" t="e">
        <f ca="1">BDP("072024H8 Muni","STATE_CODE")</f>
        <v>#NAME?</v>
      </c>
      <c r="C450" t="s">
        <v>39</v>
      </c>
      <c r="D450" t="e">
        <f ca="1">BDP("072024H8 Muni","YIELD_ON_ISSUE_DATE")</f>
        <v>#NAME?</v>
      </c>
      <c r="E450">
        <v>43305000</v>
      </c>
      <c r="F450" t="e">
        <f ca="1">BDP("072024H8 Muni","ISSUE_DT")</f>
        <v>#NAME?</v>
      </c>
      <c r="G450" t="e">
        <f ca="1">BDP("072024H8 Muni","MATURITY")</f>
        <v>#NAME?</v>
      </c>
      <c r="H450" t="e">
        <f ca="1">BDP("072024H8 Muni","MUNI_TAX_PROV")</f>
        <v>#NAME?</v>
      </c>
      <c r="I450" t="e">
        <f ca="1">BDP("072024H8 Muni","FINANCING_TYPE")</f>
        <v>#NAME?</v>
      </c>
      <c r="J450" t="e">
        <f ca="1">BDP("072024H8 Muni","BICS_LEVEL_2_INDUSTRY_GROUP_NAME")</f>
        <v>#NAME?</v>
      </c>
      <c r="K450" t="e">
        <f ca="1">BDP("072024H8 Muni","SELF_REPRTD_GREEN_INSTR_INDCTR")</f>
        <v>#NAME?</v>
      </c>
      <c r="L450" t="e">
        <f ca="1">BDP("072024H8 Muni","GB_MANAGEMENT_PROCEEDS")</f>
        <v>#NAME?</v>
      </c>
      <c r="M450" t="e">
        <f ca="1">BDP("072024H8 Muni","GB_REPORTING")</f>
        <v>#NAME?</v>
      </c>
      <c r="N450" t="e">
        <f ca="1">BDP("072024H8 Muni","GB_ASSURANCE_PROVIDERS")</f>
        <v>#NAME?</v>
      </c>
      <c r="O450" t="e">
        <f ca="1">BDP("072024H8 Muni","GB_PROJECT_SELECTION_PROCESS")</f>
        <v>#NAME?</v>
      </c>
      <c r="P450" t="e">
        <f ca="1">BDP("072024H8 Muni","ESG_FRAMEWORK_INDICATOR")</f>
        <v>#NAME?</v>
      </c>
      <c r="Q450" t="e">
        <f ca="1">BDP("072024H8 Muni","BLOOMBERG_SECTOR_CODE")</f>
        <v>#NAME?</v>
      </c>
      <c r="R450" t="e">
        <f ca="1">BDP("072024H8 Muni","ISSUER_TYPE")</f>
        <v>#NAME?</v>
      </c>
      <c r="S450" t="e">
        <f ca="1">BDS("072024H8 Muni","ESG_PROJECT_CATEGORY", "aggregate=y")</f>
        <v>#NAME?</v>
      </c>
      <c r="T450" t="e">
        <f ca="1">BDS("072024H8 Muni","ESG_PROJECT_SUBCATEGORY", "aggregate=y")</f>
        <v>#NAME?</v>
      </c>
    </row>
    <row r="451" spans="1:20" x14ac:dyDescent="0.25">
      <c r="A451" t="e">
        <f ca="1">BDP("072024J2 Muni","ID_CUSIP")</f>
        <v>#NAME?</v>
      </c>
      <c r="B451" t="e">
        <f ca="1">BDP("072024J2 Muni","STATE_CODE")</f>
        <v>#NAME?</v>
      </c>
      <c r="C451" t="s">
        <v>39</v>
      </c>
      <c r="D451" t="e">
        <f ca="1">BDP("072024J2 Muni","YIELD_ON_ISSUE_DATE")</f>
        <v>#NAME?</v>
      </c>
      <c r="E451">
        <v>39315000</v>
      </c>
      <c r="F451" t="e">
        <f ca="1">BDP("072024J2 Muni","ISSUE_DT")</f>
        <v>#NAME?</v>
      </c>
      <c r="G451" t="e">
        <f ca="1">BDP("072024J2 Muni","MATURITY")</f>
        <v>#NAME?</v>
      </c>
      <c r="H451" t="e">
        <f ca="1">BDP("072024J2 Muni","MUNI_TAX_PROV")</f>
        <v>#NAME?</v>
      </c>
      <c r="I451" t="e">
        <f ca="1">BDP("072024J2 Muni","FINANCING_TYPE")</f>
        <v>#NAME?</v>
      </c>
      <c r="J451" t="e">
        <f ca="1">BDP("072024J2 Muni","BICS_LEVEL_2_INDUSTRY_GROUP_NAME")</f>
        <v>#NAME?</v>
      </c>
      <c r="K451" t="e">
        <f ca="1">BDP("072024J2 Muni","SELF_REPRTD_GREEN_INSTR_INDCTR")</f>
        <v>#NAME?</v>
      </c>
      <c r="L451" t="e">
        <f ca="1">BDP("072024J2 Muni","GB_MANAGEMENT_PROCEEDS")</f>
        <v>#NAME?</v>
      </c>
      <c r="M451" t="e">
        <f ca="1">BDP("072024J2 Muni","GB_REPORTING")</f>
        <v>#NAME?</v>
      </c>
      <c r="N451" t="e">
        <f ca="1">BDP("072024J2 Muni","GB_ASSURANCE_PROVIDERS")</f>
        <v>#NAME?</v>
      </c>
      <c r="O451" t="e">
        <f ca="1">BDP("072024J2 Muni","GB_PROJECT_SELECTION_PROCESS")</f>
        <v>#NAME?</v>
      </c>
      <c r="P451" t="e">
        <f ca="1">BDP("072024J2 Muni","ESG_FRAMEWORK_INDICATOR")</f>
        <v>#NAME?</v>
      </c>
      <c r="Q451" t="e">
        <f ca="1">BDP("072024J2 Muni","BLOOMBERG_SECTOR_CODE")</f>
        <v>#NAME?</v>
      </c>
      <c r="R451" t="e">
        <f ca="1">BDP("072024J2 Muni","ISSUER_TYPE")</f>
        <v>#NAME?</v>
      </c>
      <c r="S451" t="e">
        <f ca="1">BDS("072024J2 Muni","ESG_PROJECT_CATEGORY", "aggregate=y")</f>
        <v>#NAME?</v>
      </c>
      <c r="T451" t="e">
        <f ca="1">BDS("072024J2 Muni","ESG_PROJECT_SUBCATEGORY", "aggregate=y")</f>
        <v>#NAME?</v>
      </c>
    </row>
    <row r="452" spans="1:20" x14ac:dyDescent="0.25">
      <c r="A452" t="e">
        <f ca="1">BDP("072024J3 Muni","ID_CUSIP")</f>
        <v>#NAME?</v>
      </c>
      <c r="B452" t="e">
        <f ca="1">BDP("072024J3 Muni","STATE_CODE")</f>
        <v>#NAME?</v>
      </c>
      <c r="C452" t="s">
        <v>39</v>
      </c>
      <c r="D452" t="e">
        <f ca="1">BDP("072024J3 Muni","YIELD_ON_ISSUE_DATE")</f>
        <v>#NAME?</v>
      </c>
      <c r="E452">
        <v>2345000</v>
      </c>
      <c r="F452" t="e">
        <f ca="1">BDP("072024J3 Muni","ISSUE_DT")</f>
        <v>#NAME?</v>
      </c>
      <c r="G452" t="e">
        <f ca="1">BDP("072024J3 Muni","MATURITY")</f>
        <v>#NAME?</v>
      </c>
      <c r="H452" t="e">
        <f ca="1">BDP("072024J3 Muni","MUNI_TAX_PROV")</f>
        <v>#NAME?</v>
      </c>
      <c r="I452" t="e">
        <f ca="1">BDP("072024J3 Muni","FINANCING_TYPE")</f>
        <v>#NAME?</v>
      </c>
      <c r="J452" t="e">
        <f ca="1">BDP("072024J3 Muni","BICS_LEVEL_2_INDUSTRY_GROUP_NAME")</f>
        <v>#NAME?</v>
      </c>
      <c r="K452" t="e">
        <f ca="1">BDP("072024J3 Muni","SELF_REPRTD_GREEN_INSTR_INDCTR")</f>
        <v>#NAME?</v>
      </c>
      <c r="L452" t="e">
        <f ca="1">BDP("072024J3 Muni","GB_MANAGEMENT_PROCEEDS")</f>
        <v>#NAME?</v>
      </c>
      <c r="M452" t="e">
        <f ca="1">BDP("072024J3 Muni","GB_REPORTING")</f>
        <v>#NAME?</v>
      </c>
      <c r="N452" t="e">
        <f ca="1">BDP("072024J3 Muni","GB_ASSURANCE_PROVIDERS")</f>
        <v>#NAME?</v>
      </c>
      <c r="O452" t="e">
        <f ca="1">BDP("072024J3 Muni","GB_PROJECT_SELECTION_PROCESS")</f>
        <v>#NAME?</v>
      </c>
      <c r="P452" t="e">
        <f ca="1">BDP("072024J3 Muni","ESG_FRAMEWORK_INDICATOR")</f>
        <v>#NAME?</v>
      </c>
      <c r="Q452" t="e">
        <f ca="1">BDP("072024J3 Muni","BLOOMBERG_SECTOR_CODE")</f>
        <v>#NAME?</v>
      </c>
      <c r="R452" t="e">
        <f ca="1">BDP("072024J3 Muni","ISSUER_TYPE")</f>
        <v>#NAME?</v>
      </c>
      <c r="S452" t="e">
        <f ca="1">BDS("072024J3 Muni","ESG_PROJECT_CATEGORY", "aggregate=y")</f>
        <v>#NAME?</v>
      </c>
      <c r="T452" t="e">
        <f ca="1">BDS("072024J3 Muni","ESG_PROJECT_SUBCATEGORY", "aggregate=y")</f>
        <v>#NAME?</v>
      </c>
    </row>
    <row r="453" spans="1:20" x14ac:dyDescent="0.25">
      <c r="A453" t="e">
        <f ca="1">BDP("072024J4 Muni","ID_CUSIP")</f>
        <v>#NAME?</v>
      </c>
      <c r="B453" t="e">
        <f ca="1">BDP("072024J4 Muni","STATE_CODE")</f>
        <v>#NAME?</v>
      </c>
      <c r="C453" t="s">
        <v>39</v>
      </c>
      <c r="D453" t="e">
        <f ca="1">BDP("072024J4 Muni","YIELD_ON_ISSUE_DATE")</f>
        <v>#NAME?</v>
      </c>
      <c r="E453">
        <v>8705000</v>
      </c>
      <c r="F453" t="e">
        <f ca="1">BDP("072024J4 Muni","ISSUE_DT")</f>
        <v>#NAME?</v>
      </c>
      <c r="G453" t="e">
        <f ca="1">BDP("072024J4 Muni","MATURITY")</f>
        <v>#NAME?</v>
      </c>
      <c r="H453" t="e">
        <f ca="1">BDP("072024J4 Muni","MUNI_TAX_PROV")</f>
        <v>#NAME?</v>
      </c>
      <c r="I453" t="e">
        <f ca="1">BDP("072024J4 Muni","FINANCING_TYPE")</f>
        <v>#NAME?</v>
      </c>
      <c r="J453" t="e">
        <f ca="1">BDP("072024J4 Muni","BICS_LEVEL_2_INDUSTRY_GROUP_NAME")</f>
        <v>#NAME?</v>
      </c>
      <c r="K453" t="e">
        <f ca="1">BDP("072024J4 Muni","SELF_REPRTD_GREEN_INSTR_INDCTR")</f>
        <v>#NAME?</v>
      </c>
      <c r="L453" t="e">
        <f ca="1">BDP("072024J4 Muni","GB_MANAGEMENT_PROCEEDS")</f>
        <v>#NAME?</v>
      </c>
      <c r="M453" t="e">
        <f ca="1">BDP("072024J4 Muni","GB_REPORTING")</f>
        <v>#NAME?</v>
      </c>
      <c r="N453" t="e">
        <f ca="1">BDP("072024J4 Muni","GB_ASSURANCE_PROVIDERS")</f>
        <v>#NAME?</v>
      </c>
      <c r="O453" t="e">
        <f ca="1">BDP("072024J4 Muni","GB_PROJECT_SELECTION_PROCESS")</f>
        <v>#NAME?</v>
      </c>
      <c r="P453" t="e">
        <f ca="1">BDP("072024J4 Muni","ESG_FRAMEWORK_INDICATOR")</f>
        <v>#NAME?</v>
      </c>
      <c r="Q453" t="e">
        <f ca="1">BDP("072024J4 Muni","BLOOMBERG_SECTOR_CODE")</f>
        <v>#NAME?</v>
      </c>
      <c r="R453" t="e">
        <f ca="1">BDP("072024J4 Muni","ISSUER_TYPE")</f>
        <v>#NAME?</v>
      </c>
      <c r="S453" t="e">
        <f ca="1">BDS("072024J4 Muni","ESG_PROJECT_CATEGORY", "aggregate=y")</f>
        <v>#NAME?</v>
      </c>
      <c r="T453" t="e">
        <f ca="1">BDS("072024J4 Muni","ESG_PROJECT_SUBCATEGORY", "aggregate=y")</f>
        <v>#NAME?</v>
      </c>
    </row>
    <row r="454" spans="1:20" x14ac:dyDescent="0.25">
      <c r="A454" t="e">
        <f ca="1">BDP("072024J5 Muni","ID_CUSIP")</f>
        <v>#NAME?</v>
      </c>
      <c r="B454" t="e">
        <f ca="1">BDP("072024J5 Muni","STATE_CODE")</f>
        <v>#NAME?</v>
      </c>
      <c r="C454" t="s">
        <v>39</v>
      </c>
      <c r="D454" t="e">
        <f ca="1">BDP("072024J5 Muni","YIELD_ON_ISSUE_DATE")</f>
        <v>#NAME?</v>
      </c>
      <c r="E454">
        <v>17820000</v>
      </c>
      <c r="F454" t="e">
        <f ca="1">BDP("072024J5 Muni","ISSUE_DT")</f>
        <v>#NAME?</v>
      </c>
      <c r="G454" t="e">
        <f ca="1">BDP("072024J5 Muni","MATURITY")</f>
        <v>#NAME?</v>
      </c>
      <c r="H454" t="e">
        <f ca="1">BDP("072024J5 Muni","MUNI_TAX_PROV")</f>
        <v>#NAME?</v>
      </c>
      <c r="I454" t="e">
        <f ca="1">BDP("072024J5 Muni","FINANCING_TYPE")</f>
        <v>#NAME?</v>
      </c>
      <c r="J454" t="e">
        <f ca="1">BDP("072024J5 Muni","BICS_LEVEL_2_INDUSTRY_GROUP_NAME")</f>
        <v>#NAME?</v>
      </c>
      <c r="K454" t="e">
        <f ca="1">BDP("072024J5 Muni","SELF_REPRTD_GREEN_INSTR_INDCTR")</f>
        <v>#NAME?</v>
      </c>
      <c r="L454" t="e">
        <f ca="1">BDP("072024J5 Muni","GB_MANAGEMENT_PROCEEDS")</f>
        <v>#NAME?</v>
      </c>
      <c r="M454" t="e">
        <f ca="1">BDP("072024J5 Muni","GB_REPORTING")</f>
        <v>#NAME?</v>
      </c>
      <c r="N454" t="e">
        <f ca="1">BDP("072024J5 Muni","GB_ASSURANCE_PROVIDERS")</f>
        <v>#NAME?</v>
      </c>
      <c r="O454" t="e">
        <f ca="1">BDP("072024J5 Muni","GB_PROJECT_SELECTION_PROCESS")</f>
        <v>#NAME?</v>
      </c>
      <c r="P454" t="e">
        <f ca="1">BDP("072024J5 Muni","ESG_FRAMEWORK_INDICATOR")</f>
        <v>#NAME?</v>
      </c>
      <c r="Q454" t="e">
        <f ca="1">BDP("072024J5 Muni","BLOOMBERG_SECTOR_CODE")</f>
        <v>#NAME?</v>
      </c>
      <c r="R454" t="e">
        <f ca="1">BDP("072024J5 Muni","ISSUER_TYPE")</f>
        <v>#NAME?</v>
      </c>
      <c r="S454" t="e">
        <f ca="1">BDS("072024J5 Muni","ESG_PROJECT_CATEGORY", "aggregate=y")</f>
        <v>#NAME?</v>
      </c>
      <c r="T454" t="e">
        <f ca="1">BDS("072024J5 Muni","ESG_PROJECT_SUBCATEGORY", "aggregate=y")</f>
        <v>#NAME?</v>
      </c>
    </row>
    <row r="455" spans="1:20" x14ac:dyDescent="0.25">
      <c r="A455" t="e">
        <f ca="1">BDP("072024J7 Muni","ID_CUSIP")</f>
        <v>#NAME?</v>
      </c>
      <c r="B455" t="e">
        <f ca="1">BDP("072024J7 Muni","STATE_CODE")</f>
        <v>#NAME?</v>
      </c>
      <c r="C455" t="s">
        <v>39</v>
      </c>
      <c r="D455" t="e">
        <f ca="1">BDP("072024J7 Muni","YIELD_ON_ISSUE_DATE")</f>
        <v>#NAME?</v>
      </c>
      <c r="E455">
        <v>12965000</v>
      </c>
      <c r="F455" t="e">
        <f ca="1">BDP("072024J7 Muni","ISSUE_DT")</f>
        <v>#NAME?</v>
      </c>
      <c r="G455" t="e">
        <f ca="1">BDP("072024J7 Muni","MATURITY")</f>
        <v>#NAME?</v>
      </c>
      <c r="H455" t="e">
        <f ca="1">BDP("072024J7 Muni","MUNI_TAX_PROV")</f>
        <v>#NAME?</v>
      </c>
      <c r="I455" t="e">
        <f ca="1">BDP("072024J7 Muni","FINANCING_TYPE")</f>
        <v>#NAME?</v>
      </c>
      <c r="J455" t="e">
        <f ca="1">BDP("072024J7 Muni","BICS_LEVEL_2_INDUSTRY_GROUP_NAME")</f>
        <v>#NAME?</v>
      </c>
      <c r="K455" t="e">
        <f ca="1">BDP("072024J7 Muni","SELF_REPRTD_GREEN_INSTR_INDCTR")</f>
        <v>#NAME?</v>
      </c>
      <c r="L455" t="e">
        <f ca="1">BDP("072024J7 Muni","GB_MANAGEMENT_PROCEEDS")</f>
        <v>#NAME?</v>
      </c>
      <c r="M455" t="e">
        <f ca="1">BDP("072024J7 Muni","GB_REPORTING")</f>
        <v>#NAME?</v>
      </c>
      <c r="N455" t="e">
        <f ca="1">BDP("072024J7 Muni","GB_ASSURANCE_PROVIDERS")</f>
        <v>#NAME?</v>
      </c>
      <c r="O455" t="e">
        <f ca="1">BDP("072024J7 Muni","GB_PROJECT_SELECTION_PROCESS")</f>
        <v>#NAME?</v>
      </c>
      <c r="P455" t="e">
        <f ca="1">BDP("072024J7 Muni","ESG_FRAMEWORK_INDICATOR")</f>
        <v>#NAME?</v>
      </c>
      <c r="Q455" t="e">
        <f ca="1">BDP("072024J7 Muni","BLOOMBERG_SECTOR_CODE")</f>
        <v>#NAME?</v>
      </c>
      <c r="R455" t="e">
        <f ca="1">BDP("072024J7 Muni","ISSUER_TYPE")</f>
        <v>#NAME?</v>
      </c>
      <c r="S455" t="e">
        <f ca="1">BDS("072024J7 Muni","ESG_PROJECT_CATEGORY", "aggregate=y")</f>
        <v>#NAME?</v>
      </c>
      <c r="T455" t="e">
        <f ca="1">BDS("072024J7 Muni","ESG_PROJECT_SUBCATEGORY", "aggregate=y")</f>
        <v>#NAME?</v>
      </c>
    </row>
    <row r="456" spans="1:20" x14ac:dyDescent="0.25">
      <c r="A456" t="e">
        <f ca="1">BDP("072024K3 Muni","ID_CUSIP")</f>
        <v>#NAME?</v>
      </c>
      <c r="B456" t="e">
        <f ca="1">BDP("072024K3 Muni","STATE_CODE")</f>
        <v>#NAME?</v>
      </c>
      <c r="C456" t="s">
        <v>39</v>
      </c>
      <c r="D456" t="e">
        <f ca="1">BDP("072024K3 Muni","YIELD_ON_ISSUE_DATE")</f>
        <v>#NAME?</v>
      </c>
      <c r="E456">
        <v>25000000</v>
      </c>
      <c r="F456" t="e">
        <f ca="1">BDP("072024K3 Muni","ISSUE_DT")</f>
        <v>#NAME?</v>
      </c>
      <c r="G456" t="e">
        <f ca="1">BDP("072024K3 Muni","MATURITY")</f>
        <v>#NAME?</v>
      </c>
      <c r="H456" t="e">
        <f ca="1">BDP("072024K3 Muni","MUNI_TAX_PROV")</f>
        <v>#NAME?</v>
      </c>
      <c r="I456" t="e">
        <f ca="1">BDP("072024K3 Muni","FINANCING_TYPE")</f>
        <v>#NAME?</v>
      </c>
      <c r="J456" t="e">
        <f ca="1">BDP("072024K3 Muni","BICS_LEVEL_2_INDUSTRY_GROUP_NAME")</f>
        <v>#NAME?</v>
      </c>
      <c r="K456" t="e">
        <f ca="1">BDP("072024K3 Muni","SELF_REPRTD_GREEN_INSTR_INDCTR")</f>
        <v>#NAME?</v>
      </c>
      <c r="L456" t="e">
        <f ca="1">BDP("072024K3 Muni","GB_MANAGEMENT_PROCEEDS")</f>
        <v>#NAME?</v>
      </c>
      <c r="M456" t="e">
        <f ca="1">BDP("072024K3 Muni","GB_REPORTING")</f>
        <v>#NAME?</v>
      </c>
      <c r="N456" t="e">
        <f ca="1">BDP("072024K3 Muni","GB_ASSURANCE_PROVIDERS")</f>
        <v>#NAME?</v>
      </c>
      <c r="O456" t="e">
        <f ca="1">BDP("072024K3 Muni","GB_PROJECT_SELECTION_PROCESS")</f>
        <v>#NAME?</v>
      </c>
      <c r="P456" t="e">
        <f ca="1">BDP("072024K3 Muni","ESG_FRAMEWORK_INDICATOR")</f>
        <v>#NAME?</v>
      </c>
      <c r="Q456" t="e">
        <f ca="1">BDP("072024K3 Muni","BLOOMBERG_SECTOR_CODE")</f>
        <v>#NAME?</v>
      </c>
      <c r="R456" t="e">
        <f ca="1">BDP("072024K3 Muni","ISSUER_TYPE")</f>
        <v>#NAME?</v>
      </c>
      <c r="S456" t="e">
        <f ca="1">BDS("072024K3 Muni","ESG_PROJECT_CATEGORY", "aggregate=y")</f>
        <v>#NAME?</v>
      </c>
      <c r="T456" t="e">
        <f ca="1">BDS("072024K3 Muni","ESG_PROJECT_SUBCATEGORY", "aggregate=y")</f>
        <v>#NAME?</v>
      </c>
    </row>
    <row r="457" spans="1:20" x14ac:dyDescent="0.25">
      <c r="A457" t="e">
        <f ca="1">BDP("13013JFY Muni","ID_CUSIP")</f>
        <v>#NAME?</v>
      </c>
      <c r="B457" t="e">
        <f ca="1">BDP("13013JFY Muni","STATE_CODE")</f>
        <v>#NAME?</v>
      </c>
      <c r="C457" t="s">
        <v>30</v>
      </c>
      <c r="D457" t="e">
        <f ca="1">BDP("13013JFY Muni","YIELD_ON_ISSUE_DATE")</f>
        <v>#NAME?</v>
      </c>
      <c r="E457">
        <v>2850000</v>
      </c>
      <c r="F457" t="e">
        <f ca="1">BDP("13013JFY Muni","ISSUE_DT")</f>
        <v>#NAME?</v>
      </c>
      <c r="G457" t="e">
        <f ca="1">BDP("13013JFY Muni","MATURITY")</f>
        <v>#NAME?</v>
      </c>
      <c r="H457" t="e">
        <f ca="1">BDP("13013JFY Muni","MUNI_TAX_PROV")</f>
        <v>#NAME?</v>
      </c>
      <c r="I457" t="e">
        <f ca="1">BDP("13013JFY Muni","FINANCING_TYPE")</f>
        <v>#NAME?</v>
      </c>
      <c r="J457" t="e">
        <f ca="1">BDP("13013JFY Muni","BICS_LEVEL_2_INDUSTRY_GROUP_NAME")</f>
        <v>#NAME?</v>
      </c>
      <c r="K457" t="e">
        <f ca="1">BDP("13013JFY Muni","SELF_REPRTD_GREEN_INSTR_INDCTR")</f>
        <v>#NAME?</v>
      </c>
      <c r="L457" t="e">
        <f ca="1">BDP("13013JFY Muni","GB_MANAGEMENT_PROCEEDS")</f>
        <v>#NAME?</v>
      </c>
      <c r="M457" t="e">
        <f ca="1">BDP("13013JFY Muni","GB_REPORTING")</f>
        <v>#NAME?</v>
      </c>
      <c r="N457" t="e">
        <f ca="1">BDP("13013JFY Muni","GB_ASSURANCE_PROVIDERS")</f>
        <v>#NAME?</v>
      </c>
      <c r="O457" t="e">
        <f ca="1">BDP("13013JFY Muni","GB_PROJECT_SELECTION_PROCESS")</f>
        <v>#NAME?</v>
      </c>
      <c r="P457" t="e">
        <f ca="1">BDP("13013JFY Muni","ESG_FRAMEWORK_INDICATOR")</f>
        <v>#NAME?</v>
      </c>
      <c r="Q457" t="e">
        <f ca="1">BDP("13013JFY Muni","BLOOMBERG_SECTOR_CODE")</f>
        <v>#NAME?</v>
      </c>
      <c r="R457" t="e">
        <f ca="1">BDP("13013JFY Muni","ISSUER_TYPE")</f>
        <v>#NAME?</v>
      </c>
      <c r="S457" t="e">
        <f ca="1">BDS("13013JFY Muni","ESG_PROJECT_CATEGORY", "aggregate=y")</f>
        <v>#NAME?</v>
      </c>
      <c r="T457" t="e">
        <f ca="1">BDS("13013JFY Muni","ESG_PROJECT_SUBCATEGORY", "aggregate=y")</f>
        <v>#NAME?</v>
      </c>
    </row>
    <row r="458" spans="1:20" x14ac:dyDescent="0.25">
      <c r="A458" t="e">
        <f ca="1">BDP("13013JFZ Muni","ID_CUSIP")</f>
        <v>#NAME?</v>
      </c>
      <c r="B458" t="e">
        <f ca="1">BDP("13013JFZ Muni","STATE_CODE")</f>
        <v>#NAME?</v>
      </c>
      <c r="C458" t="s">
        <v>30</v>
      </c>
      <c r="D458" t="e">
        <f ca="1">BDP("13013JFZ Muni","YIELD_ON_ISSUE_DATE")</f>
        <v>#NAME?</v>
      </c>
      <c r="E458">
        <v>2880000</v>
      </c>
      <c r="F458" t="e">
        <f ca="1">BDP("13013JFZ Muni","ISSUE_DT")</f>
        <v>#NAME?</v>
      </c>
      <c r="G458" t="e">
        <f ca="1">BDP("13013JFZ Muni","MATURITY")</f>
        <v>#NAME?</v>
      </c>
      <c r="H458" t="e">
        <f ca="1">BDP("13013JFZ Muni","MUNI_TAX_PROV")</f>
        <v>#NAME?</v>
      </c>
      <c r="I458" t="e">
        <f ca="1">BDP("13013JFZ Muni","FINANCING_TYPE")</f>
        <v>#NAME?</v>
      </c>
      <c r="J458" t="e">
        <f ca="1">BDP("13013JFZ Muni","BICS_LEVEL_2_INDUSTRY_GROUP_NAME")</f>
        <v>#NAME?</v>
      </c>
      <c r="K458" t="e">
        <f ca="1">BDP("13013JFZ Muni","SELF_REPRTD_GREEN_INSTR_INDCTR")</f>
        <v>#NAME?</v>
      </c>
      <c r="L458" t="e">
        <f ca="1">BDP("13013JFZ Muni","GB_MANAGEMENT_PROCEEDS")</f>
        <v>#NAME?</v>
      </c>
      <c r="M458" t="e">
        <f ca="1">BDP("13013JFZ Muni","GB_REPORTING")</f>
        <v>#NAME?</v>
      </c>
      <c r="N458" t="e">
        <f ca="1">BDP("13013JFZ Muni","GB_ASSURANCE_PROVIDERS")</f>
        <v>#NAME?</v>
      </c>
      <c r="O458" t="e">
        <f ca="1">BDP("13013JFZ Muni","GB_PROJECT_SELECTION_PROCESS")</f>
        <v>#NAME?</v>
      </c>
      <c r="P458" t="e">
        <f ca="1">BDP("13013JFZ Muni","ESG_FRAMEWORK_INDICATOR")</f>
        <v>#NAME?</v>
      </c>
      <c r="Q458" t="e">
        <f ca="1">BDP("13013JFZ Muni","BLOOMBERG_SECTOR_CODE")</f>
        <v>#NAME?</v>
      </c>
      <c r="R458" t="e">
        <f ca="1">BDP("13013JFZ Muni","ISSUER_TYPE")</f>
        <v>#NAME?</v>
      </c>
      <c r="S458" t="e">
        <f ca="1">BDS("13013JFZ Muni","ESG_PROJECT_CATEGORY", "aggregate=y")</f>
        <v>#NAME?</v>
      </c>
      <c r="T458" t="e">
        <f ca="1">BDS("13013JFZ Muni","ESG_PROJECT_SUBCATEGORY", "aggregate=y")</f>
        <v>#NAME?</v>
      </c>
    </row>
    <row r="459" spans="1:20" x14ac:dyDescent="0.25">
      <c r="A459" t="e">
        <f ca="1">BDP("13013JGA Muni","ID_CUSIP")</f>
        <v>#NAME?</v>
      </c>
      <c r="B459" t="e">
        <f ca="1">BDP("13013JGA Muni","STATE_CODE")</f>
        <v>#NAME?</v>
      </c>
      <c r="C459" t="s">
        <v>30</v>
      </c>
      <c r="D459" t="e">
        <f ca="1">BDP("13013JGA Muni","YIELD_ON_ISSUE_DATE")</f>
        <v>#NAME?</v>
      </c>
      <c r="E459">
        <v>2975000</v>
      </c>
      <c r="F459" t="e">
        <f ca="1">BDP("13013JGA Muni","ISSUE_DT")</f>
        <v>#NAME?</v>
      </c>
      <c r="G459" t="e">
        <f ca="1">BDP("13013JGA Muni","MATURITY")</f>
        <v>#NAME?</v>
      </c>
      <c r="H459" t="e">
        <f ca="1">BDP("13013JGA Muni","MUNI_TAX_PROV")</f>
        <v>#NAME?</v>
      </c>
      <c r="I459" t="e">
        <f ca="1">BDP("13013JGA Muni","FINANCING_TYPE")</f>
        <v>#NAME?</v>
      </c>
      <c r="J459" t="e">
        <f ca="1">BDP("13013JGA Muni","BICS_LEVEL_2_INDUSTRY_GROUP_NAME")</f>
        <v>#NAME?</v>
      </c>
      <c r="K459" t="e">
        <f ca="1">BDP("13013JGA Muni","SELF_REPRTD_GREEN_INSTR_INDCTR")</f>
        <v>#NAME?</v>
      </c>
      <c r="L459" t="e">
        <f ca="1">BDP("13013JGA Muni","GB_MANAGEMENT_PROCEEDS")</f>
        <v>#NAME?</v>
      </c>
      <c r="M459" t="e">
        <f ca="1">BDP("13013JGA Muni","GB_REPORTING")</f>
        <v>#NAME?</v>
      </c>
      <c r="N459" t="e">
        <f ca="1">BDP("13013JGA Muni","GB_ASSURANCE_PROVIDERS")</f>
        <v>#NAME?</v>
      </c>
      <c r="O459" t="e">
        <f ca="1">BDP("13013JGA Muni","GB_PROJECT_SELECTION_PROCESS")</f>
        <v>#NAME?</v>
      </c>
      <c r="P459" t="e">
        <f ca="1">BDP("13013JGA Muni","ESG_FRAMEWORK_INDICATOR")</f>
        <v>#NAME?</v>
      </c>
      <c r="Q459" t="e">
        <f ca="1">BDP("13013JGA Muni","BLOOMBERG_SECTOR_CODE")</f>
        <v>#NAME?</v>
      </c>
      <c r="R459" t="e">
        <f ca="1">BDP("13013JGA Muni","ISSUER_TYPE")</f>
        <v>#NAME?</v>
      </c>
      <c r="S459" t="e">
        <f ca="1">BDS("13013JGA Muni","ESG_PROJECT_CATEGORY", "aggregate=y")</f>
        <v>#NAME?</v>
      </c>
      <c r="T459" t="e">
        <f ca="1">BDS("13013JGA Muni","ESG_PROJECT_SUBCATEGORY", "aggregate=y")</f>
        <v>#NAME?</v>
      </c>
    </row>
    <row r="460" spans="1:20" x14ac:dyDescent="0.25">
      <c r="A460" t="e">
        <f ca="1">BDP("13013JGB Muni","ID_CUSIP")</f>
        <v>#NAME?</v>
      </c>
      <c r="B460" t="e">
        <f ca="1">BDP("13013JGB Muni","STATE_CODE")</f>
        <v>#NAME?</v>
      </c>
      <c r="C460" t="s">
        <v>30</v>
      </c>
      <c r="D460" t="e">
        <f ca="1">BDP("13013JGB Muni","YIELD_ON_ISSUE_DATE")</f>
        <v>#NAME?</v>
      </c>
      <c r="E460">
        <v>6950000</v>
      </c>
      <c r="F460" t="e">
        <f ca="1">BDP("13013JGB Muni","ISSUE_DT")</f>
        <v>#NAME?</v>
      </c>
      <c r="G460" t="e">
        <f ca="1">BDP("13013JGB Muni","MATURITY")</f>
        <v>#NAME?</v>
      </c>
      <c r="H460" t="e">
        <f ca="1">BDP("13013JGB Muni","MUNI_TAX_PROV")</f>
        <v>#NAME?</v>
      </c>
      <c r="I460" t="e">
        <f ca="1">BDP("13013JGB Muni","FINANCING_TYPE")</f>
        <v>#NAME?</v>
      </c>
      <c r="J460" t="e">
        <f ca="1">BDP("13013JGB Muni","BICS_LEVEL_2_INDUSTRY_GROUP_NAME")</f>
        <v>#NAME?</v>
      </c>
      <c r="K460" t="e">
        <f ca="1">BDP("13013JGB Muni","SELF_REPRTD_GREEN_INSTR_INDCTR")</f>
        <v>#NAME?</v>
      </c>
      <c r="L460" t="e">
        <f ca="1">BDP("13013JGB Muni","GB_MANAGEMENT_PROCEEDS")</f>
        <v>#NAME?</v>
      </c>
      <c r="M460" t="e">
        <f ca="1">BDP("13013JGB Muni","GB_REPORTING")</f>
        <v>#NAME?</v>
      </c>
      <c r="N460" t="e">
        <f ca="1">BDP("13013JGB Muni","GB_ASSURANCE_PROVIDERS")</f>
        <v>#NAME?</v>
      </c>
      <c r="O460" t="e">
        <f ca="1">BDP("13013JGB Muni","GB_PROJECT_SELECTION_PROCESS")</f>
        <v>#NAME?</v>
      </c>
      <c r="P460" t="e">
        <f ca="1">BDP("13013JGB Muni","ESG_FRAMEWORK_INDICATOR")</f>
        <v>#NAME?</v>
      </c>
      <c r="Q460" t="e">
        <f ca="1">BDP("13013JGB Muni","BLOOMBERG_SECTOR_CODE")</f>
        <v>#NAME?</v>
      </c>
      <c r="R460" t="e">
        <f ca="1">BDP("13013JGB Muni","ISSUER_TYPE")</f>
        <v>#NAME?</v>
      </c>
      <c r="S460" t="e">
        <f ca="1">BDS("13013JGB Muni","ESG_PROJECT_CATEGORY", "aggregate=y")</f>
        <v>#NAME?</v>
      </c>
      <c r="T460" t="e">
        <f ca="1">BDS("13013JGB Muni","ESG_PROJECT_SUBCATEGORY", "aggregate=y")</f>
        <v>#NAME?</v>
      </c>
    </row>
    <row r="461" spans="1:20" x14ac:dyDescent="0.25">
      <c r="A461" t="e">
        <f ca="1">BDP("13013JGC Muni","ID_CUSIP")</f>
        <v>#NAME?</v>
      </c>
      <c r="B461" t="e">
        <f ca="1">BDP("13013JGC Muni","STATE_CODE")</f>
        <v>#NAME?</v>
      </c>
      <c r="C461" t="s">
        <v>30</v>
      </c>
      <c r="D461" t="e">
        <f ca="1">BDP("13013JGC Muni","YIELD_ON_ISSUE_DATE")</f>
        <v>#NAME?</v>
      </c>
      <c r="E461">
        <v>8025000</v>
      </c>
      <c r="F461" t="e">
        <f ca="1">BDP("13013JGC Muni","ISSUE_DT")</f>
        <v>#NAME?</v>
      </c>
      <c r="G461" t="e">
        <f ca="1">BDP("13013JGC Muni","MATURITY")</f>
        <v>#NAME?</v>
      </c>
      <c r="H461" t="e">
        <f ca="1">BDP("13013JGC Muni","MUNI_TAX_PROV")</f>
        <v>#NAME?</v>
      </c>
      <c r="I461" t="e">
        <f ca="1">BDP("13013JGC Muni","FINANCING_TYPE")</f>
        <v>#NAME?</v>
      </c>
      <c r="J461" t="e">
        <f ca="1">BDP("13013JGC Muni","BICS_LEVEL_2_INDUSTRY_GROUP_NAME")</f>
        <v>#NAME?</v>
      </c>
      <c r="K461" t="e">
        <f ca="1">BDP("13013JGC Muni","SELF_REPRTD_GREEN_INSTR_INDCTR")</f>
        <v>#NAME?</v>
      </c>
      <c r="L461" t="e">
        <f ca="1">BDP("13013JGC Muni","GB_MANAGEMENT_PROCEEDS")</f>
        <v>#NAME?</v>
      </c>
      <c r="M461" t="e">
        <f ca="1">BDP("13013JGC Muni","GB_REPORTING")</f>
        <v>#NAME?</v>
      </c>
      <c r="N461" t="e">
        <f ca="1">BDP("13013JGC Muni","GB_ASSURANCE_PROVIDERS")</f>
        <v>#NAME?</v>
      </c>
      <c r="O461" t="e">
        <f ca="1">BDP("13013JGC Muni","GB_PROJECT_SELECTION_PROCESS")</f>
        <v>#NAME?</v>
      </c>
      <c r="P461" t="e">
        <f ca="1">BDP("13013JGC Muni","ESG_FRAMEWORK_INDICATOR")</f>
        <v>#NAME?</v>
      </c>
      <c r="Q461" t="e">
        <f ca="1">BDP("13013JGC Muni","BLOOMBERG_SECTOR_CODE")</f>
        <v>#NAME?</v>
      </c>
      <c r="R461" t="e">
        <f ca="1">BDP("13013JGC Muni","ISSUER_TYPE")</f>
        <v>#NAME?</v>
      </c>
      <c r="S461" t="e">
        <f ca="1">BDS("13013JGC Muni","ESG_PROJECT_CATEGORY", "aggregate=y")</f>
        <v>#NAME?</v>
      </c>
      <c r="T461" t="e">
        <f ca="1">BDS("13013JGC Muni","ESG_PROJECT_SUBCATEGORY", "aggregate=y")</f>
        <v>#NAME?</v>
      </c>
    </row>
    <row r="462" spans="1:20" x14ac:dyDescent="0.25">
      <c r="A462" t="e">
        <f ca="1">BDP("13013JGD Muni","ID_CUSIP")</f>
        <v>#NAME?</v>
      </c>
      <c r="B462" t="e">
        <f ca="1">BDP("13013JGD Muni","STATE_CODE")</f>
        <v>#NAME?</v>
      </c>
      <c r="C462" t="s">
        <v>30</v>
      </c>
      <c r="D462" t="e">
        <f ca="1">BDP("13013JGD Muni","YIELD_ON_ISSUE_DATE")</f>
        <v>#NAME?</v>
      </c>
      <c r="E462">
        <v>8320000</v>
      </c>
      <c r="F462" t="e">
        <f ca="1">BDP("13013JGD Muni","ISSUE_DT")</f>
        <v>#NAME?</v>
      </c>
      <c r="G462" t="e">
        <f ca="1">BDP("13013JGD Muni","MATURITY")</f>
        <v>#NAME?</v>
      </c>
      <c r="H462" t="e">
        <f ca="1">BDP("13013JGD Muni","MUNI_TAX_PROV")</f>
        <v>#NAME?</v>
      </c>
      <c r="I462" t="e">
        <f ca="1">BDP("13013JGD Muni","FINANCING_TYPE")</f>
        <v>#NAME?</v>
      </c>
      <c r="J462" t="e">
        <f ca="1">BDP("13013JGD Muni","BICS_LEVEL_2_INDUSTRY_GROUP_NAME")</f>
        <v>#NAME?</v>
      </c>
      <c r="K462" t="e">
        <f ca="1">BDP("13013JGD Muni","SELF_REPRTD_GREEN_INSTR_INDCTR")</f>
        <v>#NAME?</v>
      </c>
      <c r="L462" t="e">
        <f ca="1">BDP("13013JGD Muni","GB_MANAGEMENT_PROCEEDS")</f>
        <v>#NAME?</v>
      </c>
      <c r="M462" t="e">
        <f ca="1">BDP("13013JGD Muni","GB_REPORTING")</f>
        <v>#NAME?</v>
      </c>
      <c r="N462" t="e">
        <f ca="1">BDP("13013JGD Muni","GB_ASSURANCE_PROVIDERS")</f>
        <v>#NAME?</v>
      </c>
      <c r="O462" t="e">
        <f ca="1">BDP("13013JGD Muni","GB_PROJECT_SELECTION_PROCESS")</f>
        <v>#NAME?</v>
      </c>
      <c r="P462" t="e">
        <f ca="1">BDP("13013JGD Muni","ESG_FRAMEWORK_INDICATOR")</f>
        <v>#NAME?</v>
      </c>
      <c r="Q462" t="e">
        <f ca="1">BDP("13013JGD Muni","BLOOMBERG_SECTOR_CODE")</f>
        <v>#NAME?</v>
      </c>
      <c r="R462" t="e">
        <f ca="1">BDP("13013JGD Muni","ISSUER_TYPE")</f>
        <v>#NAME?</v>
      </c>
      <c r="S462" t="e">
        <f ca="1">BDS("13013JGD Muni","ESG_PROJECT_CATEGORY", "aggregate=y")</f>
        <v>#NAME?</v>
      </c>
      <c r="T462" t="e">
        <f ca="1">BDS("13013JGD Muni","ESG_PROJECT_SUBCATEGORY", "aggregate=y")</f>
        <v>#NAME?</v>
      </c>
    </row>
    <row r="463" spans="1:20" x14ac:dyDescent="0.25">
      <c r="A463" t="e">
        <f ca="1">BDP("13013JGE Muni","ID_CUSIP")</f>
        <v>#NAME?</v>
      </c>
      <c r="B463" t="e">
        <f ca="1">BDP("13013JGE Muni","STATE_CODE")</f>
        <v>#NAME?</v>
      </c>
      <c r="C463" t="s">
        <v>30</v>
      </c>
      <c r="D463" t="e">
        <f ca="1">BDP("13013JGE Muni","YIELD_ON_ISSUE_DATE")</f>
        <v>#NAME?</v>
      </c>
      <c r="E463">
        <v>8690000</v>
      </c>
      <c r="F463" t="e">
        <f ca="1">BDP("13013JGE Muni","ISSUE_DT")</f>
        <v>#NAME?</v>
      </c>
      <c r="G463" t="e">
        <f ca="1">BDP("13013JGE Muni","MATURITY")</f>
        <v>#NAME?</v>
      </c>
      <c r="H463" t="e">
        <f ca="1">BDP("13013JGE Muni","MUNI_TAX_PROV")</f>
        <v>#NAME?</v>
      </c>
      <c r="I463" t="e">
        <f ca="1">BDP("13013JGE Muni","FINANCING_TYPE")</f>
        <v>#NAME?</v>
      </c>
      <c r="J463" t="e">
        <f ca="1">BDP("13013JGE Muni","BICS_LEVEL_2_INDUSTRY_GROUP_NAME")</f>
        <v>#NAME?</v>
      </c>
      <c r="K463" t="e">
        <f ca="1">BDP("13013JGE Muni","SELF_REPRTD_GREEN_INSTR_INDCTR")</f>
        <v>#NAME?</v>
      </c>
      <c r="L463" t="e">
        <f ca="1">BDP("13013JGE Muni","GB_MANAGEMENT_PROCEEDS")</f>
        <v>#NAME?</v>
      </c>
      <c r="M463" t="e">
        <f ca="1">BDP("13013JGE Muni","GB_REPORTING")</f>
        <v>#NAME?</v>
      </c>
      <c r="N463" t="e">
        <f ca="1">BDP("13013JGE Muni","GB_ASSURANCE_PROVIDERS")</f>
        <v>#NAME?</v>
      </c>
      <c r="O463" t="e">
        <f ca="1">BDP("13013JGE Muni","GB_PROJECT_SELECTION_PROCESS")</f>
        <v>#NAME?</v>
      </c>
      <c r="P463" t="e">
        <f ca="1">BDP("13013JGE Muni","ESG_FRAMEWORK_INDICATOR")</f>
        <v>#NAME?</v>
      </c>
      <c r="Q463" t="e">
        <f ca="1">BDP("13013JGE Muni","BLOOMBERG_SECTOR_CODE")</f>
        <v>#NAME?</v>
      </c>
      <c r="R463" t="e">
        <f ca="1">BDP("13013JGE Muni","ISSUER_TYPE")</f>
        <v>#NAME?</v>
      </c>
      <c r="S463" t="e">
        <f ca="1">BDS("13013JGE Muni","ESG_PROJECT_CATEGORY", "aggregate=y")</f>
        <v>#NAME?</v>
      </c>
      <c r="T463" t="e">
        <f ca="1">BDS("13013JGE Muni","ESG_PROJECT_SUBCATEGORY", "aggregate=y")</f>
        <v>#NAME?</v>
      </c>
    </row>
    <row r="464" spans="1:20" x14ac:dyDescent="0.25">
      <c r="A464" t="e">
        <f ca="1">BDP("13013JGS Muni","ID_CUSIP")</f>
        <v>#NAME?</v>
      </c>
      <c r="B464" t="e">
        <f ca="1">BDP("13013JGS Muni","STATE_CODE")</f>
        <v>#NAME?</v>
      </c>
      <c r="C464" t="s">
        <v>30</v>
      </c>
      <c r="D464" t="e">
        <f ca="1">BDP("13013JGS Muni","YIELD_ON_ISSUE_DATE")</f>
        <v>#NAME?</v>
      </c>
      <c r="E464">
        <v>11600000</v>
      </c>
      <c r="F464" t="e">
        <f ca="1">BDP("13013JGS Muni","ISSUE_DT")</f>
        <v>#NAME?</v>
      </c>
      <c r="G464" t="e">
        <f ca="1">BDP("13013JGS Muni","MATURITY")</f>
        <v>#NAME?</v>
      </c>
      <c r="H464" t="e">
        <f ca="1">BDP("13013JGS Muni","MUNI_TAX_PROV")</f>
        <v>#NAME?</v>
      </c>
      <c r="I464" t="e">
        <f ca="1">BDP("13013JGS Muni","FINANCING_TYPE")</f>
        <v>#NAME?</v>
      </c>
      <c r="J464" t="e">
        <f ca="1">BDP("13013JGS Muni","BICS_LEVEL_2_INDUSTRY_GROUP_NAME")</f>
        <v>#NAME?</v>
      </c>
      <c r="K464" t="e">
        <f ca="1">BDP("13013JGS Muni","SELF_REPRTD_GREEN_INSTR_INDCTR")</f>
        <v>#NAME?</v>
      </c>
      <c r="L464" t="e">
        <f ca="1">BDP("13013JGS Muni","GB_MANAGEMENT_PROCEEDS")</f>
        <v>#NAME?</v>
      </c>
      <c r="M464" t="e">
        <f ca="1">BDP("13013JGS Muni","GB_REPORTING")</f>
        <v>#NAME?</v>
      </c>
      <c r="N464" t="e">
        <f ca="1">BDP("13013JGS Muni","GB_ASSURANCE_PROVIDERS")</f>
        <v>#NAME?</v>
      </c>
      <c r="O464" t="e">
        <f ca="1">BDP("13013JGS Muni","GB_PROJECT_SELECTION_PROCESS")</f>
        <v>#NAME?</v>
      </c>
      <c r="P464" t="e">
        <f ca="1">BDP("13013JGS Muni","ESG_FRAMEWORK_INDICATOR")</f>
        <v>#NAME?</v>
      </c>
      <c r="Q464" t="e">
        <f ca="1">BDP("13013JGS Muni","BLOOMBERG_SECTOR_CODE")</f>
        <v>#NAME?</v>
      </c>
      <c r="R464" t="e">
        <f ca="1">BDP("13013JGS Muni","ISSUER_TYPE")</f>
        <v>#NAME?</v>
      </c>
      <c r="S464" t="e">
        <f ca="1">BDS("13013JGS Muni","ESG_PROJECT_CATEGORY", "aggregate=y")</f>
        <v>#NAME?</v>
      </c>
      <c r="T464" t="e">
        <f ca="1">BDS("13013JGS Muni","ESG_PROJECT_SUBCATEGORY", "aggregate=y")</f>
        <v>#NAME?</v>
      </c>
    </row>
    <row r="465" spans="1:20" x14ac:dyDescent="0.25">
      <c r="A465" t="e">
        <f ca="1">BDP("043257BM Muni","ID_CUSIP")</f>
        <v>#NAME?</v>
      </c>
      <c r="B465" t="e">
        <f ca="1">BDP("043257BM Muni","STATE_CODE")</f>
        <v>#NAME?</v>
      </c>
      <c r="C465" t="s">
        <v>40</v>
      </c>
      <c r="D465" t="e">
        <f ca="1">BDP("043257BM Muni","YIELD_ON_ISSUE_DATE")</f>
        <v>#NAME?</v>
      </c>
      <c r="E465">
        <v>280000</v>
      </c>
      <c r="F465" t="e">
        <f ca="1">BDP("043257BM Muni","ISSUE_DT")</f>
        <v>#NAME?</v>
      </c>
      <c r="G465" t="e">
        <f ca="1">BDP("043257BM Muni","MATURITY")</f>
        <v>#NAME?</v>
      </c>
      <c r="H465" t="e">
        <f ca="1">BDP("043257BM Muni","MUNI_TAX_PROV")</f>
        <v>#NAME?</v>
      </c>
      <c r="I465" t="e">
        <f ca="1">BDP("043257BM Muni","FINANCING_TYPE")</f>
        <v>#NAME?</v>
      </c>
      <c r="J465" t="e">
        <f ca="1">BDP("043257BM Muni","BICS_LEVEL_2_INDUSTRY_GROUP_NAME")</f>
        <v>#NAME?</v>
      </c>
      <c r="K465" t="e">
        <f ca="1">BDP("043257BM Muni","SELF_REPRTD_GREEN_INSTR_INDCTR")</f>
        <v>#NAME?</v>
      </c>
      <c r="L465" t="e">
        <f ca="1">BDP("043257BM Muni","GB_MANAGEMENT_PROCEEDS")</f>
        <v>#NAME?</v>
      </c>
      <c r="M465" t="e">
        <f ca="1">BDP("043257BM Muni","GB_REPORTING")</f>
        <v>#NAME?</v>
      </c>
      <c r="N465" t="e">
        <f ca="1">BDP("043257BM Muni","GB_ASSURANCE_PROVIDERS")</f>
        <v>#NAME?</v>
      </c>
      <c r="O465" t="e">
        <f ca="1">BDP("043257BM Muni","GB_PROJECT_SELECTION_PROCESS")</f>
        <v>#NAME?</v>
      </c>
      <c r="P465" t="e">
        <f ca="1">BDP("043257BM Muni","ESG_FRAMEWORK_INDICATOR")</f>
        <v>#NAME?</v>
      </c>
      <c r="Q465" t="e">
        <f ca="1">BDP("043257BM Muni","BLOOMBERG_SECTOR_CODE")</f>
        <v>#NAME?</v>
      </c>
      <c r="R465" t="e">
        <f ca="1">BDP("043257BM Muni","ISSUER_TYPE")</f>
        <v>#NAME?</v>
      </c>
      <c r="S465" t="e">
        <f ca="1">BDS("043257BM Muni","ESG_PROJECT_CATEGORY", "aggregate=y")</f>
        <v>#NAME?</v>
      </c>
      <c r="T465" t="e">
        <f ca="1">BDS("043257BM Muni","ESG_PROJECT_SUBCATEGORY", "aggregate=y")</f>
        <v>#NAME?</v>
      </c>
    </row>
    <row r="466" spans="1:20" x14ac:dyDescent="0.25">
      <c r="A466" t="e">
        <f ca="1">BDP("043257BY Muni","ID_CUSIP")</f>
        <v>#NAME?</v>
      </c>
      <c r="B466" t="e">
        <f ca="1">BDP("043257BY Muni","STATE_CODE")</f>
        <v>#NAME?</v>
      </c>
      <c r="C466" t="s">
        <v>40</v>
      </c>
      <c r="D466" t="e">
        <f ca="1">BDP("043257BY Muni","YIELD_ON_ISSUE_DATE")</f>
        <v>#NAME?</v>
      </c>
      <c r="E466">
        <v>485000</v>
      </c>
      <c r="F466" t="e">
        <f ca="1">BDP("043257BY Muni","ISSUE_DT")</f>
        <v>#NAME?</v>
      </c>
      <c r="G466" t="e">
        <f ca="1">BDP("043257BY Muni","MATURITY")</f>
        <v>#NAME?</v>
      </c>
      <c r="H466" t="e">
        <f ca="1">BDP("043257BY Muni","MUNI_TAX_PROV")</f>
        <v>#NAME?</v>
      </c>
      <c r="I466" t="e">
        <f ca="1">BDP("043257BY Muni","FINANCING_TYPE")</f>
        <v>#NAME?</v>
      </c>
      <c r="J466" t="e">
        <f ca="1">BDP("043257BY Muni","BICS_LEVEL_2_INDUSTRY_GROUP_NAME")</f>
        <v>#NAME?</v>
      </c>
      <c r="K466" t="e">
        <f ca="1">BDP("043257BY Muni","SELF_REPRTD_GREEN_INSTR_INDCTR")</f>
        <v>#NAME?</v>
      </c>
      <c r="L466" t="e">
        <f ca="1">BDP("043257BY Muni","GB_MANAGEMENT_PROCEEDS")</f>
        <v>#NAME?</v>
      </c>
      <c r="M466" t="e">
        <f ca="1">BDP("043257BY Muni","GB_REPORTING")</f>
        <v>#NAME?</v>
      </c>
      <c r="N466" t="e">
        <f ca="1">BDP("043257BY Muni","GB_ASSURANCE_PROVIDERS")</f>
        <v>#NAME?</v>
      </c>
      <c r="O466" t="e">
        <f ca="1">BDP("043257BY Muni","GB_PROJECT_SELECTION_PROCESS")</f>
        <v>#NAME?</v>
      </c>
      <c r="P466" t="e">
        <f ca="1">BDP("043257BY Muni","ESG_FRAMEWORK_INDICATOR")</f>
        <v>#NAME?</v>
      </c>
      <c r="Q466" t="e">
        <f ca="1">BDP("043257BY Muni","BLOOMBERG_SECTOR_CODE")</f>
        <v>#NAME?</v>
      </c>
      <c r="R466" t="e">
        <f ca="1">BDP("043257BY Muni","ISSUER_TYPE")</f>
        <v>#NAME?</v>
      </c>
      <c r="S466" t="e">
        <f ca="1">BDS("043257BY Muni","ESG_PROJECT_CATEGORY", "aggregate=y")</f>
        <v>#NAME?</v>
      </c>
      <c r="T466" t="e">
        <f ca="1">BDS("043257BY Muni","ESG_PROJECT_SUBCATEGORY", "aggregate=y")</f>
        <v>#NAME?</v>
      </c>
    </row>
    <row r="467" spans="1:20" x14ac:dyDescent="0.25">
      <c r="A467" t="e">
        <f ca="1">BDP("043257CB Muni","ID_CUSIP")</f>
        <v>#NAME?</v>
      </c>
      <c r="B467" t="e">
        <f ca="1">BDP("043257CB Muni","STATE_CODE")</f>
        <v>#NAME?</v>
      </c>
      <c r="C467" t="s">
        <v>40</v>
      </c>
      <c r="D467" t="e">
        <f ca="1">BDP("043257CB Muni","YIELD_ON_ISSUE_DATE")</f>
        <v>#NAME?</v>
      </c>
      <c r="E467">
        <v>560000</v>
      </c>
      <c r="F467" t="e">
        <f ca="1">BDP("043257CB Muni","ISSUE_DT")</f>
        <v>#NAME?</v>
      </c>
      <c r="G467" t="e">
        <f ca="1">BDP("043257CB Muni","MATURITY")</f>
        <v>#NAME?</v>
      </c>
      <c r="H467" t="e">
        <f ca="1">BDP("043257CB Muni","MUNI_TAX_PROV")</f>
        <v>#NAME?</v>
      </c>
      <c r="I467" t="e">
        <f ca="1">BDP("043257CB Muni","FINANCING_TYPE")</f>
        <v>#NAME?</v>
      </c>
      <c r="J467" t="e">
        <f ca="1">BDP("043257CB Muni","BICS_LEVEL_2_INDUSTRY_GROUP_NAME")</f>
        <v>#NAME?</v>
      </c>
      <c r="K467" t="e">
        <f ca="1">BDP("043257CB Muni","SELF_REPRTD_GREEN_INSTR_INDCTR")</f>
        <v>#NAME?</v>
      </c>
      <c r="L467" t="e">
        <f ca="1">BDP("043257CB Muni","GB_MANAGEMENT_PROCEEDS")</f>
        <v>#NAME?</v>
      </c>
      <c r="M467" t="e">
        <f ca="1">BDP("043257CB Muni","GB_REPORTING")</f>
        <v>#NAME?</v>
      </c>
      <c r="N467" t="e">
        <f ca="1">BDP("043257CB Muni","GB_ASSURANCE_PROVIDERS")</f>
        <v>#NAME?</v>
      </c>
      <c r="O467" t="e">
        <f ca="1">BDP("043257CB Muni","GB_PROJECT_SELECTION_PROCESS")</f>
        <v>#NAME?</v>
      </c>
      <c r="P467" t="e">
        <f ca="1">BDP("043257CB Muni","ESG_FRAMEWORK_INDICATOR")</f>
        <v>#NAME?</v>
      </c>
      <c r="Q467" t="e">
        <f ca="1">BDP("043257CB Muni","BLOOMBERG_SECTOR_CODE")</f>
        <v>#NAME?</v>
      </c>
      <c r="R467" t="e">
        <f ca="1">BDP("043257CB Muni","ISSUER_TYPE")</f>
        <v>#NAME?</v>
      </c>
      <c r="S467" t="e">
        <f ca="1">BDS("043257CB Muni","ESG_PROJECT_CATEGORY", "aggregate=y")</f>
        <v>#NAME?</v>
      </c>
      <c r="T467" t="e">
        <f ca="1">BDS("043257CB Muni","ESG_PROJECT_SUBCATEGORY", "aggregate=y")</f>
        <v>#NAME?</v>
      </c>
    </row>
    <row r="468" spans="1:20" x14ac:dyDescent="0.25">
      <c r="A468" t="e">
        <f ca="1">BDP("043260CD Muni","ID_CUSIP")</f>
        <v>#NAME?</v>
      </c>
      <c r="B468" t="e">
        <f ca="1">BDP("043260CD Muni","STATE_CODE")</f>
        <v>#NAME?</v>
      </c>
      <c r="C468" t="s">
        <v>41</v>
      </c>
      <c r="D468" t="e">
        <f ca="1">BDP("043260CD Muni","YIELD_ON_ISSUE_DATE")</f>
        <v>#NAME?</v>
      </c>
      <c r="E468">
        <v>1830000</v>
      </c>
      <c r="F468" t="e">
        <f ca="1">BDP("043260CD Muni","ISSUE_DT")</f>
        <v>#NAME?</v>
      </c>
      <c r="G468" t="e">
        <f ca="1">BDP("043260CD Muni","MATURITY")</f>
        <v>#NAME?</v>
      </c>
      <c r="H468" t="e">
        <f ca="1">BDP("043260CD Muni","MUNI_TAX_PROV")</f>
        <v>#NAME?</v>
      </c>
      <c r="I468" t="e">
        <f ca="1">BDP("043260CD Muni","FINANCING_TYPE")</f>
        <v>#NAME?</v>
      </c>
      <c r="J468" t="e">
        <f ca="1">BDP("043260CD Muni","BICS_LEVEL_2_INDUSTRY_GROUP_NAME")</f>
        <v>#NAME?</v>
      </c>
      <c r="K468" t="e">
        <f ca="1">BDP("043260CD Muni","SELF_REPRTD_GREEN_INSTR_INDCTR")</f>
        <v>#NAME?</v>
      </c>
      <c r="L468" t="e">
        <f ca="1">BDP("043260CD Muni","GB_MANAGEMENT_PROCEEDS")</f>
        <v>#NAME?</v>
      </c>
      <c r="M468" t="e">
        <f ca="1">BDP("043260CD Muni","GB_REPORTING")</f>
        <v>#NAME?</v>
      </c>
      <c r="N468" t="e">
        <f ca="1">BDP("043260CD Muni","GB_ASSURANCE_PROVIDERS")</f>
        <v>#NAME?</v>
      </c>
      <c r="O468" t="e">
        <f ca="1">BDP("043260CD Muni","GB_PROJECT_SELECTION_PROCESS")</f>
        <v>#NAME?</v>
      </c>
      <c r="P468" t="e">
        <f ca="1">BDP("043260CD Muni","ESG_FRAMEWORK_INDICATOR")</f>
        <v>#NAME?</v>
      </c>
      <c r="Q468" t="e">
        <f ca="1">BDP("043260CD Muni","BLOOMBERG_SECTOR_CODE")</f>
        <v>#NAME?</v>
      </c>
      <c r="R468" t="e">
        <f ca="1">BDP("043260CD Muni","ISSUER_TYPE")</f>
        <v>#NAME?</v>
      </c>
      <c r="S468" t="e">
        <f ca="1">BDS("043260CD Muni","ESG_PROJECT_CATEGORY", "aggregate=y")</f>
        <v>#NAME?</v>
      </c>
      <c r="T468" t="e">
        <f ca="1">BDS("043260CD Muni","ESG_PROJECT_SUBCATEGORY", "aggregate=y")</f>
        <v>#NAME?</v>
      </c>
    </row>
    <row r="469" spans="1:20" x14ac:dyDescent="0.25">
      <c r="A469" t="e">
        <f ca="1">BDP("043260CG Muni","ID_CUSIP")</f>
        <v>#NAME?</v>
      </c>
      <c r="B469" t="e">
        <f ca="1">BDP("043260CG Muni","STATE_CODE")</f>
        <v>#NAME?</v>
      </c>
      <c r="C469" t="s">
        <v>41</v>
      </c>
      <c r="D469" t="e">
        <f ca="1">BDP("043260CG Muni","YIELD_ON_ISSUE_DATE")</f>
        <v>#NAME?</v>
      </c>
      <c r="E469">
        <v>2120000</v>
      </c>
      <c r="F469" t="e">
        <f ca="1">BDP("043260CG Muni","ISSUE_DT")</f>
        <v>#NAME?</v>
      </c>
      <c r="G469" t="e">
        <f ca="1">BDP("043260CG Muni","MATURITY")</f>
        <v>#NAME?</v>
      </c>
      <c r="H469" t="e">
        <f ca="1">BDP("043260CG Muni","MUNI_TAX_PROV")</f>
        <v>#NAME?</v>
      </c>
      <c r="I469" t="e">
        <f ca="1">BDP("043260CG Muni","FINANCING_TYPE")</f>
        <v>#NAME?</v>
      </c>
      <c r="J469" t="e">
        <f ca="1">BDP("043260CG Muni","BICS_LEVEL_2_INDUSTRY_GROUP_NAME")</f>
        <v>#NAME?</v>
      </c>
      <c r="K469" t="e">
        <f ca="1">BDP("043260CG Muni","SELF_REPRTD_GREEN_INSTR_INDCTR")</f>
        <v>#NAME?</v>
      </c>
      <c r="L469" t="e">
        <f ca="1">BDP("043260CG Muni","GB_MANAGEMENT_PROCEEDS")</f>
        <v>#NAME?</v>
      </c>
      <c r="M469" t="e">
        <f ca="1">BDP("043260CG Muni","GB_REPORTING")</f>
        <v>#NAME?</v>
      </c>
      <c r="N469" t="e">
        <f ca="1">BDP("043260CG Muni","GB_ASSURANCE_PROVIDERS")</f>
        <v>#NAME?</v>
      </c>
      <c r="O469" t="e">
        <f ca="1">BDP("043260CG Muni","GB_PROJECT_SELECTION_PROCESS")</f>
        <v>#NAME?</v>
      </c>
      <c r="P469" t="e">
        <f ca="1">BDP("043260CG Muni","ESG_FRAMEWORK_INDICATOR")</f>
        <v>#NAME?</v>
      </c>
      <c r="Q469" t="e">
        <f ca="1">BDP("043260CG Muni","BLOOMBERG_SECTOR_CODE")</f>
        <v>#NAME?</v>
      </c>
      <c r="R469" t="e">
        <f ca="1">BDP("043260CG Muni","ISSUER_TYPE")</f>
        <v>#NAME?</v>
      </c>
      <c r="S469" t="e">
        <f ca="1">BDS("043260CG Muni","ESG_PROJECT_CATEGORY", "aggregate=y")</f>
        <v>#NAME?</v>
      </c>
      <c r="T469" t="e">
        <f ca="1">BDS("043260CG Muni","ESG_PROJECT_SUBCATEGORY", "aggregate=y")</f>
        <v>#NAME?</v>
      </c>
    </row>
    <row r="470" spans="1:20" x14ac:dyDescent="0.25">
      <c r="A470" t="e">
        <f ca="1">BDP("823656AZ Muni","ID_CUSIP")</f>
        <v>#NAME?</v>
      </c>
      <c r="B470" t="e">
        <f ca="1">BDP("823656AZ Muni","STATE_CODE")</f>
        <v>#NAME?</v>
      </c>
      <c r="C470" t="s">
        <v>42</v>
      </c>
      <c r="D470" t="e">
        <f ca="1">BDP("823656AZ Muni","YIELD_ON_ISSUE_DATE")</f>
        <v>#NAME?</v>
      </c>
      <c r="E470">
        <v>115000</v>
      </c>
      <c r="F470" t="e">
        <f ca="1">BDP("823656AZ Muni","ISSUE_DT")</f>
        <v>#NAME?</v>
      </c>
      <c r="G470" t="e">
        <f ca="1">BDP("823656AZ Muni","MATURITY")</f>
        <v>#NAME?</v>
      </c>
      <c r="H470" t="e">
        <f ca="1">BDP("823656AZ Muni","MUNI_TAX_PROV")</f>
        <v>#NAME?</v>
      </c>
      <c r="I470" t="e">
        <f ca="1">BDP("823656AZ Muni","FINANCING_TYPE")</f>
        <v>#NAME?</v>
      </c>
      <c r="J470" t="e">
        <f ca="1">BDP("823656AZ Muni","BICS_LEVEL_2_INDUSTRY_GROUP_NAME")</f>
        <v>#NAME?</v>
      </c>
      <c r="K470" t="e">
        <f ca="1">BDP("823656AZ Muni","SELF_REPRTD_GREEN_INSTR_INDCTR")</f>
        <v>#NAME?</v>
      </c>
      <c r="L470" t="e">
        <f ca="1">BDP("823656AZ Muni","GB_MANAGEMENT_PROCEEDS")</f>
        <v>#NAME?</v>
      </c>
      <c r="M470" t="e">
        <f ca="1">BDP("823656AZ Muni","GB_REPORTING")</f>
        <v>#NAME?</v>
      </c>
      <c r="N470" t="e">
        <f ca="1">BDP("823656AZ Muni","GB_ASSURANCE_PROVIDERS")</f>
        <v>#NAME?</v>
      </c>
      <c r="O470" t="e">
        <f ca="1">BDP("823656AZ Muni","GB_PROJECT_SELECTION_PROCESS")</f>
        <v>#NAME?</v>
      </c>
      <c r="P470" t="e">
        <f ca="1">BDP("823656AZ Muni","ESG_FRAMEWORK_INDICATOR")</f>
        <v>#NAME?</v>
      </c>
      <c r="Q470" t="e">
        <f ca="1">BDP("823656AZ Muni","BLOOMBERG_SECTOR_CODE")</f>
        <v>#NAME?</v>
      </c>
      <c r="R470" t="e">
        <f ca="1">BDP("823656AZ Muni","ISSUER_TYPE")</f>
        <v>#NAME?</v>
      </c>
      <c r="S470" t="e">
        <f ca="1">BDS("823656AZ Muni","ESG_PROJECT_CATEGORY", "aggregate=y")</f>
        <v>#NAME?</v>
      </c>
      <c r="T470" t="e">
        <f ca="1">BDS("823656AZ Muni","ESG_PROJECT_SUBCATEGORY", "aggregate=y")</f>
        <v>#NAME?</v>
      </c>
    </row>
    <row r="471" spans="1:20" x14ac:dyDescent="0.25">
      <c r="A471" t="e">
        <f ca="1">BDP("823656BA Muni","ID_CUSIP")</f>
        <v>#NAME?</v>
      </c>
      <c r="B471" t="e">
        <f ca="1">BDP("823656BA Muni","STATE_CODE")</f>
        <v>#NAME?</v>
      </c>
      <c r="C471" t="s">
        <v>42</v>
      </c>
      <c r="D471" t="e">
        <f ca="1">BDP("823656BA Muni","YIELD_ON_ISSUE_DATE")</f>
        <v>#NAME?</v>
      </c>
      <c r="E471">
        <v>195000</v>
      </c>
      <c r="F471" t="e">
        <f ca="1">BDP("823656BA Muni","ISSUE_DT")</f>
        <v>#NAME?</v>
      </c>
      <c r="G471" t="e">
        <f ca="1">BDP("823656BA Muni","MATURITY")</f>
        <v>#NAME?</v>
      </c>
      <c r="H471" t="e">
        <f ca="1">BDP("823656BA Muni","MUNI_TAX_PROV")</f>
        <v>#NAME?</v>
      </c>
      <c r="I471" t="e">
        <f ca="1">BDP("823656BA Muni","FINANCING_TYPE")</f>
        <v>#NAME?</v>
      </c>
      <c r="J471" t="e">
        <f ca="1">BDP("823656BA Muni","BICS_LEVEL_2_INDUSTRY_GROUP_NAME")</f>
        <v>#NAME?</v>
      </c>
      <c r="K471" t="e">
        <f ca="1">BDP("823656BA Muni","SELF_REPRTD_GREEN_INSTR_INDCTR")</f>
        <v>#NAME?</v>
      </c>
      <c r="L471" t="e">
        <f ca="1">BDP("823656BA Muni","GB_MANAGEMENT_PROCEEDS")</f>
        <v>#NAME?</v>
      </c>
      <c r="M471" t="e">
        <f ca="1">BDP("823656BA Muni","GB_REPORTING")</f>
        <v>#NAME?</v>
      </c>
      <c r="N471" t="e">
        <f ca="1">BDP("823656BA Muni","GB_ASSURANCE_PROVIDERS")</f>
        <v>#NAME?</v>
      </c>
      <c r="O471" t="e">
        <f ca="1">BDP("823656BA Muni","GB_PROJECT_SELECTION_PROCESS")</f>
        <v>#NAME?</v>
      </c>
      <c r="P471" t="e">
        <f ca="1">BDP("823656BA Muni","ESG_FRAMEWORK_INDICATOR")</f>
        <v>#NAME?</v>
      </c>
      <c r="Q471" t="e">
        <f ca="1">BDP("823656BA Muni","BLOOMBERG_SECTOR_CODE")</f>
        <v>#NAME?</v>
      </c>
      <c r="R471" t="e">
        <f ca="1">BDP("823656BA Muni","ISSUER_TYPE")</f>
        <v>#NAME?</v>
      </c>
      <c r="S471" t="e">
        <f ca="1">BDS("823656BA Muni","ESG_PROJECT_CATEGORY", "aggregate=y")</f>
        <v>#NAME?</v>
      </c>
      <c r="T471" t="e">
        <f ca="1">BDS("823656BA Muni","ESG_PROJECT_SUBCATEGORY", "aggregate=y")</f>
        <v>#NAME?</v>
      </c>
    </row>
    <row r="472" spans="1:20" x14ac:dyDescent="0.25">
      <c r="A472" t="e">
        <f ca="1">BDP("823656BB Muni","ID_CUSIP")</f>
        <v>#NAME?</v>
      </c>
      <c r="B472" t="e">
        <f ca="1">BDP("823656BB Muni","STATE_CODE")</f>
        <v>#NAME?</v>
      </c>
      <c r="C472" t="s">
        <v>42</v>
      </c>
      <c r="D472" t="e">
        <f ca="1">BDP("823656BB Muni","YIELD_ON_ISSUE_DATE")</f>
        <v>#NAME?</v>
      </c>
      <c r="E472">
        <v>205000</v>
      </c>
      <c r="F472" t="e">
        <f ca="1">BDP("823656BB Muni","ISSUE_DT")</f>
        <v>#NAME?</v>
      </c>
      <c r="G472" t="e">
        <f ca="1">BDP("823656BB Muni","MATURITY")</f>
        <v>#NAME?</v>
      </c>
      <c r="H472" t="e">
        <f ca="1">BDP("823656BB Muni","MUNI_TAX_PROV")</f>
        <v>#NAME?</v>
      </c>
      <c r="I472" t="e">
        <f ca="1">BDP("823656BB Muni","FINANCING_TYPE")</f>
        <v>#NAME?</v>
      </c>
      <c r="J472" t="e">
        <f ca="1">BDP("823656BB Muni","BICS_LEVEL_2_INDUSTRY_GROUP_NAME")</f>
        <v>#NAME?</v>
      </c>
      <c r="K472" t="e">
        <f ca="1">BDP("823656BB Muni","SELF_REPRTD_GREEN_INSTR_INDCTR")</f>
        <v>#NAME?</v>
      </c>
      <c r="L472" t="e">
        <f ca="1">BDP("823656BB Muni","GB_MANAGEMENT_PROCEEDS")</f>
        <v>#NAME?</v>
      </c>
      <c r="M472" t="e">
        <f ca="1">BDP("823656BB Muni","GB_REPORTING")</f>
        <v>#NAME?</v>
      </c>
      <c r="N472" t="e">
        <f ca="1">BDP("823656BB Muni","GB_ASSURANCE_PROVIDERS")</f>
        <v>#NAME?</v>
      </c>
      <c r="O472" t="e">
        <f ca="1">BDP("823656BB Muni","GB_PROJECT_SELECTION_PROCESS")</f>
        <v>#NAME?</v>
      </c>
      <c r="P472" t="e">
        <f ca="1">BDP("823656BB Muni","ESG_FRAMEWORK_INDICATOR")</f>
        <v>#NAME?</v>
      </c>
      <c r="Q472" t="e">
        <f ca="1">BDP("823656BB Muni","BLOOMBERG_SECTOR_CODE")</f>
        <v>#NAME?</v>
      </c>
      <c r="R472" t="e">
        <f ca="1">BDP("823656BB Muni","ISSUER_TYPE")</f>
        <v>#NAME?</v>
      </c>
      <c r="S472" t="e">
        <f ca="1">BDS("823656BB Muni","ESG_PROJECT_CATEGORY", "aggregate=y")</f>
        <v>#NAME?</v>
      </c>
      <c r="T472" t="e">
        <f ca="1">BDS("823656BB Muni","ESG_PROJECT_SUBCATEGORY", "aggregate=y")</f>
        <v>#NAME?</v>
      </c>
    </row>
    <row r="473" spans="1:20" x14ac:dyDescent="0.25">
      <c r="A473" t="e">
        <f ca="1">BDP("823656BD Muni","ID_CUSIP")</f>
        <v>#NAME?</v>
      </c>
      <c r="B473" t="e">
        <f ca="1">BDP("823656BD Muni","STATE_CODE")</f>
        <v>#NAME?</v>
      </c>
      <c r="C473" t="s">
        <v>42</v>
      </c>
      <c r="D473" t="e">
        <f ca="1">BDP("823656BD Muni","YIELD_ON_ISSUE_DATE")</f>
        <v>#NAME?</v>
      </c>
      <c r="E473">
        <v>230000</v>
      </c>
      <c r="F473" t="e">
        <f ca="1">BDP("823656BD Muni","ISSUE_DT")</f>
        <v>#NAME?</v>
      </c>
      <c r="G473" t="e">
        <f ca="1">BDP("823656BD Muni","MATURITY")</f>
        <v>#NAME?</v>
      </c>
      <c r="H473" t="e">
        <f ca="1">BDP("823656BD Muni","MUNI_TAX_PROV")</f>
        <v>#NAME?</v>
      </c>
      <c r="I473" t="e">
        <f ca="1">BDP("823656BD Muni","FINANCING_TYPE")</f>
        <v>#NAME?</v>
      </c>
      <c r="J473" t="e">
        <f ca="1">BDP("823656BD Muni","BICS_LEVEL_2_INDUSTRY_GROUP_NAME")</f>
        <v>#NAME?</v>
      </c>
      <c r="K473" t="e">
        <f ca="1">BDP("823656BD Muni","SELF_REPRTD_GREEN_INSTR_INDCTR")</f>
        <v>#NAME?</v>
      </c>
      <c r="L473" t="e">
        <f ca="1">BDP("823656BD Muni","GB_MANAGEMENT_PROCEEDS")</f>
        <v>#NAME?</v>
      </c>
      <c r="M473" t="e">
        <f ca="1">BDP("823656BD Muni","GB_REPORTING")</f>
        <v>#NAME?</v>
      </c>
      <c r="N473" t="e">
        <f ca="1">BDP("823656BD Muni","GB_ASSURANCE_PROVIDERS")</f>
        <v>#NAME?</v>
      </c>
      <c r="O473" t="e">
        <f ca="1">BDP("823656BD Muni","GB_PROJECT_SELECTION_PROCESS")</f>
        <v>#NAME?</v>
      </c>
      <c r="P473" t="e">
        <f ca="1">BDP("823656BD Muni","ESG_FRAMEWORK_INDICATOR")</f>
        <v>#NAME?</v>
      </c>
      <c r="Q473" t="e">
        <f ca="1">BDP("823656BD Muni","BLOOMBERG_SECTOR_CODE")</f>
        <v>#NAME?</v>
      </c>
      <c r="R473" t="e">
        <f ca="1">BDP("823656BD Muni","ISSUER_TYPE")</f>
        <v>#NAME?</v>
      </c>
      <c r="S473" t="e">
        <f ca="1">BDS("823656BD Muni","ESG_PROJECT_CATEGORY", "aggregate=y")</f>
        <v>#NAME?</v>
      </c>
      <c r="T473" t="e">
        <f ca="1">BDS("823656BD Muni","ESG_PROJECT_SUBCATEGORY", "aggregate=y")</f>
        <v>#NAME?</v>
      </c>
    </row>
    <row r="474" spans="1:20" x14ac:dyDescent="0.25">
      <c r="A474" t="e">
        <f ca="1">BDP("823656BF Muni","ID_CUSIP")</f>
        <v>#NAME?</v>
      </c>
      <c r="B474" t="e">
        <f ca="1">BDP("823656BF Muni","STATE_CODE")</f>
        <v>#NAME?</v>
      </c>
      <c r="C474" t="s">
        <v>42</v>
      </c>
      <c r="D474" t="e">
        <f ca="1">BDP("823656BF Muni","YIELD_ON_ISSUE_DATE")</f>
        <v>#NAME?</v>
      </c>
      <c r="E474">
        <v>250000</v>
      </c>
      <c r="F474" t="e">
        <f ca="1">BDP("823656BF Muni","ISSUE_DT")</f>
        <v>#NAME?</v>
      </c>
      <c r="G474" t="e">
        <f ca="1">BDP("823656BF Muni","MATURITY")</f>
        <v>#NAME?</v>
      </c>
      <c r="H474" t="e">
        <f ca="1">BDP("823656BF Muni","MUNI_TAX_PROV")</f>
        <v>#NAME?</v>
      </c>
      <c r="I474" t="e">
        <f ca="1">BDP("823656BF Muni","FINANCING_TYPE")</f>
        <v>#NAME?</v>
      </c>
      <c r="J474" t="e">
        <f ca="1">BDP("823656BF Muni","BICS_LEVEL_2_INDUSTRY_GROUP_NAME")</f>
        <v>#NAME?</v>
      </c>
      <c r="K474" t="e">
        <f ca="1">BDP("823656BF Muni","SELF_REPRTD_GREEN_INSTR_INDCTR")</f>
        <v>#NAME?</v>
      </c>
      <c r="L474" t="e">
        <f ca="1">BDP("823656BF Muni","GB_MANAGEMENT_PROCEEDS")</f>
        <v>#NAME?</v>
      </c>
      <c r="M474" t="e">
        <f ca="1">BDP("823656BF Muni","GB_REPORTING")</f>
        <v>#NAME?</v>
      </c>
      <c r="N474" t="e">
        <f ca="1">BDP("823656BF Muni","GB_ASSURANCE_PROVIDERS")</f>
        <v>#NAME?</v>
      </c>
      <c r="O474" t="e">
        <f ca="1">BDP("823656BF Muni","GB_PROJECT_SELECTION_PROCESS")</f>
        <v>#NAME?</v>
      </c>
      <c r="P474" t="e">
        <f ca="1">BDP("823656BF Muni","ESG_FRAMEWORK_INDICATOR")</f>
        <v>#NAME?</v>
      </c>
      <c r="Q474" t="e">
        <f ca="1">BDP("823656BF Muni","BLOOMBERG_SECTOR_CODE")</f>
        <v>#NAME?</v>
      </c>
      <c r="R474" t="e">
        <f ca="1">BDP("823656BF Muni","ISSUER_TYPE")</f>
        <v>#NAME?</v>
      </c>
      <c r="S474" t="e">
        <f ca="1">BDS("823656BF Muni","ESG_PROJECT_CATEGORY", "aggregate=y")</f>
        <v>#NAME?</v>
      </c>
      <c r="T474" t="e">
        <f ca="1">BDS("823656BF Muni","ESG_PROJECT_SUBCATEGORY", "aggregate=y")</f>
        <v>#NAME?</v>
      </c>
    </row>
    <row r="475" spans="1:20" x14ac:dyDescent="0.25">
      <c r="A475" t="e">
        <f ca="1">BDP("823656BK Muni","ID_CUSIP")</f>
        <v>#NAME?</v>
      </c>
      <c r="B475" t="e">
        <f ca="1">BDP("823656BK Muni","STATE_CODE")</f>
        <v>#NAME?</v>
      </c>
      <c r="C475" t="s">
        <v>42</v>
      </c>
      <c r="D475" t="e">
        <f ca="1">BDP("823656BK Muni","YIELD_ON_ISSUE_DATE")</f>
        <v>#NAME?</v>
      </c>
      <c r="E475">
        <v>305000</v>
      </c>
      <c r="F475" t="e">
        <f ca="1">BDP("823656BK Muni","ISSUE_DT")</f>
        <v>#NAME?</v>
      </c>
      <c r="G475" t="e">
        <f ca="1">BDP("823656BK Muni","MATURITY")</f>
        <v>#NAME?</v>
      </c>
      <c r="H475" t="e">
        <f ca="1">BDP("823656BK Muni","MUNI_TAX_PROV")</f>
        <v>#NAME?</v>
      </c>
      <c r="I475" t="e">
        <f ca="1">BDP("823656BK Muni","FINANCING_TYPE")</f>
        <v>#NAME?</v>
      </c>
      <c r="J475" t="e">
        <f ca="1">BDP("823656BK Muni","BICS_LEVEL_2_INDUSTRY_GROUP_NAME")</f>
        <v>#NAME?</v>
      </c>
      <c r="K475" t="e">
        <f ca="1">BDP("823656BK Muni","SELF_REPRTD_GREEN_INSTR_INDCTR")</f>
        <v>#NAME?</v>
      </c>
      <c r="L475" t="e">
        <f ca="1">BDP("823656BK Muni","GB_MANAGEMENT_PROCEEDS")</f>
        <v>#NAME?</v>
      </c>
      <c r="M475" t="e">
        <f ca="1">BDP("823656BK Muni","GB_REPORTING")</f>
        <v>#NAME?</v>
      </c>
      <c r="N475" t="e">
        <f ca="1">BDP("823656BK Muni","GB_ASSURANCE_PROVIDERS")</f>
        <v>#NAME?</v>
      </c>
      <c r="O475" t="e">
        <f ca="1">BDP("823656BK Muni","GB_PROJECT_SELECTION_PROCESS")</f>
        <v>#NAME?</v>
      </c>
      <c r="P475" t="e">
        <f ca="1">BDP("823656BK Muni","ESG_FRAMEWORK_INDICATOR")</f>
        <v>#NAME?</v>
      </c>
      <c r="Q475" t="e">
        <f ca="1">BDP("823656BK Muni","BLOOMBERG_SECTOR_CODE")</f>
        <v>#NAME?</v>
      </c>
      <c r="R475" t="e">
        <f ca="1">BDP("823656BK Muni","ISSUER_TYPE")</f>
        <v>#NAME?</v>
      </c>
      <c r="S475" t="e">
        <f ca="1">BDS("823656BK Muni","ESG_PROJECT_CATEGORY", "aggregate=y")</f>
        <v>#NAME?</v>
      </c>
      <c r="T475" t="e">
        <f ca="1">BDS("823656BK Muni","ESG_PROJECT_SUBCATEGORY", "aggregate=y")</f>
        <v>#NAME?</v>
      </c>
    </row>
    <row r="476" spans="1:20" x14ac:dyDescent="0.25">
      <c r="A476" t="e">
        <f ca="1">BDP("823656BM Muni","ID_CUSIP")</f>
        <v>#NAME?</v>
      </c>
      <c r="B476" t="e">
        <f ca="1">BDP("823656BM Muni","STATE_CODE")</f>
        <v>#NAME?</v>
      </c>
      <c r="C476" t="s">
        <v>42</v>
      </c>
      <c r="D476" t="e">
        <f ca="1">BDP("823656BM Muni","YIELD_ON_ISSUE_DATE")</f>
        <v>#NAME?</v>
      </c>
      <c r="E476">
        <v>330000</v>
      </c>
      <c r="F476" t="e">
        <f ca="1">BDP("823656BM Muni","ISSUE_DT")</f>
        <v>#NAME?</v>
      </c>
      <c r="G476" t="e">
        <f ca="1">BDP("823656BM Muni","MATURITY")</f>
        <v>#NAME?</v>
      </c>
      <c r="H476" t="e">
        <f ca="1">BDP("823656BM Muni","MUNI_TAX_PROV")</f>
        <v>#NAME?</v>
      </c>
      <c r="I476" t="e">
        <f ca="1">BDP("823656BM Muni","FINANCING_TYPE")</f>
        <v>#NAME?</v>
      </c>
      <c r="J476" t="e">
        <f ca="1">BDP("823656BM Muni","BICS_LEVEL_2_INDUSTRY_GROUP_NAME")</f>
        <v>#NAME?</v>
      </c>
      <c r="K476" t="e">
        <f ca="1">BDP("823656BM Muni","SELF_REPRTD_GREEN_INSTR_INDCTR")</f>
        <v>#NAME?</v>
      </c>
      <c r="L476" t="e">
        <f ca="1">BDP("823656BM Muni","GB_MANAGEMENT_PROCEEDS")</f>
        <v>#NAME?</v>
      </c>
      <c r="M476" t="e">
        <f ca="1">BDP("823656BM Muni","GB_REPORTING")</f>
        <v>#NAME?</v>
      </c>
      <c r="N476" t="e">
        <f ca="1">BDP("823656BM Muni","GB_ASSURANCE_PROVIDERS")</f>
        <v>#NAME?</v>
      </c>
      <c r="O476" t="e">
        <f ca="1">BDP("823656BM Muni","GB_PROJECT_SELECTION_PROCESS")</f>
        <v>#NAME?</v>
      </c>
      <c r="P476" t="e">
        <f ca="1">BDP("823656BM Muni","ESG_FRAMEWORK_INDICATOR")</f>
        <v>#NAME?</v>
      </c>
      <c r="Q476" t="e">
        <f ca="1">BDP("823656BM Muni","BLOOMBERG_SECTOR_CODE")</f>
        <v>#NAME?</v>
      </c>
      <c r="R476" t="e">
        <f ca="1">BDP("823656BM Muni","ISSUER_TYPE")</f>
        <v>#NAME?</v>
      </c>
      <c r="S476" t="e">
        <f ca="1">BDS("823656BM Muni","ESG_PROJECT_CATEGORY", "aggregate=y")</f>
        <v>#NAME?</v>
      </c>
      <c r="T476" t="e">
        <f ca="1">BDS("823656BM Muni","ESG_PROJECT_SUBCATEGORY", "aggregate=y")</f>
        <v>#NAME?</v>
      </c>
    </row>
    <row r="477" spans="1:20" x14ac:dyDescent="0.25">
      <c r="A477" t="e">
        <f ca="1">BDP("823656BN Muni","ID_CUSIP")</f>
        <v>#NAME?</v>
      </c>
      <c r="B477" t="e">
        <f ca="1">BDP("823656BN Muni","STATE_CODE")</f>
        <v>#NAME?</v>
      </c>
      <c r="C477" t="s">
        <v>42</v>
      </c>
      <c r="D477" t="e">
        <f ca="1">BDP("823656BN Muni","YIELD_ON_ISSUE_DATE")</f>
        <v>#NAME?</v>
      </c>
      <c r="E477">
        <v>345000</v>
      </c>
      <c r="F477" t="e">
        <f ca="1">BDP("823656BN Muni","ISSUE_DT")</f>
        <v>#NAME?</v>
      </c>
      <c r="G477" t="e">
        <f ca="1">BDP("823656BN Muni","MATURITY")</f>
        <v>#NAME?</v>
      </c>
      <c r="H477" t="e">
        <f ca="1">BDP("823656BN Muni","MUNI_TAX_PROV")</f>
        <v>#NAME?</v>
      </c>
      <c r="I477" t="e">
        <f ca="1">BDP("823656BN Muni","FINANCING_TYPE")</f>
        <v>#NAME?</v>
      </c>
      <c r="J477" t="e">
        <f ca="1">BDP("823656BN Muni","BICS_LEVEL_2_INDUSTRY_GROUP_NAME")</f>
        <v>#NAME?</v>
      </c>
      <c r="K477" t="e">
        <f ca="1">BDP("823656BN Muni","SELF_REPRTD_GREEN_INSTR_INDCTR")</f>
        <v>#NAME?</v>
      </c>
      <c r="L477" t="e">
        <f ca="1">BDP("823656BN Muni","GB_MANAGEMENT_PROCEEDS")</f>
        <v>#NAME?</v>
      </c>
      <c r="M477" t="e">
        <f ca="1">BDP("823656BN Muni","GB_REPORTING")</f>
        <v>#NAME?</v>
      </c>
      <c r="N477" t="e">
        <f ca="1">BDP("823656BN Muni","GB_ASSURANCE_PROVIDERS")</f>
        <v>#NAME?</v>
      </c>
      <c r="O477" t="e">
        <f ca="1">BDP("823656BN Muni","GB_PROJECT_SELECTION_PROCESS")</f>
        <v>#NAME?</v>
      </c>
      <c r="P477" t="e">
        <f ca="1">BDP("823656BN Muni","ESG_FRAMEWORK_INDICATOR")</f>
        <v>#NAME?</v>
      </c>
      <c r="Q477" t="e">
        <f ca="1">BDP("823656BN Muni","BLOOMBERG_SECTOR_CODE")</f>
        <v>#NAME?</v>
      </c>
      <c r="R477" t="e">
        <f ca="1">BDP("823656BN Muni","ISSUER_TYPE")</f>
        <v>#NAME?</v>
      </c>
      <c r="S477" t="e">
        <f ca="1">BDS("823656BN Muni","ESG_PROJECT_CATEGORY", "aggregate=y")</f>
        <v>#NAME?</v>
      </c>
      <c r="T477" t="e">
        <f ca="1">BDS("823656BN Muni","ESG_PROJECT_SUBCATEGORY", "aggregate=y")</f>
        <v>#NAME?</v>
      </c>
    </row>
    <row r="478" spans="1:20" x14ac:dyDescent="0.25">
      <c r="A478" t="e">
        <f ca="1">BDP("043257CE Muni","ID_CUSIP")</f>
        <v>#NAME?</v>
      </c>
      <c r="B478" t="e">
        <f ca="1">BDP("043257CE Muni","STATE_CODE")</f>
        <v>#NAME?</v>
      </c>
      <c r="C478" t="s">
        <v>40</v>
      </c>
      <c r="D478" t="e">
        <f ca="1">BDP("043257CE Muni","YIELD_ON_ISSUE_DATE")</f>
        <v>#NAME?</v>
      </c>
      <c r="E478">
        <v>2600000</v>
      </c>
      <c r="F478" t="e">
        <f ca="1">BDP("043257CE Muni","ISSUE_DT")</f>
        <v>#NAME?</v>
      </c>
      <c r="G478" t="e">
        <f ca="1">BDP("043257CE Muni","MATURITY")</f>
        <v>#NAME?</v>
      </c>
      <c r="H478" t="e">
        <f ca="1">BDP("043257CE Muni","MUNI_TAX_PROV")</f>
        <v>#NAME?</v>
      </c>
      <c r="I478" t="e">
        <f ca="1">BDP("043257CE Muni","FINANCING_TYPE")</f>
        <v>#NAME?</v>
      </c>
      <c r="J478" t="e">
        <f ca="1">BDP("043257CE Muni","BICS_LEVEL_2_INDUSTRY_GROUP_NAME")</f>
        <v>#NAME?</v>
      </c>
      <c r="K478" t="e">
        <f ca="1">BDP("043257CE Muni","SELF_REPRTD_GREEN_INSTR_INDCTR")</f>
        <v>#NAME?</v>
      </c>
      <c r="L478" t="e">
        <f ca="1">BDP("043257CE Muni","GB_MANAGEMENT_PROCEEDS")</f>
        <v>#NAME?</v>
      </c>
      <c r="M478" t="e">
        <f ca="1">BDP("043257CE Muni","GB_REPORTING")</f>
        <v>#NAME?</v>
      </c>
      <c r="N478" t="e">
        <f ca="1">BDP("043257CE Muni","GB_ASSURANCE_PROVIDERS")</f>
        <v>#NAME?</v>
      </c>
      <c r="O478" t="e">
        <f ca="1">BDP("043257CE Muni","GB_PROJECT_SELECTION_PROCESS")</f>
        <v>#NAME?</v>
      </c>
      <c r="P478" t="e">
        <f ca="1">BDP("043257CE Muni","ESG_FRAMEWORK_INDICATOR")</f>
        <v>#NAME?</v>
      </c>
      <c r="Q478" t="e">
        <f ca="1">BDP("043257CE Muni","BLOOMBERG_SECTOR_CODE")</f>
        <v>#NAME?</v>
      </c>
      <c r="R478" t="e">
        <f ca="1">BDP("043257CE Muni","ISSUER_TYPE")</f>
        <v>#NAME?</v>
      </c>
      <c r="S478" t="e">
        <f ca="1">BDS("043257CE Muni","ESG_PROJECT_CATEGORY", "aggregate=y")</f>
        <v>#NAME?</v>
      </c>
      <c r="T478" t="e">
        <f ca="1">BDS("043257CE Muni","ESG_PROJECT_SUBCATEGORY", "aggregate=y")</f>
        <v>#NAME?</v>
      </c>
    </row>
    <row r="479" spans="1:20" x14ac:dyDescent="0.25">
      <c r="A479" t="e">
        <f ca="1">BDP("043257CF Muni","ID_CUSIP")</f>
        <v>#NAME?</v>
      </c>
      <c r="B479" t="e">
        <f ca="1">BDP("043257CF Muni","STATE_CODE")</f>
        <v>#NAME?</v>
      </c>
      <c r="C479" t="s">
        <v>40</v>
      </c>
      <c r="D479" t="e">
        <f ca="1">BDP("043257CF Muni","YIELD_ON_ISSUE_DATE")</f>
        <v>#NAME?</v>
      </c>
      <c r="E479">
        <v>1260000</v>
      </c>
      <c r="F479" t="e">
        <f ca="1">BDP("043257CF Muni","ISSUE_DT")</f>
        <v>#NAME?</v>
      </c>
      <c r="G479" t="e">
        <f ca="1">BDP("043257CF Muni","MATURITY")</f>
        <v>#NAME?</v>
      </c>
      <c r="H479" t="e">
        <f ca="1">BDP("043257CF Muni","MUNI_TAX_PROV")</f>
        <v>#NAME?</v>
      </c>
      <c r="I479" t="e">
        <f ca="1">BDP("043257CF Muni","FINANCING_TYPE")</f>
        <v>#NAME?</v>
      </c>
      <c r="J479" t="e">
        <f ca="1">BDP("043257CF Muni","BICS_LEVEL_2_INDUSTRY_GROUP_NAME")</f>
        <v>#NAME?</v>
      </c>
      <c r="K479" t="e">
        <f ca="1">BDP("043257CF Muni","SELF_REPRTD_GREEN_INSTR_INDCTR")</f>
        <v>#NAME?</v>
      </c>
      <c r="L479" t="e">
        <f ca="1">BDP("043257CF Muni","GB_MANAGEMENT_PROCEEDS")</f>
        <v>#NAME?</v>
      </c>
      <c r="M479" t="e">
        <f ca="1">BDP("043257CF Muni","GB_REPORTING")</f>
        <v>#NAME?</v>
      </c>
      <c r="N479" t="e">
        <f ca="1">BDP("043257CF Muni","GB_ASSURANCE_PROVIDERS")</f>
        <v>#NAME?</v>
      </c>
      <c r="O479" t="e">
        <f ca="1">BDP("043257CF Muni","GB_PROJECT_SELECTION_PROCESS")</f>
        <v>#NAME?</v>
      </c>
      <c r="P479" t="e">
        <f ca="1">BDP("043257CF Muni","ESG_FRAMEWORK_INDICATOR")</f>
        <v>#NAME?</v>
      </c>
      <c r="Q479" t="e">
        <f ca="1">BDP("043257CF Muni","BLOOMBERG_SECTOR_CODE")</f>
        <v>#NAME?</v>
      </c>
      <c r="R479" t="e">
        <f ca="1">BDP("043257CF Muni","ISSUER_TYPE")</f>
        <v>#NAME?</v>
      </c>
      <c r="S479" t="e">
        <f ca="1">BDS("043257CF Muni","ESG_PROJECT_CATEGORY", "aggregate=y")</f>
        <v>#NAME?</v>
      </c>
      <c r="T479" t="e">
        <f ca="1">BDS("043257CF Muni","ESG_PROJECT_SUBCATEGORY", "aggregate=y")</f>
        <v>#NAME?</v>
      </c>
    </row>
    <row r="480" spans="1:20" x14ac:dyDescent="0.25">
      <c r="A480" t="e">
        <f ca="1">BDP("043260CU Muni","ID_CUSIP")</f>
        <v>#NAME?</v>
      </c>
      <c r="B480" t="e">
        <f ca="1">BDP("043260CU Muni","STATE_CODE")</f>
        <v>#NAME?</v>
      </c>
      <c r="C480" t="s">
        <v>41</v>
      </c>
      <c r="D480" t="e">
        <f ca="1">BDP("043260CU Muni","YIELD_ON_ISSUE_DATE")</f>
        <v>#NAME?</v>
      </c>
      <c r="E480">
        <v>19940000</v>
      </c>
      <c r="F480" t="e">
        <f ca="1">BDP("043260CU Muni","ISSUE_DT")</f>
        <v>#NAME?</v>
      </c>
      <c r="G480" t="e">
        <f ca="1">BDP("043260CU Muni","MATURITY")</f>
        <v>#NAME?</v>
      </c>
      <c r="H480" t="e">
        <f ca="1">BDP("043260CU Muni","MUNI_TAX_PROV")</f>
        <v>#NAME?</v>
      </c>
      <c r="I480" t="e">
        <f ca="1">BDP("043260CU Muni","FINANCING_TYPE")</f>
        <v>#NAME?</v>
      </c>
      <c r="J480" t="e">
        <f ca="1">BDP("043260CU Muni","BICS_LEVEL_2_INDUSTRY_GROUP_NAME")</f>
        <v>#NAME?</v>
      </c>
      <c r="K480" t="e">
        <f ca="1">BDP("043260CU Muni","SELF_REPRTD_GREEN_INSTR_INDCTR")</f>
        <v>#NAME?</v>
      </c>
      <c r="L480" t="e">
        <f ca="1">BDP("043260CU Muni","GB_MANAGEMENT_PROCEEDS")</f>
        <v>#NAME?</v>
      </c>
      <c r="M480" t="e">
        <f ca="1">BDP("043260CU Muni","GB_REPORTING")</f>
        <v>#NAME?</v>
      </c>
      <c r="N480" t="e">
        <f ca="1">BDP("043260CU Muni","GB_ASSURANCE_PROVIDERS")</f>
        <v>#NAME?</v>
      </c>
      <c r="O480" t="e">
        <f ca="1">BDP("043260CU Muni","GB_PROJECT_SELECTION_PROCESS")</f>
        <v>#NAME?</v>
      </c>
      <c r="P480" t="e">
        <f ca="1">BDP("043260CU Muni","ESG_FRAMEWORK_INDICATOR")</f>
        <v>#NAME?</v>
      </c>
      <c r="Q480" t="e">
        <f ca="1">BDP("043260CU Muni","BLOOMBERG_SECTOR_CODE")</f>
        <v>#NAME?</v>
      </c>
      <c r="R480" t="e">
        <f ca="1">BDP("043260CU Muni","ISSUER_TYPE")</f>
        <v>#NAME?</v>
      </c>
      <c r="S480" t="e">
        <f ca="1">BDS("043260CU Muni","ESG_PROJECT_CATEGORY", "aggregate=y")</f>
        <v>#NAME?</v>
      </c>
      <c r="T480" t="e">
        <f ca="1">BDS("043260CU Muni","ESG_PROJECT_SUBCATEGORY", "aggregate=y")</f>
        <v>#NAME?</v>
      </c>
    </row>
    <row r="481" spans="1:20" x14ac:dyDescent="0.25">
      <c r="A481" t="e">
        <f ca="1">BDP("043257CG Muni","ID_CUSIP")</f>
        <v>#NAME?</v>
      </c>
      <c r="B481" t="e">
        <f ca="1">BDP("043257CG Muni","STATE_CODE")</f>
        <v>#NAME?</v>
      </c>
      <c r="C481" t="s">
        <v>40</v>
      </c>
      <c r="D481" t="e">
        <f ca="1">BDP("043257CG Muni","YIELD_ON_ISSUE_DATE")</f>
        <v>#NAME?</v>
      </c>
      <c r="E481">
        <v>1395000</v>
      </c>
      <c r="F481" t="e">
        <f ca="1">BDP("043257CG Muni","ISSUE_DT")</f>
        <v>#NAME?</v>
      </c>
      <c r="G481" t="e">
        <f ca="1">BDP("043257CG Muni","MATURITY")</f>
        <v>#NAME?</v>
      </c>
      <c r="H481" t="e">
        <f ca="1">BDP("043257CG Muni","MUNI_TAX_PROV")</f>
        <v>#NAME?</v>
      </c>
      <c r="I481" t="e">
        <f ca="1">BDP("043257CG Muni","FINANCING_TYPE")</f>
        <v>#NAME?</v>
      </c>
      <c r="J481" t="e">
        <f ca="1">BDP("043257CG Muni","BICS_LEVEL_2_INDUSTRY_GROUP_NAME")</f>
        <v>#NAME?</v>
      </c>
      <c r="K481" t="e">
        <f ca="1">BDP("043257CG Muni","SELF_REPRTD_GREEN_INSTR_INDCTR")</f>
        <v>#NAME?</v>
      </c>
      <c r="L481" t="e">
        <f ca="1">BDP("043257CG Muni","GB_MANAGEMENT_PROCEEDS")</f>
        <v>#NAME?</v>
      </c>
      <c r="M481" t="e">
        <f ca="1">BDP("043257CG Muni","GB_REPORTING")</f>
        <v>#NAME?</v>
      </c>
      <c r="N481" t="e">
        <f ca="1">BDP("043257CG Muni","GB_ASSURANCE_PROVIDERS")</f>
        <v>#NAME?</v>
      </c>
      <c r="O481" t="e">
        <f ca="1">BDP("043257CG Muni","GB_PROJECT_SELECTION_PROCESS")</f>
        <v>#NAME?</v>
      </c>
      <c r="P481" t="e">
        <f ca="1">BDP("043257CG Muni","ESG_FRAMEWORK_INDICATOR")</f>
        <v>#NAME?</v>
      </c>
      <c r="Q481" t="e">
        <f ca="1">BDP("043257CG Muni","BLOOMBERG_SECTOR_CODE")</f>
        <v>#NAME?</v>
      </c>
      <c r="R481" t="e">
        <f ca="1">BDP("043257CG Muni","ISSUER_TYPE")</f>
        <v>#NAME?</v>
      </c>
      <c r="S481" t="e">
        <f ca="1">BDS("043257CG Muni","ESG_PROJECT_CATEGORY", "aggregate=y")</f>
        <v>#NAME?</v>
      </c>
      <c r="T481" t="e">
        <f ca="1">BDS("043257CG Muni","ESG_PROJECT_SUBCATEGORY", "aggregate=y")</f>
        <v>#NAME?</v>
      </c>
    </row>
    <row r="482" spans="1:20" x14ac:dyDescent="0.25">
      <c r="A482" t="e">
        <f ca="1">BDP("043260CT Muni","ID_CUSIP")</f>
        <v>#NAME?</v>
      </c>
      <c r="B482" t="e">
        <f ca="1">BDP("043260CT Muni","STATE_CODE")</f>
        <v>#NAME?</v>
      </c>
      <c r="C482" t="s">
        <v>41</v>
      </c>
      <c r="D482" t="e">
        <f ca="1">BDP("043260CT Muni","YIELD_ON_ISSUE_DATE")</f>
        <v>#NAME?</v>
      </c>
      <c r="E482">
        <v>20025000</v>
      </c>
      <c r="F482" t="e">
        <f ca="1">BDP("043260CT Muni","ISSUE_DT")</f>
        <v>#NAME?</v>
      </c>
      <c r="G482" t="e">
        <f ca="1">BDP("043260CT Muni","MATURITY")</f>
        <v>#NAME?</v>
      </c>
      <c r="H482" t="e">
        <f ca="1">BDP("043260CT Muni","MUNI_TAX_PROV")</f>
        <v>#NAME?</v>
      </c>
      <c r="I482" t="e">
        <f ca="1">BDP("043260CT Muni","FINANCING_TYPE")</f>
        <v>#NAME?</v>
      </c>
      <c r="J482" t="e">
        <f ca="1">BDP("043260CT Muni","BICS_LEVEL_2_INDUSTRY_GROUP_NAME")</f>
        <v>#NAME?</v>
      </c>
      <c r="K482" t="e">
        <f ca="1">BDP("043260CT Muni","SELF_REPRTD_GREEN_INSTR_INDCTR")</f>
        <v>#NAME?</v>
      </c>
      <c r="L482" t="e">
        <f ca="1">BDP("043260CT Muni","GB_MANAGEMENT_PROCEEDS")</f>
        <v>#NAME?</v>
      </c>
      <c r="M482" t="e">
        <f ca="1">BDP("043260CT Muni","GB_REPORTING")</f>
        <v>#NAME?</v>
      </c>
      <c r="N482" t="e">
        <f ca="1">BDP("043260CT Muni","GB_ASSURANCE_PROVIDERS")</f>
        <v>#NAME?</v>
      </c>
      <c r="O482" t="e">
        <f ca="1">BDP("043260CT Muni","GB_PROJECT_SELECTION_PROCESS")</f>
        <v>#NAME?</v>
      </c>
      <c r="P482" t="e">
        <f ca="1">BDP("043260CT Muni","ESG_FRAMEWORK_INDICATOR")</f>
        <v>#NAME?</v>
      </c>
      <c r="Q482" t="e">
        <f ca="1">BDP("043260CT Muni","BLOOMBERG_SECTOR_CODE")</f>
        <v>#NAME?</v>
      </c>
      <c r="R482" t="e">
        <f ca="1">BDP("043260CT Muni","ISSUER_TYPE")</f>
        <v>#NAME?</v>
      </c>
      <c r="S482" t="e">
        <f ca="1">BDS("043260CT Muni","ESG_PROJECT_CATEGORY", "aggregate=y")</f>
        <v>#NAME?</v>
      </c>
      <c r="T482" t="e">
        <f ca="1">BDS("043260CT Muni","ESG_PROJECT_SUBCATEGORY", "aggregate=y")</f>
        <v>#NAME?</v>
      </c>
    </row>
    <row r="483" spans="1:20" x14ac:dyDescent="0.25">
      <c r="A483" t="e">
        <f ca="1">BDP("823656BL Muni","ID_CUSIP")</f>
        <v>#NAME?</v>
      </c>
      <c r="B483" t="e">
        <f ca="1">BDP("823656BL Muni","STATE_CODE")</f>
        <v>#NAME?</v>
      </c>
      <c r="C483" t="s">
        <v>42</v>
      </c>
      <c r="D483" t="e">
        <f ca="1">BDP("823656BL Muni","YIELD_ON_ISSUE_DATE")</f>
        <v>#NAME?</v>
      </c>
      <c r="E483">
        <v>320000</v>
      </c>
      <c r="F483" t="e">
        <f ca="1">BDP("823656BL Muni","ISSUE_DT")</f>
        <v>#NAME?</v>
      </c>
      <c r="G483" t="e">
        <f ca="1">BDP("823656BL Muni","MATURITY")</f>
        <v>#NAME?</v>
      </c>
      <c r="H483" t="e">
        <f ca="1">BDP("823656BL Muni","MUNI_TAX_PROV")</f>
        <v>#NAME?</v>
      </c>
      <c r="I483" t="e">
        <f ca="1">BDP("823656BL Muni","FINANCING_TYPE")</f>
        <v>#NAME?</v>
      </c>
      <c r="J483" t="e">
        <f ca="1">BDP("823656BL Muni","BICS_LEVEL_2_INDUSTRY_GROUP_NAME")</f>
        <v>#NAME?</v>
      </c>
      <c r="K483" t="e">
        <f ca="1">BDP("823656BL Muni","SELF_REPRTD_GREEN_INSTR_INDCTR")</f>
        <v>#NAME?</v>
      </c>
      <c r="L483" t="e">
        <f ca="1">BDP("823656BL Muni","GB_MANAGEMENT_PROCEEDS")</f>
        <v>#NAME?</v>
      </c>
      <c r="M483" t="e">
        <f ca="1">BDP("823656BL Muni","GB_REPORTING")</f>
        <v>#NAME?</v>
      </c>
      <c r="N483" t="e">
        <f ca="1">BDP("823656BL Muni","GB_ASSURANCE_PROVIDERS")</f>
        <v>#NAME?</v>
      </c>
      <c r="O483" t="e">
        <f ca="1">BDP("823656BL Muni","GB_PROJECT_SELECTION_PROCESS")</f>
        <v>#NAME?</v>
      </c>
      <c r="P483" t="e">
        <f ca="1">BDP("823656BL Muni","ESG_FRAMEWORK_INDICATOR")</f>
        <v>#NAME?</v>
      </c>
      <c r="Q483" t="e">
        <f ca="1">BDP("823656BL Muni","BLOOMBERG_SECTOR_CODE")</f>
        <v>#NAME?</v>
      </c>
      <c r="R483" t="e">
        <f ca="1">BDP("823656BL Muni","ISSUER_TYPE")</f>
        <v>#NAME?</v>
      </c>
      <c r="S483" t="e">
        <f ca="1">BDS("823656BL Muni","ESG_PROJECT_CATEGORY", "aggregate=y")</f>
        <v>#NAME?</v>
      </c>
      <c r="T483" t="e">
        <f ca="1">BDS("823656BL Muni","ESG_PROJECT_SUBCATEGORY", "aggregate=y")</f>
        <v>#NAME?</v>
      </c>
    </row>
    <row r="484" spans="1:20" x14ac:dyDescent="0.25">
      <c r="A484" t="e">
        <f ca="1">BDP("043257CC Muni","ID_CUSIP")</f>
        <v>#NAME?</v>
      </c>
      <c r="B484" t="e">
        <f ca="1">BDP("043257CC Muni","STATE_CODE")</f>
        <v>#NAME?</v>
      </c>
      <c r="C484" t="s">
        <v>40</v>
      </c>
      <c r="D484" t="e">
        <f ca="1">BDP("043257CC Muni","YIELD_ON_ISSUE_DATE")</f>
        <v>#NAME?</v>
      </c>
      <c r="E484">
        <v>585000</v>
      </c>
      <c r="F484" t="e">
        <f ca="1">BDP("043257CC Muni","ISSUE_DT")</f>
        <v>#NAME?</v>
      </c>
      <c r="G484" t="e">
        <f ca="1">BDP("043257CC Muni","MATURITY")</f>
        <v>#NAME?</v>
      </c>
      <c r="H484" t="e">
        <f ca="1">BDP("043257CC Muni","MUNI_TAX_PROV")</f>
        <v>#NAME?</v>
      </c>
      <c r="I484" t="e">
        <f ca="1">BDP("043257CC Muni","FINANCING_TYPE")</f>
        <v>#NAME?</v>
      </c>
      <c r="J484" t="e">
        <f ca="1">BDP("043257CC Muni","BICS_LEVEL_2_INDUSTRY_GROUP_NAME")</f>
        <v>#NAME?</v>
      </c>
      <c r="K484" t="e">
        <f ca="1">BDP("043257CC Muni","SELF_REPRTD_GREEN_INSTR_INDCTR")</f>
        <v>#NAME?</v>
      </c>
      <c r="L484" t="e">
        <f ca="1">BDP("043257CC Muni","GB_MANAGEMENT_PROCEEDS")</f>
        <v>#NAME?</v>
      </c>
      <c r="M484" t="e">
        <f ca="1">BDP("043257CC Muni","GB_REPORTING")</f>
        <v>#NAME?</v>
      </c>
      <c r="N484" t="e">
        <f ca="1">BDP("043257CC Muni","GB_ASSURANCE_PROVIDERS")</f>
        <v>#NAME?</v>
      </c>
      <c r="O484" t="e">
        <f ca="1">BDP("043257CC Muni","GB_PROJECT_SELECTION_PROCESS")</f>
        <v>#NAME?</v>
      </c>
      <c r="P484" t="e">
        <f ca="1">BDP("043257CC Muni","ESG_FRAMEWORK_INDICATOR")</f>
        <v>#NAME?</v>
      </c>
      <c r="Q484" t="e">
        <f ca="1">BDP("043257CC Muni","BLOOMBERG_SECTOR_CODE")</f>
        <v>#NAME?</v>
      </c>
      <c r="R484" t="e">
        <f ca="1">BDP("043257CC Muni","ISSUER_TYPE")</f>
        <v>#NAME?</v>
      </c>
      <c r="S484" t="e">
        <f ca="1">BDS("043257CC Muni","ESG_PROJECT_CATEGORY", "aggregate=y")</f>
        <v>#NAME?</v>
      </c>
      <c r="T484" t="e">
        <f ca="1">BDS("043257CC Muni","ESG_PROJECT_SUBCATEGORY", "aggregate=y")</f>
        <v>#NAME?</v>
      </c>
    </row>
    <row r="485" spans="1:20" x14ac:dyDescent="0.25">
      <c r="A485" t="e">
        <f ca="1">BDP("043260CM Muni","ID_CUSIP")</f>
        <v>#NAME?</v>
      </c>
      <c r="B485" t="e">
        <f ca="1">BDP("043260CM Muni","STATE_CODE")</f>
        <v>#NAME?</v>
      </c>
      <c r="C485" t="s">
        <v>41</v>
      </c>
      <c r="D485" t="e">
        <f ca="1">BDP("043260CM Muni","YIELD_ON_ISSUE_DATE")</f>
        <v>#NAME?</v>
      </c>
      <c r="E485">
        <v>2705000</v>
      </c>
      <c r="F485" t="e">
        <f ca="1">BDP("043260CM Muni","ISSUE_DT")</f>
        <v>#NAME?</v>
      </c>
      <c r="G485" t="e">
        <f ca="1">BDP("043260CM Muni","MATURITY")</f>
        <v>#NAME?</v>
      </c>
      <c r="H485" t="e">
        <f ca="1">BDP("043260CM Muni","MUNI_TAX_PROV")</f>
        <v>#NAME?</v>
      </c>
      <c r="I485" t="e">
        <f ca="1">BDP("043260CM Muni","FINANCING_TYPE")</f>
        <v>#NAME?</v>
      </c>
      <c r="J485" t="e">
        <f ca="1">BDP("043260CM Muni","BICS_LEVEL_2_INDUSTRY_GROUP_NAME")</f>
        <v>#NAME?</v>
      </c>
      <c r="K485" t="e">
        <f ca="1">BDP("043260CM Muni","SELF_REPRTD_GREEN_INSTR_INDCTR")</f>
        <v>#NAME?</v>
      </c>
      <c r="L485" t="e">
        <f ca="1">BDP("043260CM Muni","GB_MANAGEMENT_PROCEEDS")</f>
        <v>#NAME?</v>
      </c>
      <c r="M485" t="e">
        <f ca="1">BDP("043260CM Muni","GB_REPORTING")</f>
        <v>#NAME?</v>
      </c>
      <c r="N485" t="e">
        <f ca="1">BDP("043260CM Muni","GB_ASSURANCE_PROVIDERS")</f>
        <v>#NAME?</v>
      </c>
      <c r="O485" t="e">
        <f ca="1">BDP("043260CM Muni","GB_PROJECT_SELECTION_PROCESS")</f>
        <v>#NAME?</v>
      </c>
      <c r="P485" t="e">
        <f ca="1">BDP("043260CM Muni","ESG_FRAMEWORK_INDICATOR")</f>
        <v>#NAME?</v>
      </c>
      <c r="Q485" t="e">
        <f ca="1">BDP("043260CM Muni","BLOOMBERG_SECTOR_CODE")</f>
        <v>#NAME?</v>
      </c>
      <c r="R485" t="e">
        <f ca="1">BDP("043260CM Muni","ISSUER_TYPE")</f>
        <v>#NAME?</v>
      </c>
      <c r="S485" t="e">
        <f ca="1">BDS("043260CM Muni","ESG_PROJECT_CATEGORY", "aggregate=y")</f>
        <v>#NAME?</v>
      </c>
      <c r="T485" t="e">
        <f ca="1">BDS("043260CM Muni","ESG_PROJECT_SUBCATEGORY", "aggregate=y")</f>
        <v>#NAME?</v>
      </c>
    </row>
    <row r="486" spans="1:20" x14ac:dyDescent="0.25">
      <c r="A486" t="e">
        <f ca="1">BDP("823656BC Muni","ID_CUSIP")</f>
        <v>#NAME?</v>
      </c>
      <c r="B486" t="e">
        <f ca="1">BDP("823656BC Muni","STATE_CODE")</f>
        <v>#NAME?</v>
      </c>
      <c r="C486" t="s">
        <v>42</v>
      </c>
      <c r="D486" t="e">
        <f ca="1">BDP("823656BC Muni","YIELD_ON_ISSUE_DATE")</f>
        <v>#NAME?</v>
      </c>
      <c r="E486">
        <v>215000</v>
      </c>
      <c r="F486" t="e">
        <f ca="1">BDP("823656BC Muni","ISSUE_DT")</f>
        <v>#NAME?</v>
      </c>
      <c r="G486" t="e">
        <f ca="1">BDP("823656BC Muni","MATURITY")</f>
        <v>#NAME?</v>
      </c>
      <c r="H486" t="e">
        <f ca="1">BDP("823656BC Muni","MUNI_TAX_PROV")</f>
        <v>#NAME?</v>
      </c>
      <c r="I486" t="e">
        <f ca="1">BDP("823656BC Muni","FINANCING_TYPE")</f>
        <v>#NAME?</v>
      </c>
      <c r="J486" t="e">
        <f ca="1">BDP("823656BC Muni","BICS_LEVEL_2_INDUSTRY_GROUP_NAME")</f>
        <v>#NAME?</v>
      </c>
      <c r="K486" t="e">
        <f ca="1">BDP("823656BC Muni","SELF_REPRTD_GREEN_INSTR_INDCTR")</f>
        <v>#NAME?</v>
      </c>
      <c r="L486" t="e">
        <f ca="1">BDP("823656BC Muni","GB_MANAGEMENT_PROCEEDS")</f>
        <v>#NAME?</v>
      </c>
      <c r="M486" t="e">
        <f ca="1">BDP("823656BC Muni","GB_REPORTING")</f>
        <v>#NAME?</v>
      </c>
      <c r="N486" t="e">
        <f ca="1">BDP("823656BC Muni","GB_ASSURANCE_PROVIDERS")</f>
        <v>#NAME?</v>
      </c>
      <c r="O486" t="e">
        <f ca="1">BDP("823656BC Muni","GB_PROJECT_SELECTION_PROCESS")</f>
        <v>#NAME?</v>
      </c>
      <c r="P486" t="e">
        <f ca="1">BDP("823656BC Muni","ESG_FRAMEWORK_INDICATOR")</f>
        <v>#NAME?</v>
      </c>
      <c r="Q486" t="e">
        <f ca="1">BDP("823656BC Muni","BLOOMBERG_SECTOR_CODE")</f>
        <v>#NAME?</v>
      </c>
      <c r="R486" t="e">
        <f ca="1">BDP("823656BC Muni","ISSUER_TYPE")</f>
        <v>#NAME?</v>
      </c>
      <c r="S486" t="e">
        <f ca="1">BDS("823656BC Muni","ESG_PROJECT_CATEGORY", "aggregate=y")</f>
        <v>#NAME?</v>
      </c>
      <c r="T486" t="e">
        <f ca="1">BDS("823656BC Muni","ESG_PROJECT_SUBCATEGORY", "aggregate=y")</f>
        <v>#NAME?</v>
      </c>
    </row>
    <row r="487" spans="1:20" x14ac:dyDescent="0.25">
      <c r="A487" t="e">
        <f ca="1">BDP("823656BJ Muni","ID_CUSIP")</f>
        <v>#NAME?</v>
      </c>
      <c r="B487" t="e">
        <f ca="1">BDP("823656BJ Muni","STATE_CODE")</f>
        <v>#NAME?</v>
      </c>
      <c r="C487" t="s">
        <v>42</v>
      </c>
      <c r="D487" t="e">
        <f ca="1">BDP("823656BJ Muni","YIELD_ON_ISSUE_DATE")</f>
        <v>#NAME?</v>
      </c>
      <c r="E487">
        <v>290000</v>
      </c>
      <c r="F487" t="e">
        <f ca="1">BDP("823656BJ Muni","ISSUE_DT")</f>
        <v>#NAME?</v>
      </c>
      <c r="G487" t="e">
        <f ca="1">BDP("823656BJ Muni","MATURITY")</f>
        <v>#NAME?</v>
      </c>
      <c r="H487" t="e">
        <f ca="1">BDP("823656BJ Muni","MUNI_TAX_PROV")</f>
        <v>#NAME?</v>
      </c>
      <c r="I487" t="e">
        <f ca="1">BDP("823656BJ Muni","FINANCING_TYPE")</f>
        <v>#NAME?</v>
      </c>
      <c r="J487" t="e">
        <f ca="1">BDP("823656BJ Muni","BICS_LEVEL_2_INDUSTRY_GROUP_NAME")</f>
        <v>#NAME?</v>
      </c>
      <c r="K487" t="e">
        <f ca="1">BDP("823656BJ Muni","SELF_REPRTD_GREEN_INSTR_INDCTR")</f>
        <v>#NAME?</v>
      </c>
      <c r="L487" t="e">
        <f ca="1">BDP("823656BJ Muni","GB_MANAGEMENT_PROCEEDS")</f>
        <v>#NAME?</v>
      </c>
      <c r="M487" t="e">
        <f ca="1">BDP("823656BJ Muni","GB_REPORTING")</f>
        <v>#NAME?</v>
      </c>
      <c r="N487" t="e">
        <f ca="1">BDP("823656BJ Muni","GB_ASSURANCE_PROVIDERS")</f>
        <v>#NAME?</v>
      </c>
      <c r="O487" t="e">
        <f ca="1">BDP("823656BJ Muni","GB_PROJECT_SELECTION_PROCESS")</f>
        <v>#NAME?</v>
      </c>
      <c r="P487" t="e">
        <f ca="1">BDP("823656BJ Muni","ESG_FRAMEWORK_INDICATOR")</f>
        <v>#NAME?</v>
      </c>
      <c r="Q487" t="e">
        <f ca="1">BDP("823656BJ Muni","BLOOMBERG_SECTOR_CODE")</f>
        <v>#NAME?</v>
      </c>
      <c r="R487" t="e">
        <f ca="1">BDP("823656BJ Muni","ISSUER_TYPE")</f>
        <v>#NAME?</v>
      </c>
      <c r="S487" t="e">
        <f ca="1">BDS("823656BJ Muni","ESG_PROJECT_CATEGORY", "aggregate=y")</f>
        <v>#NAME?</v>
      </c>
      <c r="T487" t="e">
        <f ca="1">BDS("823656BJ Muni","ESG_PROJECT_SUBCATEGORY", "aggregate=y")</f>
        <v>#NAME?</v>
      </c>
    </row>
    <row r="488" spans="1:20" x14ac:dyDescent="0.25">
      <c r="A488" t="e">
        <f ca="1">BDP("823656BG Muni","ID_CUSIP")</f>
        <v>#NAME?</v>
      </c>
      <c r="B488" t="e">
        <f ca="1">BDP("823656BG Muni","STATE_CODE")</f>
        <v>#NAME?</v>
      </c>
      <c r="C488" t="s">
        <v>42</v>
      </c>
      <c r="D488" t="e">
        <f ca="1">BDP("823656BG Muni","YIELD_ON_ISSUE_DATE")</f>
        <v>#NAME?</v>
      </c>
      <c r="E488">
        <v>265000</v>
      </c>
      <c r="F488" t="e">
        <f ca="1">BDP("823656BG Muni","ISSUE_DT")</f>
        <v>#NAME?</v>
      </c>
      <c r="G488" t="e">
        <f ca="1">BDP("823656BG Muni","MATURITY")</f>
        <v>#NAME?</v>
      </c>
      <c r="H488" t="e">
        <f ca="1">BDP("823656BG Muni","MUNI_TAX_PROV")</f>
        <v>#NAME?</v>
      </c>
      <c r="I488" t="e">
        <f ca="1">BDP("823656BG Muni","FINANCING_TYPE")</f>
        <v>#NAME?</v>
      </c>
      <c r="J488" t="e">
        <f ca="1">BDP("823656BG Muni","BICS_LEVEL_2_INDUSTRY_GROUP_NAME")</f>
        <v>#NAME?</v>
      </c>
      <c r="K488" t="e">
        <f ca="1">BDP("823656BG Muni","SELF_REPRTD_GREEN_INSTR_INDCTR")</f>
        <v>#NAME?</v>
      </c>
      <c r="L488" t="e">
        <f ca="1">BDP("823656BG Muni","GB_MANAGEMENT_PROCEEDS")</f>
        <v>#NAME?</v>
      </c>
      <c r="M488" t="e">
        <f ca="1">BDP("823656BG Muni","GB_REPORTING")</f>
        <v>#NAME?</v>
      </c>
      <c r="N488" t="e">
        <f ca="1">BDP("823656BG Muni","GB_ASSURANCE_PROVIDERS")</f>
        <v>#NAME?</v>
      </c>
      <c r="O488" t="e">
        <f ca="1">BDP("823656BG Muni","GB_PROJECT_SELECTION_PROCESS")</f>
        <v>#NAME?</v>
      </c>
      <c r="P488" t="e">
        <f ca="1">BDP("823656BG Muni","ESG_FRAMEWORK_INDICATOR")</f>
        <v>#NAME?</v>
      </c>
      <c r="Q488" t="e">
        <f ca="1">BDP("823656BG Muni","BLOOMBERG_SECTOR_CODE")</f>
        <v>#NAME?</v>
      </c>
      <c r="R488" t="e">
        <f ca="1">BDP("823656BG Muni","ISSUER_TYPE")</f>
        <v>#NAME?</v>
      </c>
      <c r="S488" t="e">
        <f ca="1">BDS("823656BG Muni","ESG_PROJECT_CATEGORY", "aggregate=y")</f>
        <v>#NAME?</v>
      </c>
      <c r="T488" t="e">
        <f ca="1">BDS("823656BG Muni","ESG_PROJECT_SUBCATEGORY", "aggregate=y")</f>
        <v>#NAME?</v>
      </c>
    </row>
    <row r="489" spans="1:20" x14ac:dyDescent="0.25">
      <c r="A489" t="e">
        <f ca="1">BDP("043257CD Muni","ID_CUSIP")</f>
        <v>#NAME?</v>
      </c>
      <c r="B489" t="e">
        <f ca="1">BDP("043257CD Muni","STATE_CODE")</f>
        <v>#NAME?</v>
      </c>
      <c r="C489" t="s">
        <v>40</v>
      </c>
      <c r="D489" t="e">
        <f ca="1">BDP("043257CD Muni","YIELD_ON_ISSUE_DATE")</f>
        <v>#NAME?</v>
      </c>
      <c r="E489">
        <v>1535000</v>
      </c>
      <c r="F489" t="e">
        <f ca="1">BDP("043257CD Muni","ISSUE_DT")</f>
        <v>#NAME?</v>
      </c>
      <c r="G489" t="e">
        <f ca="1">BDP("043257CD Muni","MATURITY")</f>
        <v>#NAME?</v>
      </c>
      <c r="H489" t="e">
        <f ca="1">BDP("043257CD Muni","MUNI_TAX_PROV")</f>
        <v>#NAME?</v>
      </c>
      <c r="I489" t="e">
        <f ca="1">BDP("043257CD Muni","FINANCING_TYPE")</f>
        <v>#NAME?</v>
      </c>
      <c r="J489" t="e">
        <f ca="1">BDP("043257CD Muni","BICS_LEVEL_2_INDUSTRY_GROUP_NAME")</f>
        <v>#NAME?</v>
      </c>
      <c r="K489" t="e">
        <f ca="1">BDP("043257CD Muni","SELF_REPRTD_GREEN_INSTR_INDCTR")</f>
        <v>#NAME?</v>
      </c>
      <c r="L489" t="e">
        <f ca="1">BDP("043257CD Muni","GB_MANAGEMENT_PROCEEDS")</f>
        <v>#NAME?</v>
      </c>
      <c r="M489" t="e">
        <f ca="1">BDP("043257CD Muni","GB_REPORTING")</f>
        <v>#NAME?</v>
      </c>
      <c r="N489" t="e">
        <f ca="1">BDP("043257CD Muni","GB_ASSURANCE_PROVIDERS")</f>
        <v>#NAME?</v>
      </c>
      <c r="O489" t="e">
        <f ca="1">BDP("043257CD Muni","GB_PROJECT_SELECTION_PROCESS")</f>
        <v>#NAME?</v>
      </c>
      <c r="P489" t="e">
        <f ca="1">BDP("043257CD Muni","ESG_FRAMEWORK_INDICATOR")</f>
        <v>#NAME?</v>
      </c>
      <c r="Q489" t="e">
        <f ca="1">BDP("043257CD Muni","BLOOMBERG_SECTOR_CODE")</f>
        <v>#NAME?</v>
      </c>
      <c r="R489" t="e">
        <f ca="1">BDP("043257CD Muni","ISSUER_TYPE")</f>
        <v>#NAME?</v>
      </c>
      <c r="S489" t="e">
        <f ca="1">BDS("043257CD Muni","ESG_PROJECT_CATEGORY", "aggregate=y")</f>
        <v>#NAME?</v>
      </c>
      <c r="T489" t="e">
        <f ca="1">BDS("043257CD Muni","ESG_PROJECT_SUBCATEGORY", "aggregate=y")</f>
        <v>#NAME?</v>
      </c>
    </row>
    <row r="490" spans="1:20" x14ac:dyDescent="0.25">
      <c r="A490" t="e">
        <f ca="1">BDP("043260CK Muni","ID_CUSIP")</f>
        <v>#NAME?</v>
      </c>
      <c r="B490" t="e">
        <f ca="1">BDP("043260CK Muni","STATE_CODE")</f>
        <v>#NAME?</v>
      </c>
      <c r="C490" t="s">
        <v>41</v>
      </c>
      <c r="D490" t="e">
        <f ca="1">BDP("043260CK Muni","YIELD_ON_ISSUE_DATE")</f>
        <v>#NAME?</v>
      </c>
      <c r="E490">
        <v>2455000</v>
      </c>
      <c r="F490" t="e">
        <f ca="1">BDP("043260CK Muni","ISSUE_DT")</f>
        <v>#NAME?</v>
      </c>
      <c r="G490" t="e">
        <f ca="1">BDP("043260CK Muni","MATURITY")</f>
        <v>#NAME?</v>
      </c>
      <c r="H490" t="e">
        <f ca="1">BDP("043260CK Muni","MUNI_TAX_PROV")</f>
        <v>#NAME?</v>
      </c>
      <c r="I490" t="e">
        <f ca="1">BDP("043260CK Muni","FINANCING_TYPE")</f>
        <v>#NAME?</v>
      </c>
      <c r="J490" t="e">
        <f ca="1">BDP("043260CK Muni","BICS_LEVEL_2_INDUSTRY_GROUP_NAME")</f>
        <v>#NAME?</v>
      </c>
      <c r="K490" t="e">
        <f ca="1">BDP("043260CK Muni","SELF_REPRTD_GREEN_INSTR_INDCTR")</f>
        <v>#NAME?</v>
      </c>
      <c r="L490" t="e">
        <f ca="1">BDP("043260CK Muni","GB_MANAGEMENT_PROCEEDS")</f>
        <v>#NAME?</v>
      </c>
      <c r="M490" t="e">
        <f ca="1">BDP("043260CK Muni","GB_REPORTING")</f>
        <v>#NAME?</v>
      </c>
      <c r="N490" t="e">
        <f ca="1">BDP("043260CK Muni","GB_ASSURANCE_PROVIDERS")</f>
        <v>#NAME?</v>
      </c>
      <c r="O490" t="e">
        <f ca="1">BDP("043260CK Muni","GB_PROJECT_SELECTION_PROCESS")</f>
        <v>#NAME?</v>
      </c>
      <c r="P490" t="e">
        <f ca="1">BDP("043260CK Muni","ESG_FRAMEWORK_INDICATOR")</f>
        <v>#NAME?</v>
      </c>
      <c r="Q490" t="e">
        <f ca="1">BDP("043260CK Muni","BLOOMBERG_SECTOR_CODE")</f>
        <v>#NAME?</v>
      </c>
      <c r="R490" t="e">
        <f ca="1">BDP("043260CK Muni","ISSUER_TYPE")</f>
        <v>#NAME?</v>
      </c>
      <c r="S490" t="e">
        <f ca="1">BDS("043260CK Muni","ESG_PROJECT_CATEGORY", "aggregate=y")</f>
        <v>#NAME?</v>
      </c>
      <c r="T490" t="e">
        <f ca="1">BDS("043260CK Muni","ESG_PROJECT_SUBCATEGORY", "aggregate=y")</f>
        <v>#NAME?</v>
      </c>
    </row>
    <row r="491" spans="1:20" x14ac:dyDescent="0.25">
      <c r="A491" t="e">
        <f ca="1">BDP("043260CL Muni","ID_CUSIP")</f>
        <v>#NAME?</v>
      </c>
      <c r="B491" t="e">
        <f ca="1">BDP("043260CL Muni","STATE_CODE")</f>
        <v>#NAME?</v>
      </c>
      <c r="C491" t="s">
        <v>41</v>
      </c>
      <c r="D491" t="e">
        <f ca="1">BDP("043260CL Muni","YIELD_ON_ISSUE_DATE")</f>
        <v>#NAME?</v>
      </c>
      <c r="E491">
        <v>2575000</v>
      </c>
      <c r="F491" t="e">
        <f ca="1">BDP("043260CL Muni","ISSUE_DT")</f>
        <v>#NAME?</v>
      </c>
      <c r="G491" t="e">
        <f ca="1">BDP("043260CL Muni","MATURITY")</f>
        <v>#NAME?</v>
      </c>
      <c r="H491" t="e">
        <f ca="1">BDP("043260CL Muni","MUNI_TAX_PROV")</f>
        <v>#NAME?</v>
      </c>
      <c r="I491" t="e">
        <f ca="1">BDP("043260CL Muni","FINANCING_TYPE")</f>
        <v>#NAME?</v>
      </c>
      <c r="J491" t="e">
        <f ca="1">BDP("043260CL Muni","BICS_LEVEL_2_INDUSTRY_GROUP_NAME")</f>
        <v>#NAME?</v>
      </c>
      <c r="K491" t="e">
        <f ca="1">BDP("043260CL Muni","SELF_REPRTD_GREEN_INSTR_INDCTR")</f>
        <v>#NAME?</v>
      </c>
      <c r="L491" t="e">
        <f ca="1">BDP("043260CL Muni","GB_MANAGEMENT_PROCEEDS")</f>
        <v>#NAME?</v>
      </c>
      <c r="M491" t="e">
        <f ca="1">BDP("043260CL Muni","GB_REPORTING")</f>
        <v>#NAME?</v>
      </c>
      <c r="N491" t="e">
        <f ca="1">BDP("043260CL Muni","GB_ASSURANCE_PROVIDERS")</f>
        <v>#NAME?</v>
      </c>
      <c r="O491" t="e">
        <f ca="1">BDP("043260CL Muni","GB_PROJECT_SELECTION_PROCESS")</f>
        <v>#NAME?</v>
      </c>
      <c r="P491" t="e">
        <f ca="1">BDP("043260CL Muni","ESG_FRAMEWORK_INDICATOR")</f>
        <v>#NAME?</v>
      </c>
      <c r="Q491" t="e">
        <f ca="1">BDP("043260CL Muni","BLOOMBERG_SECTOR_CODE")</f>
        <v>#NAME?</v>
      </c>
      <c r="R491" t="e">
        <f ca="1">BDP("043260CL Muni","ISSUER_TYPE")</f>
        <v>#NAME?</v>
      </c>
      <c r="S491" t="e">
        <f ca="1">BDS("043260CL Muni","ESG_PROJECT_CATEGORY", "aggregate=y")</f>
        <v>#NAME?</v>
      </c>
      <c r="T491" t="e">
        <f ca="1">BDS("043260CL Muni","ESG_PROJECT_SUBCATEGORY", "aggregate=y")</f>
        <v>#NAME?</v>
      </c>
    </row>
    <row r="492" spans="1:20" x14ac:dyDescent="0.25">
      <c r="A492" t="e">
        <f ca="1">BDP("043257BR Muni","ID_CUSIP")</f>
        <v>#NAME?</v>
      </c>
      <c r="B492" t="e">
        <f ca="1">BDP("043257BR Muni","STATE_CODE")</f>
        <v>#NAME?</v>
      </c>
      <c r="C492" t="s">
        <v>40</v>
      </c>
      <c r="D492" t="e">
        <f ca="1">BDP("043257BR Muni","YIELD_ON_ISSUE_DATE")</f>
        <v>#NAME?</v>
      </c>
      <c r="E492">
        <v>345000</v>
      </c>
      <c r="F492" t="e">
        <f ca="1">BDP("043257BR Muni","ISSUE_DT")</f>
        <v>#NAME?</v>
      </c>
      <c r="G492" t="e">
        <f ca="1">BDP("043257BR Muni","MATURITY")</f>
        <v>#NAME?</v>
      </c>
      <c r="H492" t="e">
        <f ca="1">BDP("043257BR Muni","MUNI_TAX_PROV")</f>
        <v>#NAME?</v>
      </c>
      <c r="I492" t="e">
        <f ca="1">BDP("043257BR Muni","FINANCING_TYPE")</f>
        <v>#NAME?</v>
      </c>
      <c r="J492" t="e">
        <f ca="1">BDP("043257BR Muni","BICS_LEVEL_2_INDUSTRY_GROUP_NAME")</f>
        <v>#NAME?</v>
      </c>
      <c r="K492" t="e">
        <f ca="1">BDP("043257BR Muni","SELF_REPRTD_GREEN_INSTR_INDCTR")</f>
        <v>#NAME?</v>
      </c>
      <c r="L492" t="e">
        <f ca="1">BDP("043257BR Muni","GB_MANAGEMENT_PROCEEDS")</f>
        <v>#NAME?</v>
      </c>
      <c r="M492" t="e">
        <f ca="1">BDP("043257BR Muni","GB_REPORTING")</f>
        <v>#NAME?</v>
      </c>
      <c r="N492" t="e">
        <f ca="1">BDP("043257BR Muni","GB_ASSURANCE_PROVIDERS")</f>
        <v>#NAME?</v>
      </c>
      <c r="O492" t="e">
        <f ca="1">BDP("043257BR Muni","GB_PROJECT_SELECTION_PROCESS")</f>
        <v>#NAME?</v>
      </c>
      <c r="P492" t="e">
        <f ca="1">BDP("043257BR Muni","ESG_FRAMEWORK_INDICATOR")</f>
        <v>#NAME?</v>
      </c>
      <c r="Q492" t="e">
        <f ca="1">BDP("043257BR Muni","BLOOMBERG_SECTOR_CODE")</f>
        <v>#NAME?</v>
      </c>
      <c r="R492" t="e">
        <f ca="1">BDP("043257BR Muni","ISSUER_TYPE")</f>
        <v>#NAME?</v>
      </c>
      <c r="S492" t="e">
        <f ca="1">BDS("043257BR Muni","ESG_PROJECT_CATEGORY", "aggregate=y")</f>
        <v>#NAME?</v>
      </c>
      <c r="T492" t="e">
        <f ca="1">BDS("043257BR Muni","ESG_PROJECT_SUBCATEGORY", "aggregate=y")</f>
        <v>#NAME?</v>
      </c>
    </row>
    <row r="493" spans="1:20" x14ac:dyDescent="0.25">
      <c r="A493" t="e">
        <f ca="1">BDP("823656BH Muni","ID_CUSIP")</f>
        <v>#NAME?</v>
      </c>
      <c r="B493" t="e">
        <f ca="1">BDP("823656BH Muni","STATE_CODE")</f>
        <v>#NAME?</v>
      </c>
      <c r="C493" t="s">
        <v>42</v>
      </c>
      <c r="D493" t="e">
        <f ca="1">BDP("823656BH Muni","YIELD_ON_ISSUE_DATE")</f>
        <v>#NAME?</v>
      </c>
      <c r="E493">
        <v>275000</v>
      </c>
      <c r="F493" t="e">
        <f ca="1">BDP("823656BH Muni","ISSUE_DT")</f>
        <v>#NAME?</v>
      </c>
      <c r="G493" t="e">
        <f ca="1">BDP("823656BH Muni","MATURITY")</f>
        <v>#NAME?</v>
      </c>
      <c r="H493" t="e">
        <f ca="1">BDP("823656BH Muni","MUNI_TAX_PROV")</f>
        <v>#NAME?</v>
      </c>
      <c r="I493" t="e">
        <f ca="1">BDP("823656BH Muni","FINANCING_TYPE")</f>
        <v>#NAME?</v>
      </c>
      <c r="J493" t="e">
        <f ca="1">BDP("823656BH Muni","BICS_LEVEL_2_INDUSTRY_GROUP_NAME")</f>
        <v>#NAME?</v>
      </c>
      <c r="K493" t="e">
        <f ca="1">BDP("823656BH Muni","SELF_REPRTD_GREEN_INSTR_INDCTR")</f>
        <v>#NAME?</v>
      </c>
      <c r="L493" t="e">
        <f ca="1">BDP("823656BH Muni","GB_MANAGEMENT_PROCEEDS")</f>
        <v>#NAME?</v>
      </c>
      <c r="M493" t="e">
        <f ca="1">BDP("823656BH Muni","GB_REPORTING")</f>
        <v>#NAME?</v>
      </c>
      <c r="N493" t="e">
        <f ca="1">BDP("823656BH Muni","GB_ASSURANCE_PROVIDERS")</f>
        <v>#NAME?</v>
      </c>
      <c r="O493" t="e">
        <f ca="1">BDP("823656BH Muni","GB_PROJECT_SELECTION_PROCESS")</f>
        <v>#NAME?</v>
      </c>
      <c r="P493" t="e">
        <f ca="1">BDP("823656BH Muni","ESG_FRAMEWORK_INDICATOR")</f>
        <v>#NAME?</v>
      </c>
      <c r="Q493" t="e">
        <f ca="1">BDP("823656BH Muni","BLOOMBERG_SECTOR_CODE")</f>
        <v>#NAME?</v>
      </c>
      <c r="R493" t="e">
        <f ca="1">BDP("823656BH Muni","ISSUER_TYPE")</f>
        <v>#NAME?</v>
      </c>
      <c r="S493" t="e">
        <f ca="1">BDS("823656BH Muni","ESG_PROJECT_CATEGORY", "aggregate=y")</f>
        <v>#NAME?</v>
      </c>
      <c r="T493" t="e">
        <f ca="1">BDS("823656BH Muni","ESG_PROJECT_SUBCATEGORY", "aggregate=y")</f>
        <v>#NAME?</v>
      </c>
    </row>
    <row r="494" spans="1:20" x14ac:dyDescent="0.25">
      <c r="A494" t="e">
        <f ca="1">BDP("823656BP Muni","ID_CUSIP")</f>
        <v>#NAME?</v>
      </c>
      <c r="B494" t="e">
        <f ca="1">BDP("823656BP Muni","STATE_CODE")</f>
        <v>#NAME?</v>
      </c>
      <c r="C494" t="s">
        <v>42</v>
      </c>
      <c r="D494" t="e">
        <f ca="1">BDP("823656BP Muni","YIELD_ON_ISSUE_DATE")</f>
        <v>#NAME?</v>
      </c>
      <c r="E494">
        <v>360000</v>
      </c>
      <c r="F494" t="e">
        <f ca="1">BDP("823656BP Muni","ISSUE_DT")</f>
        <v>#NAME?</v>
      </c>
      <c r="G494" t="e">
        <f ca="1">BDP("823656BP Muni","MATURITY")</f>
        <v>#NAME?</v>
      </c>
      <c r="H494" t="e">
        <f ca="1">BDP("823656BP Muni","MUNI_TAX_PROV")</f>
        <v>#NAME?</v>
      </c>
      <c r="I494" t="e">
        <f ca="1">BDP("823656BP Muni","FINANCING_TYPE")</f>
        <v>#NAME?</v>
      </c>
      <c r="J494" t="e">
        <f ca="1">BDP("823656BP Muni","BICS_LEVEL_2_INDUSTRY_GROUP_NAME")</f>
        <v>#NAME?</v>
      </c>
      <c r="K494" t="e">
        <f ca="1">BDP("823656BP Muni","SELF_REPRTD_GREEN_INSTR_INDCTR")</f>
        <v>#NAME?</v>
      </c>
      <c r="L494" t="e">
        <f ca="1">BDP("823656BP Muni","GB_MANAGEMENT_PROCEEDS")</f>
        <v>#NAME?</v>
      </c>
      <c r="M494" t="e">
        <f ca="1">BDP("823656BP Muni","GB_REPORTING")</f>
        <v>#NAME?</v>
      </c>
      <c r="N494" t="e">
        <f ca="1">BDP("823656BP Muni","GB_ASSURANCE_PROVIDERS")</f>
        <v>#NAME?</v>
      </c>
      <c r="O494" t="e">
        <f ca="1">BDP("823656BP Muni","GB_PROJECT_SELECTION_PROCESS")</f>
        <v>#NAME?</v>
      </c>
      <c r="P494" t="e">
        <f ca="1">BDP("823656BP Muni","ESG_FRAMEWORK_INDICATOR")</f>
        <v>#NAME?</v>
      </c>
      <c r="Q494" t="e">
        <f ca="1">BDP("823656BP Muni","BLOOMBERG_SECTOR_CODE")</f>
        <v>#NAME?</v>
      </c>
      <c r="R494" t="e">
        <f ca="1">BDP("823656BP Muni","ISSUER_TYPE")</f>
        <v>#NAME?</v>
      </c>
      <c r="S494" t="e">
        <f ca="1">BDS("823656BP Muni","ESG_PROJECT_CATEGORY", "aggregate=y")</f>
        <v>#NAME?</v>
      </c>
      <c r="T494" t="e">
        <f ca="1">BDS("823656BP Muni","ESG_PROJECT_SUBCATEGORY", "aggregate=y")</f>
        <v>#NAME?</v>
      </c>
    </row>
    <row r="495" spans="1:20" x14ac:dyDescent="0.25">
      <c r="A495" t="e">
        <f ca="1">BDP("043260CR Muni","ID_CUSIP")</f>
        <v>#NAME?</v>
      </c>
      <c r="B495" t="e">
        <f ca="1">BDP("043260CR Muni","STATE_CODE")</f>
        <v>#NAME?</v>
      </c>
      <c r="C495" t="s">
        <v>41</v>
      </c>
      <c r="D495" t="e">
        <f ca="1">BDP("043260CR Muni","YIELD_ON_ISSUE_DATE")</f>
        <v>#NAME?</v>
      </c>
      <c r="E495">
        <v>3290000</v>
      </c>
      <c r="F495" t="e">
        <f ca="1">BDP("043260CR Muni","ISSUE_DT")</f>
        <v>#NAME?</v>
      </c>
      <c r="G495" t="e">
        <f ca="1">BDP("043260CR Muni","MATURITY")</f>
        <v>#NAME?</v>
      </c>
      <c r="H495" t="e">
        <f ca="1">BDP("043260CR Muni","MUNI_TAX_PROV")</f>
        <v>#NAME?</v>
      </c>
      <c r="I495" t="e">
        <f ca="1">BDP("043260CR Muni","FINANCING_TYPE")</f>
        <v>#NAME?</v>
      </c>
      <c r="J495" t="e">
        <f ca="1">BDP("043260CR Muni","BICS_LEVEL_2_INDUSTRY_GROUP_NAME")</f>
        <v>#NAME?</v>
      </c>
      <c r="K495" t="e">
        <f ca="1">BDP("043260CR Muni","SELF_REPRTD_GREEN_INSTR_INDCTR")</f>
        <v>#NAME?</v>
      </c>
      <c r="L495" t="e">
        <f ca="1">BDP("043260CR Muni","GB_MANAGEMENT_PROCEEDS")</f>
        <v>#NAME?</v>
      </c>
      <c r="M495" t="e">
        <f ca="1">BDP("043260CR Muni","GB_REPORTING")</f>
        <v>#NAME?</v>
      </c>
      <c r="N495" t="e">
        <f ca="1">BDP("043260CR Muni","GB_ASSURANCE_PROVIDERS")</f>
        <v>#NAME?</v>
      </c>
      <c r="O495" t="e">
        <f ca="1">BDP("043260CR Muni","GB_PROJECT_SELECTION_PROCESS")</f>
        <v>#NAME?</v>
      </c>
      <c r="P495" t="e">
        <f ca="1">BDP("043260CR Muni","ESG_FRAMEWORK_INDICATOR")</f>
        <v>#NAME?</v>
      </c>
      <c r="Q495" t="e">
        <f ca="1">BDP("043260CR Muni","BLOOMBERG_SECTOR_CODE")</f>
        <v>#NAME?</v>
      </c>
      <c r="R495" t="e">
        <f ca="1">BDP("043260CR Muni","ISSUER_TYPE")</f>
        <v>#NAME?</v>
      </c>
      <c r="S495" t="e">
        <f ca="1">BDS("043260CR Muni","ESG_PROJECT_CATEGORY", "aggregate=y")</f>
        <v>#NAME?</v>
      </c>
      <c r="T495" t="e">
        <f ca="1">BDS("043260CR Muni","ESG_PROJECT_SUBCATEGORY", "aggregate=y")</f>
        <v>#NAME?</v>
      </c>
    </row>
    <row r="496" spans="1:20" x14ac:dyDescent="0.25">
      <c r="A496" t="e">
        <f ca="1">BDP("043260CS Muni","ID_CUSIP")</f>
        <v>#NAME?</v>
      </c>
      <c r="B496" t="e">
        <f ca="1">BDP("043260CS Muni","STATE_CODE")</f>
        <v>#NAME?</v>
      </c>
      <c r="C496" t="s">
        <v>41</v>
      </c>
      <c r="D496" t="e">
        <f ca="1">BDP("043260CS Muni","YIELD_ON_ISSUE_DATE")</f>
        <v>#NAME?</v>
      </c>
      <c r="E496">
        <v>3450000</v>
      </c>
      <c r="F496" t="e">
        <f ca="1">BDP("043260CS Muni","ISSUE_DT")</f>
        <v>#NAME?</v>
      </c>
      <c r="G496" t="e">
        <f ca="1">BDP("043260CS Muni","MATURITY")</f>
        <v>#NAME?</v>
      </c>
      <c r="H496" t="e">
        <f ca="1">BDP("043260CS Muni","MUNI_TAX_PROV")</f>
        <v>#NAME?</v>
      </c>
      <c r="I496" t="e">
        <f ca="1">BDP("043260CS Muni","FINANCING_TYPE")</f>
        <v>#NAME?</v>
      </c>
      <c r="J496" t="e">
        <f ca="1">BDP("043260CS Muni","BICS_LEVEL_2_INDUSTRY_GROUP_NAME")</f>
        <v>#NAME?</v>
      </c>
      <c r="K496" t="e">
        <f ca="1">BDP("043260CS Muni","SELF_REPRTD_GREEN_INSTR_INDCTR")</f>
        <v>#NAME?</v>
      </c>
      <c r="L496" t="e">
        <f ca="1">BDP("043260CS Muni","GB_MANAGEMENT_PROCEEDS")</f>
        <v>#NAME?</v>
      </c>
      <c r="M496" t="e">
        <f ca="1">BDP("043260CS Muni","GB_REPORTING")</f>
        <v>#NAME?</v>
      </c>
      <c r="N496" t="e">
        <f ca="1">BDP("043260CS Muni","GB_ASSURANCE_PROVIDERS")</f>
        <v>#NAME?</v>
      </c>
      <c r="O496" t="e">
        <f ca="1">BDP("043260CS Muni","GB_PROJECT_SELECTION_PROCESS")</f>
        <v>#NAME?</v>
      </c>
      <c r="P496" t="e">
        <f ca="1">BDP("043260CS Muni","ESG_FRAMEWORK_INDICATOR")</f>
        <v>#NAME?</v>
      </c>
      <c r="Q496" t="e">
        <f ca="1">BDP("043260CS Muni","BLOOMBERG_SECTOR_CODE")</f>
        <v>#NAME?</v>
      </c>
      <c r="R496" t="e">
        <f ca="1">BDP("043260CS Muni","ISSUER_TYPE")</f>
        <v>#NAME?</v>
      </c>
      <c r="S496" t="e">
        <f ca="1">BDS("043260CS Muni","ESG_PROJECT_CATEGORY", "aggregate=y")</f>
        <v>#NAME?</v>
      </c>
      <c r="T496" t="e">
        <f ca="1">BDS("043260CS Muni","ESG_PROJECT_SUBCATEGORY", "aggregate=y")</f>
        <v>#NAME?</v>
      </c>
    </row>
    <row r="497" spans="1:20" x14ac:dyDescent="0.25">
      <c r="A497" t="e">
        <f ca="1">BDP("823656BE Muni","ID_CUSIP")</f>
        <v>#NAME?</v>
      </c>
      <c r="B497" t="e">
        <f ca="1">BDP("823656BE Muni","STATE_CODE")</f>
        <v>#NAME?</v>
      </c>
      <c r="C497" t="s">
        <v>42</v>
      </c>
      <c r="D497" t="e">
        <f ca="1">BDP("823656BE Muni","YIELD_ON_ISSUE_DATE")</f>
        <v>#NAME?</v>
      </c>
      <c r="E497">
        <v>240000</v>
      </c>
      <c r="F497" t="e">
        <f ca="1">BDP("823656BE Muni","ISSUE_DT")</f>
        <v>#NAME?</v>
      </c>
      <c r="G497" t="e">
        <f ca="1">BDP("823656BE Muni","MATURITY")</f>
        <v>#NAME?</v>
      </c>
      <c r="H497" t="e">
        <f ca="1">BDP("823656BE Muni","MUNI_TAX_PROV")</f>
        <v>#NAME?</v>
      </c>
      <c r="I497" t="e">
        <f ca="1">BDP("823656BE Muni","FINANCING_TYPE")</f>
        <v>#NAME?</v>
      </c>
      <c r="J497" t="e">
        <f ca="1">BDP("823656BE Muni","BICS_LEVEL_2_INDUSTRY_GROUP_NAME")</f>
        <v>#NAME?</v>
      </c>
      <c r="K497" t="e">
        <f ca="1">BDP("823656BE Muni","SELF_REPRTD_GREEN_INSTR_INDCTR")</f>
        <v>#NAME?</v>
      </c>
      <c r="L497" t="e">
        <f ca="1">BDP("823656BE Muni","GB_MANAGEMENT_PROCEEDS")</f>
        <v>#NAME?</v>
      </c>
      <c r="M497" t="e">
        <f ca="1">BDP("823656BE Muni","GB_REPORTING")</f>
        <v>#NAME?</v>
      </c>
      <c r="N497" t="e">
        <f ca="1">BDP("823656BE Muni","GB_ASSURANCE_PROVIDERS")</f>
        <v>#NAME?</v>
      </c>
      <c r="O497" t="e">
        <f ca="1">BDP("823656BE Muni","GB_PROJECT_SELECTION_PROCESS")</f>
        <v>#NAME?</v>
      </c>
      <c r="P497" t="e">
        <f ca="1">BDP("823656BE Muni","ESG_FRAMEWORK_INDICATOR")</f>
        <v>#NAME?</v>
      </c>
      <c r="Q497" t="e">
        <f ca="1">BDP("823656BE Muni","BLOOMBERG_SECTOR_CODE")</f>
        <v>#NAME?</v>
      </c>
      <c r="R497" t="e">
        <f ca="1">BDP("823656BE Muni","ISSUER_TYPE")</f>
        <v>#NAME?</v>
      </c>
      <c r="S497" t="e">
        <f ca="1">BDS("823656BE Muni","ESG_PROJECT_CATEGORY", "aggregate=y")</f>
        <v>#NAME?</v>
      </c>
      <c r="T497" t="e">
        <f ca="1">BDS("823656BE Muni","ESG_PROJECT_SUBCATEGORY", "aggregate=y")</f>
        <v>#NAME?</v>
      </c>
    </row>
    <row r="498" spans="1:20" x14ac:dyDescent="0.25">
      <c r="A498" t="e">
        <f ca="1">BDP("043257BG Muni","ID_CUSIP")</f>
        <v>#NAME?</v>
      </c>
      <c r="B498" t="e">
        <f ca="1">BDP("043257BG Muni","STATE_CODE")</f>
        <v>#NAME?</v>
      </c>
      <c r="C498" t="s">
        <v>40</v>
      </c>
      <c r="D498" t="e">
        <f ca="1">BDP("043257BG Muni","YIELD_ON_ISSUE_DATE")</f>
        <v>#NAME?</v>
      </c>
      <c r="E498">
        <v>90000</v>
      </c>
      <c r="F498" t="e">
        <f ca="1">BDP("043257BG Muni","ISSUE_DT")</f>
        <v>#NAME?</v>
      </c>
      <c r="G498" t="e">
        <f ca="1">BDP("043257BG Muni","MATURITY")</f>
        <v>#NAME?</v>
      </c>
      <c r="H498" t="e">
        <f ca="1">BDP("043257BG Muni","MUNI_TAX_PROV")</f>
        <v>#NAME?</v>
      </c>
      <c r="I498" t="e">
        <f ca="1">BDP("043257BG Muni","FINANCING_TYPE")</f>
        <v>#NAME?</v>
      </c>
      <c r="J498" t="e">
        <f ca="1">BDP("043257BG Muni","BICS_LEVEL_2_INDUSTRY_GROUP_NAME")</f>
        <v>#NAME?</v>
      </c>
      <c r="K498" t="e">
        <f ca="1">BDP("043257BG Muni","SELF_REPRTD_GREEN_INSTR_INDCTR")</f>
        <v>#NAME?</v>
      </c>
      <c r="L498" t="e">
        <f ca="1">BDP("043257BG Muni","GB_MANAGEMENT_PROCEEDS")</f>
        <v>#NAME?</v>
      </c>
      <c r="M498" t="e">
        <f ca="1">BDP("043257BG Muni","GB_REPORTING")</f>
        <v>#NAME?</v>
      </c>
      <c r="N498" t="e">
        <f ca="1">BDP("043257BG Muni","GB_ASSURANCE_PROVIDERS")</f>
        <v>#NAME?</v>
      </c>
      <c r="O498" t="e">
        <f ca="1">BDP("043257BG Muni","GB_PROJECT_SELECTION_PROCESS")</f>
        <v>#NAME?</v>
      </c>
      <c r="P498" t="e">
        <f ca="1">BDP("043257BG Muni","ESG_FRAMEWORK_INDICATOR")</f>
        <v>#NAME?</v>
      </c>
      <c r="Q498" t="e">
        <f ca="1">BDP("043257BG Muni","BLOOMBERG_SECTOR_CODE")</f>
        <v>#NAME?</v>
      </c>
      <c r="R498" t="e">
        <f ca="1">BDP("043257BG Muni","ISSUER_TYPE")</f>
        <v>#NAME?</v>
      </c>
      <c r="S498" t="e">
        <f ca="1">BDS("043257BG Muni","ESG_PROJECT_CATEGORY", "aggregate=y")</f>
        <v>#NAME?</v>
      </c>
      <c r="T498" t="e">
        <f ca="1">BDS("043257BG Muni","ESG_PROJECT_SUBCATEGORY", "aggregate=y")</f>
        <v>#NAME?</v>
      </c>
    </row>
    <row r="499" spans="1:20" x14ac:dyDescent="0.25">
      <c r="A499" t="e">
        <f ca="1">BDP("043257BH Muni","ID_CUSIP")</f>
        <v>#NAME?</v>
      </c>
      <c r="B499" t="e">
        <f ca="1">BDP("043257BH Muni","STATE_CODE")</f>
        <v>#NAME?</v>
      </c>
      <c r="C499" t="s">
        <v>40</v>
      </c>
      <c r="D499" t="e">
        <f ca="1">BDP("043257BH Muni","YIELD_ON_ISSUE_DATE")</f>
        <v>#NAME?</v>
      </c>
      <c r="E499">
        <v>235000</v>
      </c>
      <c r="F499" t="e">
        <f ca="1">BDP("043257BH Muni","ISSUE_DT")</f>
        <v>#NAME?</v>
      </c>
      <c r="G499" t="e">
        <f ca="1">BDP("043257BH Muni","MATURITY")</f>
        <v>#NAME?</v>
      </c>
      <c r="H499" t="e">
        <f ca="1">BDP("043257BH Muni","MUNI_TAX_PROV")</f>
        <v>#NAME?</v>
      </c>
      <c r="I499" t="e">
        <f ca="1">BDP("043257BH Muni","FINANCING_TYPE")</f>
        <v>#NAME?</v>
      </c>
      <c r="J499" t="e">
        <f ca="1">BDP("043257BH Muni","BICS_LEVEL_2_INDUSTRY_GROUP_NAME")</f>
        <v>#NAME?</v>
      </c>
      <c r="K499" t="e">
        <f ca="1">BDP("043257BH Muni","SELF_REPRTD_GREEN_INSTR_INDCTR")</f>
        <v>#NAME?</v>
      </c>
      <c r="L499" t="e">
        <f ca="1">BDP("043257BH Muni","GB_MANAGEMENT_PROCEEDS")</f>
        <v>#NAME?</v>
      </c>
      <c r="M499" t="e">
        <f ca="1">BDP("043257BH Muni","GB_REPORTING")</f>
        <v>#NAME?</v>
      </c>
      <c r="N499" t="e">
        <f ca="1">BDP("043257BH Muni","GB_ASSURANCE_PROVIDERS")</f>
        <v>#NAME?</v>
      </c>
      <c r="O499" t="e">
        <f ca="1">BDP("043257BH Muni","GB_PROJECT_SELECTION_PROCESS")</f>
        <v>#NAME?</v>
      </c>
      <c r="P499" t="e">
        <f ca="1">BDP("043257BH Muni","ESG_FRAMEWORK_INDICATOR")</f>
        <v>#NAME?</v>
      </c>
      <c r="Q499" t="e">
        <f ca="1">BDP("043257BH Muni","BLOOMBERG_SECTOR_CODE")</f>
        <v>#NAME?</v>
      </c>
      <c r="R499" t="e">
        <f ca="1">BDP("043257BH Muni","ISSUER_TYPE")</f>
        <v>#NAME?</v>
      </c>
      <c r="S499" t="e">
        <f ca="1">BDS("043257BH Muni","ESG_PROJECT_CATEGORY", "aggregate=y")</f>
        <v>#NAME?</v>
      </c>
      <c r="T499" t="e">
        <f ca="1">BDS("043257BH Muni","ESG_PROJECT_SUBCATEGORY", "aggregate=y")</f>
        <v>#NAME?</v>
      </c>
    </row>
    <row r="500" spans="1:20" x14ac:dyDescent="0.25">
      <c r="A500" t="e">
        <f ca="1">BDP("043257BJ Muni","ID_CUSIP")</f>
        <v>#NAME?</v>
      </c>
      <c r="B500" t="e">
        <f ca="1">BDP("043257BJ Muni","STATE_CODE")</f>
        <v>#NAME?</v>
      </c>
      <c r="C500" t="s">
        <v>40</v>
      </c>
      <c r="D500" t="e">
        <f ca="1">BDP("043257BJ Muni","YIELD_ON_ISSUE_DATE")</f>
        <v>#NAME?</v>
      </c>
      <c r="E500">
        <v>245000</v>
      </c>
      <c r="F500" t="e">
        <f ca="1">BDP("043257BJ Muni","ISSUE_DT")</f>
        <v>#NAME?</v>
      </c>
      <c r="G500" t="e">
        <f ca="1">BDP("043257BJ Muni","MATURITY")</f>
        <v>#NAME?</v>
      </c>
      <c r="H500" t="e">
        <f ca="1">BDP("043257BJ Muni","MUNI_TAX_PROV")</f>
        <v>#NAME?</v>
      </c>
      <c r="I500" t="e">
        <f ca="1">BDP("043257BJ Muni","FINANCING_TYPE")</f>
        <v>#NAME?</v>
      </c>
      <c r="J500" t="e">
        <f ca="1">BDP("043257BJ Muni","BICS_LEVEL_2_INDUSTRY_GROUP_NAME")</f>
        <v>#NAME?</v>
      </c>
      <c r="K500" t="e">
        <f ca="1">BDP("043257BJ Muni","SELF_REPRTD_GREEN_INSTR_INDCTR")</f>
        <v>#NAME?</v>
      </c>
      <c r="L500" t="e">
        <f ca="1">BDP("043257BJ Muni","GB_MANAGEMENT_PROCEEDS")</f>
        <v>#NAME?</v>
      </c>
      <c r="M500" t="e">
        <f ca="1">BDP("043257BJ Muni","GB_REPORTING")</f>
        <v>#NAME?</v>
      </c>
      <c r="N500" t="e">
        <f ca="1">BDP("043257BJ Muni","GB_ASSURANCE_PROVIDERS")</f>
        <v>#NAME?</v>
      </c>
      <c r="O500" t="e">
        <f ca="1">BDP("043257BJ Muni","GB_PROJECT_SELECTION_PROCESS")</f>
        <v>#NAME?</v>
      </c>
      <c r="P500" t="e">
        <f ca="1">BDP("043257BJ Muni","ESG_FRAMEWORK_INDICATOR")</f>
        <v>#NAME?</v>
      </c>
      <c r="Q500" t="e">
        <f ca="1">BDP("043257BJ Muni","BLOOMBERG_SECTOR_CODE")</f>
        <v>#NAME?</v>
      </c>
      <c r="R500" t="e">
        <f ca="1">BDP("043257BJ Muni","ISSUER_TYPE")</f>
        <v>#NAME?</v>
      </c>
      <c r="S500" t="e">
        <f ca="1">BDS("043257BJ Muni","ESG_PROJECT_CATEGORY", "aggregate=y")</f>
        <v>#NAME?</v>
      </c>
      <c r="T500" t="e">
        <f ca="1">BDS("043257BJ Muni","ESG_PROJECT_SUBCATEGORY", "aggregate=y")</f>
        <v>#NAME?</v>
      </c>
    </row>
    <row r="501" spans="1:20" x14ac:dyDescent="0.25">
      <c r="A501" t="e">
        <f ca="1">BDP("043257BK Muni","ID_CUSIP")</f>
        <v>#NAME?</v>
      </c>
      <c r="B501" t="e">
        <f ca="1">BDP("043257BK Muni","STATE_CODE")</f>
        <v>#NAME?</v>
      </c>
      <c r="C501" t="s">
        <v>40</v>
      </c>
      <c r="D501" t="e">
        <f ca="1">BDP("043257BK Muni","YIELD_ON_ISSUE_DATE")</f>
        <v>#NAME?</v>
      </c>
      <c r="E501">
        <v>255000</v>
      </c>
      <c r="F501" t="e">
        <f ca="1">BDP("043257BK Muni","ISSUE_DT")</f>
        <v>#NAME?</v>
      </c>
      <c r="G501" t="e">
        <f ca="1">BDP("043257BK Muni","MATURITY")</f>
        <v>#NAME?</v>
      </c>
      <c r="H501" t="e">
        <f ca="1">BDP("043257BK Muni","MUNI_TAX_PROV")</f>
        <v>#NAME?</v>
      </c>
      <c r="I501" t="e">
        <f ca="1">BDP("043257BK Muni","FINANCING_TYPE")</f>
        <v>#NAME?</v>
      </c>
      <c r="J501" t="e">
        <f ca="1">BDP("043257BK Muni","BICS_LEVEL_2_INDUSTRY_GROUP_NAME")</f>
        <v>#NAME?</v>
      </c>
      <c r="K501" t="e">
        <f ca="1">BDP("043257BK Muni","SELF_REPRTD_GREEN_INSTR_INDCTR")</f>
        <v>#NAME?</v>
      </c>
      <c r="L501" t="e">
        <f ca="1">BDP("043257BK Muni","GB_MANAGEMENT_PROCEEDS")</f>
        <v>#NAME?</v>
      </c>
      <c r="M501" t="e">
        <f ca="1">BDP("043257BK Muni","GB_REPORTING")</f>
        <v>#NAME?</v>
      </c>
      <c r="N501" t="e">
        <f ca="1">BDP("043257BK Muni","GB_ASSURANCE_PROVIDERS")</f>
        <v>#NAME?</v>
      </c>
      <c r="O501" t="e">
        <f ca="1">BDP("043257BK Muni","GB_PROJECT_SELECTION_PROCESS")</f>
        <v>#NAME?</v>
      </c>
      <c r="P501" t="e">
        <f ca="1">BDP("043257BK Muni","ESG_FRAMEWORK_INDICATOR")</f>
        <v>#NAME?</v>
      </c>
      <c r="Q501" t="e">
        <f ca="1">BDP("043257BK Muni","BLOOMBERG_SECTOR_CODE")</f>
        <v>#NAME?</v>
      </c>
      <c r="R501" t="e">
        <f ca="1">BDP("043257BK Muni","ISSUER_TYPE")</f>
        <v>#NAME?</v>
      </c>
      <c r="S501" t="e">
        <f ca="1">BDS("043257BK Muni","ESG_PROJECT_CATEGORY", "aggregate=y")</f>
        <v>#NAME?</v>
      </c>
      <c r="T501" t="e">
        <f ca="1">BDS("043257BK Muni","ESG_PROJECT_SUBCATEGORY", "aggregate=y")</f>
        <v>#NAME?</v>
      </c>
    </row>
    <row r="502" spans="1:20" x14ac:dyDescent="0.25">
      <c r="A502" t="e">
        <f ca="1">BDP("043257BL Muni","ID_CUSIP")</f>
        <v>#NAME?</v>
      </c>
      <c r="B502" t="e">
        <f ca="1">BDP("043257BL Muni","STATE_CODE")</f>
        <v>#NAME?</v>
      </c>
      <c r="C502" t="s">
        <v>40</v>
      </c>
      <c r="D502" t="e">
        <f ca="1">BDP("043257BL Muni","YIELD_ON_ISSUE_DATE")</f>
        <v>#NAME?</v>
      </c>
      <c r="E502">
        <v>270000</v>
      </c>
      <c r="F502" t="e">
        <f ca="1">BDP("043257BL Muni","ISSUE_DT")</f>
        <v>#NAME?</v>
      </c>
      <c r="G502" t="e">
        <f ca="1">BDP("043257BL Muni","MATURITY")</f>
        <v>#NAME?</v>
      </c>
      <c r="H502" t="e">
        <f ca="1">BDP("043257BL Muni","MUNI_TAX_PROV")</f>
        <v>#NAME?</v>
      </c>
      <c r="I502" t="e">
        <f ca="1">BDP("043257BL Muni","FINANCING_TYPE")</f>
        <v>#NAME?</v>
      </c>
      <c r="J502" t="e">
        <f ca="1">BDP("043257BL Muni","BICS_LEVEL_2_INDUSTRY_GROUP_NAME")</f>
        <v>#NAME?</v>
      </c>
      <c r="K502" t="e">
        <f ca="1">BDP("043257BL Muni","SELF_REPRTD_GREEN_INSTR_INDCTR")</f>
        <v>#NAME?</v>
      </c>
      <c r="L502" t="e">
        <f ca="1">BDP("043257BL Muni","GB_MANAGEMENT_PROCEEDS")</f>
        <v>#NAME?</v>
      </c>
      <c r="M502" t="e">
        <f ca="1">BDP("043257BL Muni","GB_REPORTING")</f>
        <v>#NAME?</v>
      </c>
      <c r="N502" t="e">
        <f ca="1">BDP("043257BL Muni","GB_ASSURANCE_PROVIDERS")</f>
        <v>#NAME?</v>
      </c>
      <c r="O502" t="e">
        <f ca="1">BDP("043257BL Muni","GB_PROJECT_SELECTION_PROCESS")</f>
        <v>#NAME?</v>
      </c>
      <c r="P502" t="e">
        <f ca="1">BDP("043257BL Muni","ESG_FRAMEWORK_INDICATOR")</f>
        <v>#NAME?</v>
      </c>
      <c r="Q502" t="e">
        <f ca="1">BDP("043257BL Muni","BLOOMBERG_SECTOR_CODE")</f>
        <v>#NAME?</v>
      </c>
      <c r="R502" t="e">
        <f ca="1">BDP("043257BL Muni","ISSUER_TYPE")</f>
        <v>#NAME?</v>
      </c>
      <c r="S502" t="e">
        <f ca="1">BDS("043257BL Muni","ESG_PROJECT_CATEGORY", "aggregate=y")</f>
        <v>#NAME?</v>
      </c>
      <c r="T502" t="e">
        <f ca="1">BDS("043257BL Muni","ESG_PROJECT_SUBCATEGORY", "aggregate=y")</f>
        <v>#NAME?</v>
      </c>
    </row>
    <row r="503" spans="1:20" x14ac:dyDescent="0.25">
      <c r="A503" t="e">
        <f ca="1">BDP("043257BN Muni","ID_CUSIP")</f>
        <v>#NAME?</v>
      </c>
      <c r="B503" t="e">
        <f ca="1">BDP("043257BN Muni","STATE_CODE")</f>
        <v>#NAME?</v>
      </c>
      <c r="C503" t="s">
        <v>40</v>
      </c>
      <c r="D503" t="e">
        <f ca="1">BDP("043257BN Muni","YIELD_ON_ISSUE_DATE")</f>
        <v>#NAME?</v>
      </c>
      <c r="E503">
        <v>295000</v>
      </c>
      <c r="F503" t="e">
        <f ca="1">BDP("043257BN Muni","ISSUE_DT")</f>
        <v>#NAME?</v>
      </c>
      <c r="G503" t="e">
        <f ca="1">BDP("043257BN Muni","MATURITY")</f>
        <v>#NAME?</v>
      </c>
      <c r="H503" t="e">
        <f ca="1">BDP("043257BN Muni","MUNI_TAX_PROV")</f>
        <v>#NAME?</v>
      </c>
      <c r="I503" t="e">
        <f ca="1">BDP("043257BN Muni","FINANCING_TYPE")</f>
        <v>#NAME?</v>
      </c>
      <c r="J503" t="e">
        <f ca="1">BDP("043257BN Muni","BICS_LEVEL_2_INDUSTRY_GROUP_NAME")</f>
        <v>#NAME?</v>
      </c>
      <c r="K503" t="e">
        <f ca="1">BDP("043257BN Muni","SELF_REPRTD_GREEN_INSTR_INDCTR")</f>
        <v>#NAME?</v>
      </c>
      <c r="L503" t="e">
        <f ca="1">BDP("043257BN Muni","GB_MANAGEMENT_PROCEEDS")</f>
        <v>#NAME?</v>
      </c>
      <c r="M503" t="e">
        <f ca="1">BDP("043257BN Muni","GB_REPORTING")</f>
        <v>#NAME?</v>
      </c>
      <c r="N503" t="e">
        <f ca="1">BDP("043257BN Muni","GB_ASSURANCE_PROVIDERS")</f>
        <v>#NAME?</v>
      </c>
      <c r="O503" t="e">
        <f ca="1">BDP("043257BN Muni","GB_PROJECT_SELECTION_PROCESS")</f>
        <v>#NAME?</v>
      </c>
      <c r="P503" t="e">
        <f ca="1">BDP("043257BN Muni","ESG_FRAMEWORK_INDICATOR")</f>
        <v>#NAME?</v>
      </c>
      <c r="Q503" t="e">
        <f ca="1">BDP("043257BN Muni","BLOOMBERG_SECTOR_CODE")</f>
        <v>#NAME?</v>
      </c>
      <c r="R503" t="e">
        <f ca="1">BDP("043257BN Muni","ISSUER_TYPE")</f>
        <v>#NAME?</v>
      </c>
      <c r="S503" t="e">
        <f ca="1">BDS("043257BN Muni","ESG_PROJECT_CATEGORY", "aggregate=y")</f>
        <v>#NAME?</v>
      </c>
      <c r="T503" t="e">
        <f ca="1">BDS("043257BN Muni","ESG_PROJECT_SUBCATEGORY", "aggregate=y")</f>
        <v>#NAME?</v>
      </c>
    </row>
    <row r="504" spans="1:20" x14ac:dyDescent="0.25">
      <c r="A504" t="e">
        <f ca="1">BDP("043257BP Muni","ID_CUSIP")</f>
        <v>#NAME?</v>
      </c>
      <c r="B504" t="e">
        <f ca="1">BDP("043257BP Muni","STATE_CODE")</f>
        <v>#NAME?</v>
      </c>
      <c r="C504" t="s">
        <v>40</v>
      </c>
      <c r="D504" t="e">
        <f ca="1">BDP("043257BP Muni","YIELD_ON_ISSUE_DATE")</f>
        <v>#NAME?</v>
      </c>
      <c r="E504">
        <v>310000</v>
      </c>
      <c r="F504" t="e">
        <f ca="1">BDP("043257BP Muni","ISSUE_DT")</f>
        <v>#NAME?</v>
      </c>
      <c r="G504" t="e">
        <f ca="1">BDP("043257BP Muni","MATURITY")</f>
        <v>#NAME?</v>
      </c>
      <c r="H504" t="e">
        <f ca="1">BDP("043257BP Muni","MUNI_TAX_PROV")</f>
        <v>#NAME?</v>
      </c>
      <c r="I504" t="e">
        <f ca="1">BDP("043257BP Muni","FINANCING_TYPE")</f>
        <v>#NAME?</v>
      </c>
      <c r="J504" t="e">
        <f ca="1">BDP("043257BP Muni","BICS_LEVEL_2_INDUSTRY_GROUP_NAME")</f>
        <v>#NAME?</v>
      </c>
      <c r="K504" t="e">
        <f ca="1">BDP("043257BP Muni","SELF_REPRTD_GREEN_INSTR_INDCTR")</f>
        <v>#NAME?</v>
      </c>
      <c r="L504" t="e">
        <f ca="1">BDP("043257BP Muni","GB_MANAGEMENT_PROCEEDS")</f>
        <v>#NAME?</v>
      </c>
      <c r="M504" t="e">
        <f ca="1">BDP("043257BP Muni","GB_REPORTING")</f>
        <v>#NAME?</v>
      </c>
      <c r="N504" t="e">
        <f ca="1">BDP("043257BP Muni","GB_ASSURANCE_PROVIDERS")</f>
        <v>#NAME?</v>
      </c>
      <c r="O504" t="e">
        <f ca="1">BDP("043257BP Muni","GB_PROJECT_SELECTION_PROCESS")</f>
        <v>#NAME?</v>
      </c>
      <c r="P504" t="e">
        <f ca="1">BDP("043257BP Muni","ESG_FRAMEWORK_INDICATOR")</f>
        <v>#NAME?</v>
      </c>
      <c r="Q504" t="e">
        <f ca="1">BDP("043257BP Muni","BLOOMBERG_SECTOR_CODE")</f>
        <v>#NAME?</v>
      </c>
      <c r="R504" t="e">
        <f ca="1">BDP("043257BP Muni","ISSUER_TYPE")</f>
        <v>#NAME?</v>
      </c>
      <c r="S504" t="e">
        <f ca="1">BDS("043257BP Muni","ESG_PROJECT_CATEGORY", "aggregate=y")</f>
        <v>#NAME?</v>
      </c>
      <c r="T504" t="e">
        <f ca="1">BDS("043257BP Muni","ESG_PROJECT_SUBCATEGORY", "aggregate=y")</f>
        <v>#NAME?</v>
      </c>
    </row>
    <row r="505" spans="1:20" x14ac:dyDescent="0.25">
      <c r="A505" t="e">
        <f ca="1">BDP("043257BQ Muni","ID_CUSIP")</f>
        <v>#NAME?</v>
      </c>
      <c r="B505" t="e">
        <f ca="1">BDP("043257BQ Muni","STATE_CODE")</f>
        <v>#NAME?</v>
      </c>
      <c r="C505" t="s">
        <v>40</v>
      </c>
      <c r="D505" t="e">
        <f ca="1">BDP("043257BQ Muni","YIELD_ON_ISSUE_DATE")</f>
        <v>#NAME?</v>
      </c>
      <c r="E505">
        <v>325000</v>
      </c>
      <c r="F505" t="e">
        <f ca="1">BDP("043257BQ Muni","ISSUE_DT")</f>
        <v>#NAME?</v>
      </c>
      <c r="G505" t="e">
        <f ca="1">BDP("043257BQ Muni","MATURITY")</f>
        <v>#NAME?</v>
      </c>
      <c r="H505" t="e">
        <f ca="1">BDP("043257BQ Muni","MUNI_TAX_PROV")</f>
        <v>#NAME?</v>
      </c>
      <c r="I505" t="e">
        <f ca="1">BDP("043257BQ Muni","FINANCING_TYPE")</f>
        <v>#NAME?</v>
      </c>
      <c r="J505" t="e">
        <f ca="1">BDP("043257BQ Muni","BICS_LEVEL_2_INDUSTRY_GROUP_NAME")</f>
        <v>#NAME?</v>
      </c>
      <c r="K505" t="e">
        <f ca="1">BDP("043257BQ Muni","SELF_REPRTD_GREEN_INSTR_INDCTR")</f>
        <v>#NAME?</v>
      </c>
      <c r="L505" t="e">
        <f ca="1">BDP("043257BQ Muni","GB_MANAGEMENT_PROCEEDS")</f>
        <v>#NAME?</v>
      </c>
      <c r="M505" t="e">
        <f ca="1">BDP("043257BQ Muni","GB_REPORTING")</f>
        <v>#NAME?</v>
      </c>
      <c r="N505" t="e">
        <f ca="1">BDP("043257BQ Muni","GB_ASSURANCE_PROVIDERS")</f>
        <v>#NAME?</v>
      </c>
      <c r="O505" t="e">
        <f ca="1">BDP("043257BQ Muni","GB_PROJECT_SELECTION_PROCESS")</f>
        <v>#NAME?</v>
      </c>
      <c r="P505" t="e">
        <f ca="1">BDP("043257BQ Muni","ESG_FRAMEWORK_INDICATOR")</f>
        <v>#NAME?</v>
      </c>
      <c r="Q505" t="e">
        <f ca="1">BDP("043257BQ Muni","BLOOMBERG_SECTOR_CODE")</f>
        <v>#NAME?</v>
      </c>
      <c r="R505" t="e">
        <f ca="1">BDP("043257BQ Muni","ISSUER_TYPE")</f>
        <v>#NAME?</v>
      </c>
      <c r="S505" t="e">
        <f ca="1">BDS("043257BQ Muni","ESG_PROJECT_CATEGORY", "aggregate=y")</f>
        <v>#NAME?</v>
      </c>
      <c r="T505" t="e">
        <f ca="1">BDS("043257BQ Muni","ESG_PROJECT_SUBCATEGORY", "aggregate=y")</f>
        <v>#NAME?</v>
      </c>
    </row>
    <row r="506" spans="1:20" x14ac:dyDescent="0.25">
      <c r="A506" t="e">
        <f ca="1">BDP("043257BS Muni","ID_CUSIP")</f>
        <v>#NAME?</v>
      </c>
      <c r="B506" t="e">
        <f ca="1">BDP("043257BS Muni","STATE_CODE")</f>
        <v>#NAME?</v>
      </c>
      <c r="C506" t="s">
        <v>40</v>
      </c>
      <c r="D506" t="e">
        <f ca="1">BDP("043257BS Muni","YIELD_ON_ISSUE_DATE")</f>
        <v>#NAME?</v>
      </c>
      <c r="E506">
        <v>360000</v>
      </c>
      <c r="F506" t="e">
        <f ca="1">BDP("043257BS Muni","ISSUE_DT")</f>
        <v>#NAME?</v>
      </c>
      <c r="G506" t="e">
        <f ca="1">BDP("043257BS Muni","MATURITY")</f>
        <v>#NAME?</v>
      </c>
      <c r="H506" t="e">
        <f ca="1">BDP("043257BS Muni","MUNI_TAX_PROV")</f>
        <v>#NAME?</v>
      </c>
      <c r="I506" t="e">
        <f ca="1">BDP("043257BS Muni","FINANCING_TYPE")</f>
        <v>#NAME?</v>
      </c>
      <c r="J506" t="e">
        <f ca="1">BDP("043257BS Muni","BICS_LEVEL_2_INDUSTRY_GROUP_NAME")</f>
        <v>#NAME?</v>
      </c>
      <c r="K506" t="e">
        <f ca="1">BDP("043257BS Muni","SELF_REPRTD_GREEN_INSTR_INDCTR")</f>
        <v>#NAME?</v>
      </c>
      <c r="L506" t="e">
        <f ca="1">BDP("043257BS Muni","GB_MANAGEMENT_PROCEEDS")</f>
        <v>#NAME?</v>
      </c>
      <c r="M506" t="e">
        <f ca="1">BDP("043257BS Muni","GB_REPORTING")</f>
        <v>#NAME?</v>
      </c>
      <c r="N506" t="e">
        <f ca="1">BDP("043257BS Muni","GB_ASSURANCE_PROVIDERS")</f>
        <v>#NAME?</v>
      </c>
      <c r="O506" t="e">
        <f ca="1">BDP("043257BS Muni","GB_PROJECT_SELECTION_PROCESS")</f>
        <v>#NAME?</v>
      </c>
      <c r="P506" t="e">
        <f ca="1">BDP("043257BS Muni","ESG_FRAMEWORK_INDICATOR")</f>
        <v>#NAME?</v>
      </c>
      <c r="Q506" t="e">
        <f ca="1">BDP("043257BS Muni","BLOOMBERG_SECTOR_CODE")</f>
        <v>#NAME?</v>
      </c>
      <c r="R506" t="e">
        <f ca="1">BDP("043257BS Muni","ISSUER_TYPE")</f>
        <v>#NAME?</v>
      </c>
      <c r="S506" t="e">
        <f ca="1">BDS("043257BS Muni","ESG_PROJECT_CATEGORY", "aggregate=y")</f>
        <v>#NAME?</v>
      </c>
      <c r="T506" t="e">
        <f ca="1">BDS("043257BS Muni","ESG_PROJECT_SUBCATEGORY", "aggregate=y")</f>
        <v>#NAME?</v>
      </c>
    </row>
    <row r="507" spans="1:20" x14ac:dyDescent="0.25">
      <c r="A507" t="e">
        <f ca="1">BDP("043257BT Muni","ID_CUSIP")</f>
        <v>#NAME?</v>
      </c>
      <c r="B507" t="e">
        <f ca="1">BDP("043257BT Muni","STATE_CODE")</f>
        <v>#NAME?</v>
      </c>
      <c r="C507" t="s">
        <v>40</v>
      </c>
      <c r="D507" t="e">
        <f ca="1">BDP("043257BT Muni","YIELD_ON_ISSUE_DATE")</f>
        <v>#NAME?</v>
      </c>
      <c r="E507">
        <v>380000</v>
      </c>
      <c r="F507" t="e">
        <f ca="1">BDP("043257BT Muni","ISSUE_DT")</f>
        <v>#NAME?</v>
      </c>
      <c r="G507" t="e">
        <f ca="1">BDP("043257BT Muni","MATURITY")</f>
        <v>#NAME?</v>
      </c>
      <c r="H507" t="e">
        <f ca="1">BDP("043257BT Muni","MUNI_TAX_PROV")</f>
        <v>#NAME?</v>
      </c>
      <c r="I507" t="e">
        <f ca="1">BDP("043257BT Muni","FINANCING_TYPE")</f>
        <v>#NAME?</v>
      </c>
      <c r="J507" t="e">
        <f ca="1">BDP("043257BT Muni","BICS_LEVEL_2_INDUSTRY_GROUP_NAME")</f>
        <v>#NAME?</v>
      </c>
      <c r="K507" t="e">
        <f ca="1">BDP("043257BT Muni","SELF_REPRTD_GREEN_INSTR_INDCTR")</f>
        <v>#NAME?</v>
      </c>
      <c r="L507" t="e">
        <f ca="1">BDP("043257BT Muni","GB_MANAGEMENT_PROCEEDS")</f>
        <v>#NAME?</v>
      </c>
      <c r="M507" t="e">
        <f ca="1">BDP("043257BT Muni","GB_REPORTING")</f>
        <v>#NAME?</v>
      </c>
      <c r="N507" t="e">
        <f ca="1">BDP("043257BT Muni","GB_ASSURANCE_PROVIDERS")</f>
        <v>#NAME?</v>
      </c>
      <c r="O507" t="e">
        <f ca="1">BDP("043257BT Muni","GB_PROJECT_SELECTION_PROCESS")</f>
        <v>#NAME?</v>
      </c>
      <c r="P507" t="e">
        <f ca="1">BDP("043257BT Muni","ESG_FRAMEWORK_INDICATOR")</f>
        <v>#NAME?</v>
      </c>
      <c r="Q507" t="e">
        <f ca="1">BDP("043257BT Muni","BLOOMBERG_SECTOR_CODE")</f>
        <v>#NAME?</v>
      </c>
      <c r="R507" t="e">
        <f ca="1">BDP("043257BT Muni","ISSUER_TYPE")</f>
        <v>#NAME?</v>
      </c>
      <c r="S507" t="e">
        <f ca="1">BDS("043257BT Muni","ESG_PROJECT_CATEGORY", "aggregate=y")</f>
        <v>#NAME?</v>
      </c>
      <c r="T507" t="e">
        <f ca="1">BDS("043257BT Muni","ESG_PROJECT_SUBCATEGORY", "aggregate=y")</f>
        <v>#NAME?</v>
      </c>
    </row>
    <row r="508" spans="1:20" x14ac:dyDescent="0.25">
      <c r="A508" t="e">
        <f ca="1">BDP("043257BU Muni","ID_CUSIP")</f>
        <v>#NAME?</v>
      </c>
      <c r="B508" t="e">
        <f ca="1">BDP("043257BU Muni","STATE_CODE")</f>
        <v>#NAME?</v>
      </c>
      <c r="C508" t="s">
        <v>40</v>
      </c>
      <c r="D508" t="e">
        <f ca="1">BDP("043257BU Muni","YIELD_ON_ISSUE_DATE")</f>
        <v>#NAME?</v>
      </c>
      <c r="E508">
        <v>395000</v>
      </c>
      <c r="F508" t="e">
        <f ca="1">BDP("043257BU Muni","ISSUE_DT")</f>
        <v>#NAME?</v>
      </c>
      <c r="G508" t="e">
        <f ca="1">BDP("043257BU Muni","MATURITY")</f>
        <v>#NAME?</v>
      </c>
      <c r="H508" t="e">
        <f ca="1">BDP("043257BU Muni","MUNI_TAX_PROV")</f>
        <v>#NAME?</v>
      </c>
      <c r="I508" t="e">
        <f ca="1">BDP("043257BU Muni","FINANCING_TYPE")</f>
        <v>#NAME?</v>
      </c>
      <c r="J508" t="e">
        <f ca="1">BDP("043257BU Muni","BICS_LEVEL_2_INDUSTRY_GROUP_NAME")</f>
        <v>#NAME?</v>
      </c>
      <c r="K508" t="e">
        <f ca="1">BDP("043257BU Muni","SELF_REPRTD_GREEN_INSTR_INDCTR")</f>
        <v>#NAME?</v>
      </c>
      <c r="L508" t="e">
        <f ca="1">BDP("043257BU Muni","GB_MANAGEMENT_PROCEEDS")</f>
        <v>#NAME?</v>
      </c>
      <c r="M508" t="e">
        <f ca="1">BDP("043257BU Muni","GB_REPORTING")</f>
        <v>#NAME?</v>
      </c>
      <c r="N508" t="e">
        <f ca="1">BDP("043257BU Muni","GB_ASSURANCE_PROVIDERS")</f>
        <v>#NAME?</v>
      </c>
      <c r="O508" t="e">
        <f ca="1">BDP("043257BU Muni","GB_PROJECT_SELECTION_PROCESS")</f>
        <v>#NAME?</v>
      </c>
      <c r="P508" t="e">
        <f ca="1">BDP("043257BU Muni","ESG_FRAMEWORK_INDICATOR")</f>
        <v>#NAME?</v>
      </c>
      <c r="Q508" t="e">
        <f ca="1">BDP("043257BU Muni","BLOOMBERG_SECTOR_CODE")</f>
        <v>#NAME?</v>
      </c>
      <c r="R508" t="e">
        <f ca="1">BDP("043257BU Muni","ISSUER_TYPE")</f>
        <v>#NAME?</v>
      </c>
      <c r="S508" t="e">
        <f ca="1">BDS("043257BU Muni","ESG_PROJECT_CATEGORY", "aggregate=y")</f>
        <v>#NAME?</v>
      </c>
      <c r="T508" t="e">
        <f ca="1">BDS("043257BU Muni","ESG_PROJECT_SUBCATEGORY", "aggregate=y")</f>
        <v>#NAME?</v>
      </c>
    </row>
    <row r="509" spans="1:20" x14ac:dyDescent="0.25">
      <c r="A509" t="e">
        <f ca="1">BDP("043257BV Muni","ID_CUSIP")</f>
        <v>#NAME?</v>
      </c>
      <c r="B509" t="e">
        <f ca="1">BDP("043257BV Muni","STATE_CODE")</f>
        <v>#NAME?</v>
      </c>
      <c r="C509" t="s">
        <v>40</v>
      </c>
      <c r="D509" t="e">
        <f ca="1">BDP("043257BV Muni","YIELD_ON_ISSUE_DATE")</f>
        <v>#NAME?</v>
      </c>
      <c r="E509">
        <v>415000</v>
      </c>
      <c r="F509" t="e">
        <f ca="1">BDP("043257BV Muni","ISSUE_DT")</f>
        <v>#NAME?</v>
      </c>
      <c r="G509" t="e">
        <f ca="1">BDP("043257BV Muni","MATURITY")</f>
        <v>#NAME?</v>
      </c>
      <c r="H509" t="e">
        <f ca="1">BDP("043257BV Muni","MUNI_TAX_PROV")</f>
        <v>#NAME?</v>
      </c>
      <c r="I509" t="e">
        <f ca="1">BDP("043257BV Muni","FINANCING_TYPE")</f>
        <v>#NAME?</v>
      </c>
      <c r="J509" t="e">
        <f ca="1">BDP("043257BV Muni","BICS_LEVEL_2_INDUSTRY_GROUP_NAME")</f>
        <v>#NAME?</v>
      </c>
      <c r="K509" t="e">
        <f ca="1">BDP("043257BV Muni","SELF_REPRTD_GREEN_INSTR_INDCTR")</f>
        <v>#NAME?</v>
      </c>
      <c r="L509" t="e">
        <f ca="1">BDP("043257BV Muni","GB_MANAGEMENT_PROCEEDS")</f>
        <v>#NAME?</v>
      </c>
      <c r="M509" t="e">
        <f ca="1">BDP("043257BV Muni","GB_REPORTING")</f>
        <v>#NAME?</v>
      </c>
      <c r="N509" t="e">
        <f ca="1">BDP("043257BV Muni","GB_ASSURANCE_PROVIDERS")</f>
        <v>#NAME?</v>
      </c>
      <c r="O509" t="e">
        <f ca="1">BDP("043257BV Muni","GB_PROJECT_SELECTION_PROCESS")</f>
        <v>#NAME?</v>
      </c>
      <c r="P509" t="e">
        <f ca="1">BDP("043257BV Muni","ESG_FRAMEWORK_INDICATOR")</f>
        <v>#NAME?</v>
      </c>
      <c r="Q509" t="e">
        <f ca="1">BDP("043257BV Muni","BLOOMBERG_SECTOR_CODE")</f>
        <v>#NAME?</v>
      </c>
      <c r="R509" t="e">
        <f ca="1">BDP("043257BV Muni","ISSUER_TYPE")</f>
        <v>#NAME?</v>
      </c>
      <c r="S509" t="e">
        <f ca="1">BDS("043257BV Muni","ESG_PROJECT_CATEGORY", "aggregate=y")</f>
        <v>#NAME?</v>
      </c>
      <c r="T509" t="e">
        <f ca="1">BDS("043257BV Muni","ESG_PROJECT_SUBCATEGORY", "aggregate=y")</f>
        <v>#NAME?</v>
      </c>
    </row>
    <row r="510" spans="1:20" x14ac:dyDescent="0.25">
      <c r="A510" t="e">
        <f ca="1">BDP("043257BW Muni","ID_CUSIP")</f>
        <v>#NAME?</v>
      </c>
      <c r="B510" t="e">
        <f ca="1">BDP("043257BW Muni","STATE_CODE")</f>
        <v>#NAME?</v>
      </c>
      <c r="C510" t="s">
        <v>40</v>
      </c>
      <c r="D510" t="e">
        <f ca="1">BDP("043257BW Muni","YIELD_ON_ISSUE_DATE")</f>
        <v>#NAME?</v>
      </c>
      <c r="E510">
        <v>440000</v>
      </c>
      <c r="F510" t="e">
        <f ca="1">BDP("043257BW Muni","ISSUE_DT")</f>
        <v>#NAME?</v>
      </c>
      <c r="G510" t="e">
        <f ca="1">BDP("043257BW Muni","MATURITY")</f>
        <v>#NAME?</v>
      </c>
      <c r="H510" t="e">
        <f ca="1">BDP("043257BW Muni","MUNI_TAX_PROV")</f>
        <v>#NAME?</v>
      </c>
      <c r="I510" t="e">
        <f ca="1">BDP("043257BW Muni","FINANCING_TYPE")</f>
        <v>#NAME?</v>
      </c>
      <c r="J510" t="e">
        <f ca="1">BDP("043257BW Muni","BICS_LEVEL_2_INDUSTRY_GROUP_NAME")</f>
        <v>#NAME?</v>
      </c>
      <c r="K510" t="e">
        <f ca="1">BDP("043257BW Muni","SELF_REPRTD_GREEN_INSTR_INDCTR")</f>
        <v>#NAME?</v>
      </c>
      <c r="L510" t="e">
        <f ca="1">BDP("043257BW Muni","GB_MANAGEMENT_PROCEEDS")</f>
        <v>#NAME?</v>
      </c>
      <c r="M510" t="e">
        <f ca="1">BDP("043257BW Muni","GB_REPORTING")</f>
        <v>#NAME?</v>
      </c>
      <c r="N510" t="e">
        <f ca="1">BDP("043257BW Muni","GB_ASSURANCE_PROVIDERS")</f>
        <v>#NAME?</v>
      </c>
      <c r="O510" t="e">
        <f ca="1">BDP("043257BW Muni","GB_PROJECT_SELECTION_PROCESS")</f>
        <v>#NAME?</v>
      </c>
      <c r="P510" t="e">
        <f ca="1">BDP("043257BW Muni","ESG_FRAMEWORK_INDICATOR")</f>
        <v>#NAME?</v>
      </c>
      <c r="Q510" t="e">
        <f ca="1">BDP("043257BW Muni","BLOOMBERG_SECTOR_CODE")</f>
        <v>#NAME?</v>
      </c>
      <c r="R510" t="e">
        <f ca="1">BDP("043257BW Muni","ISSUER_TYPE")</f>
        <v>#NAME?</v>
      </c>
      <c r="S510" t="e">
        <f ca="1">BDS("043257BW Muni","ESG_PROJECT_CATEGORY", "aggregate=y")</f>
        <v>#NAME?</v>
      </c>
      <c r="T510" t="e">
        <f ca="1">BDS("043257BW Muni","ESG_PROJECT_SUBCATEGORY", "aggregate=y")</f>
        <v>#NAME?</v>
      </c>
    </row>
    <row r="511" spans="1:20" x14ac:dyDescent="0.25">
      <c r="A511" t="e">
        <f ca="1">BDP("043257BX Muni","ID_CUSIP")</f>
        <v>#NAME?</v>
      </c>
      <c r="B511" t="e">
        <f ca="1">BDP("043257BX Muni","STATE_CODE")</f>
        <v>#NAME?</v>
      </c>
      <c r="C511" t="s">
        <v>40</v>
      </c>
      <c r="D511" t="e">
        <f ca="1">BDP("043257BX Muni","YIELD_ON_ISSUE_DATE")</f>
        <v>#NAME?</v>
      </c>
      <c r="E511">
        <v>460000</v>
      </c>
      <c r="F511" t="e">
        <f ca="1">BDP("043257BX Muni","ISSUE_DT")</f>
        <v>#NAME?</v>
      </c>
      <c r="G511" t="e">
        <f ca="1">BDP("043257BX Muni","MATURITY")</f>
        <v>#NAME?</v>
      </c>
      <c r="H511" t="e">
        <f ca="1">BDP("043257BX Muni","MUNI_TAX_PROV")</f>
        <v>#NAME?</v>
      </c>
      <c r="I511" t="e">
        <f ca="1">BDP("043257BX Muni","FINANCING_TYPE")</f>
        <v>#NAME?</v>
      </c>
      <c r="J511" t="e">
        <f ca="1">BDP("043257BX Muni","BICS_LEVEL_2_INDUSTRY_GROUP_NAME")</f>
        <v>#NAME?</v>
      </c>
      <c r="K511" t="e">
        <f ca="1">BDP("043257BX Muni","SELF_REPRTD_GREEN_INSTR_INDCTR")</f>
        <v>#NAME?</v>
      </c>
      <c r="L511" t="e">
        <f ca="1">BDP("043257BX Muni","GB_MANAGEMENT_PROCEEDS")</f>
        <v>#NAME?</v>
      </c>
      <c r="M511" t="e">
        <f ca="1">BDP("043257BX Muni","GB_REPORTING")</f>
        <v>#NAME?</v>
      </c>
      <c r="N511" t="e">
        <f ca="1">BDP("043257BX Muni","GB_ASSURANCE_PROVIDERS")</f>
        <v>#NAME?</v>
      </c>
      <c r="O511" t="e">
        <f ca="1">BDP("043257BX Muni","GB_PROJECT_SELECTION_PROCESS")</f>
        <v>#NAME?</v>
      </c>
      <c r="P511" t="e">
        <f ca="1">BDP("043257BX Muni","ESG_FRAMEWORK_INDICATOR")</f>
        <v>#NAME?</v>
      </c>
      <c r="Q511" t="e">
        <f ca="1">BDP("043257BX Muni","BLOOMBERG_SECTOR_CODE")</f>
        <v>#NAME?</v>
      </c>
      <c r="R511" t="e">
        <f ca="1">BDP("043257BX Muni","ISSUER_TYPE")</f>
        <v>#NAME?</v>
      </c>
      <c r="S511" t="e">
        <f ca="1">BDS("043257BX Muni","ESG_PROJECT_CATEGORY", "aggregate=y")</f>
        <v>#NAME?</v>
      </c>
      <c r="T511" t="e">
        <f ca="1">BDS("043257BX Muni","ESG_PROJECT_SUBCATEGORY", "aggregate=y")</f>
        <v>#NAME?</v>
      </c>
    </row>
    <row r="512" spans="1:20" x14ac:dyDescent="0.25">
      <c r="A512" t="e">
        <f ca="1">BDP("043257BZ Muni","ID_CUSIP")</f>
        <v>#NAME?</v>
      </c>
      <c r="B512" t="e">
        <f ca="1">BDP("043257BZ Muni","STATE_CODE")</f>
        <v>#NAME?</v>
      </c>
      <c r="C512" t="s">
        <v>40</v>
      </c>
      <c r="D512" t="e">
        <f ca="1">BDP("043257BZ Muni","YIELD_ON_ISSUE_DATE")</f>
        <v>#NAME?</v>
      </c>
      <c r="E512">
        <v>505000</v>
      </c>
      <c r="F512" t="e">
        <f ca="1">BDP("043257BZ Muni","ISSUE_DT")</f>
        <v>#NAME?</v>
      </c>
      <c r="G512" t="e">
        <f ca="1">BDP("043257BZ Muni","MATURITY")</f>
        <v>#NAME?</v>
      </c>
      <c r="H512" t="e">
        <f ca="1">BDP("043257BZ Muni","MUNI_TAX_PROV")</f>
        <v>#NAME?</v>
      </c>
      <c r="I512" t="e">
        <f ca="1">BDP("043257BZ Muni","FINANCING_TYPE")</f>
        <v>#NAME?</v>
      </c>
      <c r="J512" t="e">
        <f ca="1">BDP("043257BZ Muni","BICS_LEVEL_2_INDUSTRY_GROUP_NAME")</f>
        <v>#NAME?</v>
      </c>
      <c r="K512" t="e">
        <f ca="1">BDP("043257BZ Muni","SELF_REPRTD_GREEN_INSTR_INDCTR")</f>
        <v>#NAME?</v>
      </c>
      <c r="L512" t="e">
        <f ca="1">BDP("043257BZ Muni","GB_MANAGEMENT_PROCEEDS")</f>
        <v>#NAME?</v>
      </c>
      <c r="M512" t="e">
        <f ca="1">BDP("043257BZ Muni","GB_REPORTING")</f>
        <v>#NAME?</v>
      </c>
      <c r="N512" t="e">
        <f ca="1">BDP("043257BZ Muni","GB_ASSURANCE_PROVIDERS")</f>
        <v>#NAME?</v>
      </c>
      <c r="O512" t="e">
        <f ca="1">BDP("043257BZ Muni","GB_PROJECT_SELECTION_PROCESS")</f>
        <v>#NAME?</v>
      </c>
      <c r="P512" t="e">
        <f ca="1">BDP("043257BZ Muni","ESG_FRAMEWORK_INDICATOR")</f>
        <v>#NAME?</v>
      </c>
      <c r="Q512" t="e">
        <f ca="1">BDP("043257BZ Muni","BLOOMBERG_SECTOR_CODE")</f>
        <v>#NAME?</v>
      </c>
      <c r="R512" t="e">
        <f ca="1">BDP("043257BZ Muni","ISSUER_TYPE")</f>
        <v>#NAME?</v>
      </c>
      <c r="S512" t="e">
        <f ca="1">BDS("043257BZ Muni","ESG_PROJECT_CATEGORY", "aggregate=y")</f>
        <v>#NAME?</v>
      </c>
      <c r="T512" t="e">
        <f ca="1">BDS("043257BZ Muni","ESG_PROJECT_SUBCATEGORY", "aggregate=y")</f>
        <v>#NAME?</v>
      </c>
    </row>
    <row r="513" spans="1:20" x14ac:dyDescent="0.25">
      <c r="A513" t="e">
        <f ca="1">BDP("043257CA Muni","ID_CUSIP")</f>
        <v>#NAME?</v>
      </c>
      <c r="B513" t="e">
        <f ca="1">BDP("043257CA Muni","STATE_CODE")</f>
        <v>#NAME?</v>
      </c>
      <c r="C513" t="s">
        <v>40</v>
      </c>
      <c r="D513" t="e">
        <f ca="1">BDP("043257CA Muni","YIELD_ON_ISSUE_DATE")</f>
        <v>#NAME?</v>
      </c>
      <c r="E513">
        <v>530000</v>
      </c>
      <c r="F513" t="e">
        <f ca="1">BDP("043257CA Muni","ISSUE_DT")</f>
        <v>#NAME?</v>
      </c>
      <c r="G513" t="e">
        <f ca="1">BDP("043257CA Muni","MATURITY")</f>
        <v>#NAME?</v>
      </c>
      <c r="H513" t="e">
        <f ca="1">BDP("043257CA Muni","MUNI_TAX_PROV")</f>
        <v>#NAME?</v>
      </c>
      <c r="I513" t="e">
        <f ca="1">BDP("043257CA Muni","FINANCING_TYPE")</f>
        <v>#NAME?</v>
      </c>
      <c r="J513" t="e">
        <f ca="1">BDP("043257CA Muni","BICS_LEVEL_2_INDUSTRY_GROUP_NAME")</f>
        <v>#NAME?</v>
      </c>
      <c r="K513" t="e">
        <f ca="1">BDP("043257CA Muni","SELF_REPRTD_GREEN_INSTR_INDCTR")</f>
        <v>#NAME?</v>
      </c>
      <c r="L513" t="e">
        <f ca="1">BDP("043257CA Muni","GB_MANAGEMENT_PROCEEDS")</f>
        <v>#NAME?</v>
      </c>
      <c r="M513" t="e">
        <f ca="1">BDP("043257CA Muni","GB_REPORTING")</f>
        <v>#NAME?</v>
      </c>
      <c r="N513" t="e">
        <f ca="1">BDP("043257CA Muni","GB_ASSURANCE_PROVIDERS")</f>
        <v>#NAME?</v>
      </c>
      <c r="O513" t="e">
        <f ca="1">BDP("043257CA Muni","GB_PROJECT_SELECTION_PROCESS")</f>
        <v>#NAME?</v>
      </c>
      <c r="P513" t="e">
        <f ca="1">BDP("043257CA Muni","ESG_FRAMEWORK_INDICATOR")</f>
        <v>#NAME?</v>
      </c>
      <c r="Q513" t="e">
        <f ca="1">BDP("043257CA Muni","BLOOMBERG_SECTOR_CODE")</f>
        <v>#NAME?</v>
      </c>
      <c r="R513" t="e">
        <f ca="1">BDP("043257CA Muni","ISSUER_TYPE")</f>
        <v>#NAME?</v>
      </c>
      <c r="S513" t="e">
        <f ca="1">BDS("043257CA Muni","ESG_PROJECT_CATEGORY", "aggregate=y")</f>
        <v>#NAME?</v>
      </c>
      <c r="T513" t="e">
        <f ca="1">BDS("043257CA Muni","ESG_PROJECT_SUBCATEGORY", "aggregate=y")</f>
        <v>#NAME?</v>
      </c>
    </row>
    <row r="514" spans="1:20" x14ac:dyDescent="0.25">
      <c r="A514" t="e">
        <f ca="1">BDP("043260BW Muni","ID_CUSIP")</f>
        <v>#NAME?</v>
      </c>
      <c r="B514" t="e">
        <f ca="1">BDP("043260BW Muni","STATE_CODE")</f>
        <v>#NAME?</v>
      </c>
      <c r="C514" t="s">
        <v>41</v>
      </c>
      <c r="D514" t="e">
        <f ca="1">BDP("043260BW Muni","YIELD_ON_ISSUE_DATE")</f>
        <v>#NAME?</v>
      </c>
      <c r="E514">
        <v>530000</v>
      </c>
      <c r="F514" t="e">
        <f ca="1">BDP("043260BW Muni","ISSUE_DT")</f>
        <v>#NAME?</v>
      </c>
      <c r="G514" t="e">
        <f ca="1">BDP("043260BW Muni","MATURITY")</f>
        <v>#NAME?</v>
      </c>
      <c r="H514" t="e">
        <f ca="1">BDP("043260BW Muni","MUNI_TAX_PROV")</f>
        <v>#NAME?</v>
      </c>
      <c r="I514" t="e">
        <f ca="1">BDP("043260BW Muni","FINANCING_TYPE")</f>
        <v>#NAME?</v>
      </c>
      <c r="J514" t="e">
        <f ca="1">BDP("043260BW Muni","BICS_LEVEL_2_INDUSTRY_GROUP_NAME")</f>
        <v>#NAME?</v>
      </c>
      <c r="K514" t="e">
        <f ca="1">BDP("043260BW Muni","SELF_REPRTD_GREEN_INSTR_INDCTR")</f>
        <v>#NAME?</v>
      </c>
      <c r="L514" t="e">
        <f ca="1">BDP("043260BW Muni","GB_MANAGEMENT_PROCEEDS")</f>
        <v>#NAME?</v>
      </c>
      <c r="M514" t="e">
        <f ca="1">BDP("043260BW Muni","GB_REPORTING")</f>
        <v>#NAME?</v>
      </c>
      <c r="N514" t="e">
        <f ca="1">BDP("043260BW Muni","GB_ASSURANCE_PROVIDERS")</f>
        <v>#NAME?</v>
      </c>
      <c r="O514" t="e">
        <f ca="1">BDP("043260BW Muni","GB_PROJECT_SELECTION_PROCESS")</f>
        <v>#NAME?</v>
      </c>
      <c r="P514" t="e">
        <f ca="1">BDP("043260BW Muni","ESG_FRAMEWORK_INDICATOR")</f>
        <v>#NAME?</v>
      </c>
      <c r="Q514" t="e">
        <f ca="1">BDP("043260BW Muni","BLOOMBERG_SECTOR_CODE")</f>
        <v>#NAME?</v>
      </c>
      <c r="R514" t="e">
        <f ca="1">BDP("043260BW Muni","ISSUER_TYPE")</f>
        <v>#NAME?</v>
      </c>
      <c r="S514" t="e">
        <f ca="1">BDS("043260BW Muni","ESG_PROJECT_CATEGORY", "aggregate=y")</f>
        <v>#NAME?</v>
      </c>
      <c r="T514" t="e">
        <f ca="1">BDS("043260BW Muni","ESG_PROJECT_SUBCATEGORY", "aggregate=y")</f>
        <v>#NAME?</v>
      </c>
    </row>
    <row r="515" spans="1:20" x14ac:dyDescent="0.25">
      <c r="A515" t="e">
        <f ca="1">BDP("043260BX Muni","ID_CUSIP")</f>
        <v>#NAME?</v>
      </c>
      <c r="B515" t="e">
        <f ca="1">BDP("043260BX Muni","STATE_CODE")</f>
        <v>#NAME?</v>
      </c>
      <c r="C515" t="s">
        <v>41</v>
      </c>
      <c r="D515" t="e">
        <f ca="1">BDP("043260BX Muni","YIELD_ON_ISSUE_DATE")</f>
        <v>#NAME?</v>
      </c>
      <c r="E515">
        <v>1365000</v>
      </c>
      <c r="F515" t="e">
        <f ca="1">BDP("043260BX Muni","ISSUE_DT")</f>
        <v>#NAME?</v>
      </c>
      <c r="G515" t="e">
        <f ca="1">BDP("043260BX Muni","MATURITY")</f>
        <v>#NAME?</v>
      </c>
      <c r="H515" t="e">
        <f ca="1">BDP("043260BX Muni","MUNI_TAX_PROV")</f>
        <v>#NAME?</v>
      </c>
      <c r="I515" t="e">
        <f ca="1">BDP("043260BX Muni","FINANCING_TYPE")</f>
        <v>#NAME?</v>
      </c>
      <c r="J515" t="e">
        <f ca="1">BDP("043260BX Muni","BICS_LEVEL_2_INDUSTRY_GROUP_NAME")</f>
        <v>#NAME?</v>
      </c>
      <c r="K515" t="e">
        <f ca="1">BDP("043260BX Muni","SELF_REPRTD_GREEN_INSTR_INDCTR")</f>
        <v>#NAME?</v>
      </c>
      <c r="L515" t="e">
        <f ca="1">BDP("043260BX Muni","GB_MANAGEMENT_PROCEEDS")</f>
        <v>#NAME?</v>
      </c>
      <c r="M515" t="e">
        <f ca="1">BDP("043260BX Muni","GB_REPORTING")</f>
        <v>#NAME?</v>
      </c>
      <c r="N515" t="e">
        <f ca="1">BDP("043260BX Muni","GB_ASSURANCE_PROVIDERS")</f>
        <v>#NAME?</v>
      </c>
      <c r="O515" t="e">
        <f ca="1">BDP("043260BX Muni","GB_PROJECT_SELECTION_PROCESS")</f>
        <v>#NAME?</v>
      </c>
      <c r="P515" t="e">
        <f ca="1">BDP("043260BX Muni","ESG_FRAMEWORK_INDICATOR")</f>
        <v>#NAME?</v>
      </c>
      <c r="Q515" t="e">
        <f ca="1">BDP("043260BX Muni","BLOOMBERG_SECTOR_CODE")</f>
        <v>#NAME?</v>
      </c>
      <c r="R515" t="e">
        <f ca="1">BDP("043260BX Muni","ISSUER_TYPE")</f>
        <v>#NAME?</v>
      </c>
      <c r="S515" t="e">
        <f ca="1">BDS("043260BX Muni","ESG_PROJECT_CATEGORY", "aggregate=y")</f>
        <v>#NAME?</v>
      </c>
      <c r="T515" t="e">
        <f ca="1">BDS("043260BX Muni","ESG_PROJECT_SUBCATEGORY", "aggregate=y")</f>
        <v>#NAME?</v>
      </c>
    </row>
    <row r="516" spans="1:20" x14ac:dyDescent="0.25">
      <c r="A516" t="e">
        <f ca="1">BDP("043260BY Muni","ID_CUSIP")</f>
        <v>#NAME?</v>
      </c>
      <c r="B516" t="e">
        <f ca="1">BDP("043260BY Muni","STATE_CODE")</f>
        <v>#NAME?</v>
      </c>
      <c r="C516" t="s">
        <v>41</v>
      </c>
      <c r="D516" t="e">
        <f ca="1">BDP("043260BY Muni","YIELD_ON_ISSUE_DATE")</f>
        <v>#NAME?</v>
      </c>
      <c r="E516">
        <v>1435000</v>
      </c>
      <c r="F516" t="e">
        <f ca="1">BDP("043260BY Muni","ISSUE_DT")</f>
        <v>#NAME?</v>
      </c>
      <c r="G516" t="e">
        <f ca="1">BDP("043260BY Muni","MATURITY")</f>
        <v>#NAME?</v>
      </c>
      <c r="H516" t="e">
        <f ca="1">BDP("043260BY Muni","MUNI_TAX_PROV")</f>
        <v>#NAME?</v>
      </c>
      <c r="I516" t="e">
        <f ca="1">BDP("043260BY Muni","FINANCING_TYPE")</f>
        <v>#NAME?</v>
      </c>
      <c r="J516" t="e">
        <f ca="1">BDP("043260BY Muni","BICS_LEVEL_2_INDUSTRY_GROUP_NAME")</f>
        <v>#NAME?</v>
      </c>
      <c r="K516" t="e">
        <f ca="1">BDP("043260BY Muni","SELF_REPRTD_GREEN_INSTR_INDCTR")</f>
        <v>#NAME?</v>
      </c>
      <c r="L516" t="e">
        <f ca="1">BDP("043260BY Muni","GB_MANAGEMENT_PROCEEDS")</f>
        <v>#NAME?</v>
      </c>
      <c r="M516" t="e">
        <f ca="1">BDP("043260BY Muni","GB_REPORTING")</f>
        <v>#NAME?</v>
      </c>
      <c r="N516" t="e">
        <f ca="1">BDP("043260BY Muni","GB_ASSURANCE_PROVIDERS")</f>
        <v>#NAME?</v>
      </c>
      <c r="O516" t="e">
        <f ca="1">BDP("043260BY Muni","GB_PROJECT_SELECTION_PROCESS")</f>
        <v>#NAME?</v>
      </c>
      <c r="P516" t="e">
        <f ca="1">BDP("043260BY Muni","ESG_FRAMEWORK_INDICATOR")</f>
        <v>#NAME?</v>
      </c>
      <c r="Q516" t="e">
        <f ca="1">BDP("043260BY Muni","BLOOMBERG_SECTOR_CODE")</f>
        <v>#NAME?</v>
      </c>
      <c r="R516" t="e">
        <f ca="1">BDP("043260BY Muni","ISSUER_TYPE")</f>
        <v>#NAME?</v>
      </c>
      <c r="S516" t="e">
        <f ca="1">BDS("043260BY Muni","ESG_PROJECT_CATEGORY", "aggregate=y")</f>
        <v>#NAME?</v>
      </c>
      <c r="T516" t="e">
        <f ca="1">BDS("043260BY Muni","ESG_PROJECT_SUBCATEGORY", "aggregate=y")</f>
        <v>#NAME?</v>
      </c>
    </row>
    <row r="517" spans="1:20" x14ac:dyDescent="0.25">
      <c r="A517" t="e">
        <f ca="1">BDP("043260BZ Muni","ID_CUSIP")</f>
        <v>#NAME?</v>
      </c>
      <c r="B517" t="e">
        <f ca="1">BDP("043260BZ Muni","STATE_CODE")</f>
        <v>#NAME?</v>
      </c>
      <c r="C517" t="s">
        <v>41</v>
      </c>
      <c r="D517" t="e">
        <f ca="1">BDP("043260BZ Muni","YIELD_ON_ISSUE_DATE")</f>
        <v>#NAME?</v>
      </c>
      <c r="E517">
        <v>1505000</v>
      </c>
      <c r="F517" t="e">
        <f ca="1">BDP("043260BZ Muni","ISSUE_DT")</f>
        <v>#NAME?</v>
      </c>
      <c r="G517" t="e">
        <f ca="1">BDP("043260BZ Muni","MATURITY")</f>
        <v>#NAME?</v>
      </c>
      <c r="H517" t="e">
        <f ca="1">BDP("043260BZ Muni","MUNI_TAX_PROV")</f>
        <v>#NAME?</v>
      </c>
      <c r="I517" t="e">
        <f ca="1">BDP("043260BZ Muni","FINANCING_TYPE")</f>
        <v>#NAME?</v>
      </c>
      <c r="J517" t="e">
        <f ca="1">BDP("043260BZ Muni","BICS_LEVEL_2_INDUSTRY_GROUP_NAME")</f>
        <v>#NAME?</v>
      </c>
      <c r="K517" t="e">
        <f ca="1">BDP("043260BZ Muni","SELF_REPRTD_GREEN_INSTR_INDCTR")</f>
        <v>#NAME?</v>
      </c>
      <c r="L517" t="e">
        <f ca="1">BDP("043260BZ Muni","GB_MANAGEMENT_PROCEEDS")</f>
        <v>#NAME?</v>
      </c>
      <c r="M517" t="e">
        <f ca="1">BDP("043260BZ Muni","GB_REPORTING")</f>
        <v>#NAME?</v>
      </c>
      <c r="N517" t="e">
        <f ca="1">BDP("043260BZ Muni","GB_ASSURANCE_PROVIDERS")</f>
        <v>#NAME?</v>
      </c>
      <c r="O517" t="e">
        <f ca="1">BDP("043260BZ Muni","GB_PROJECT_SELECTION_PROCESS")</f>
        <v>#NAME?</v>
      </c>
      <c r="P517" t="e">
        <f ca="1">BDP("043260BZ Muni","ESG_FRAMEWORK_INDICATOR")</f>
        <v>#NAME?</v>
      </c>
      <c r="Q517" t="e">
        <f ca="1">BDP("043260BZ Muni","BLOOMBERG_SECTOR_CODE")</f>
        <v>#NAME?</v>
      </c>
      <c r="R517" t="e">
        <f ca="1">BDP("043260BZ Muni","ISSUER_TYPE")</f>
        <v>#NAME?</v>
      </c>
      <c r="S517" t="e">
        <f ca="1">BDS("043260BZ Muni","ESG_PROJECT_CATEGORY", "aggregate=y")</f>
        <v>#NAME?</v>
      </c>
      <c r="T517" t="e">
        <f ca="1">BDS("043260BZ Muni","ESG_PROJECT_SUBCATEGORY", "aggregate=y")</f>
        <v>#NAME?</v>
      </c>
    </row>
    <row r="518" spans="1:20" x14ac:dyDescent="0.25">
      <c r="A518" t="e">
        <f ca="1">BDP("043260CA Muni","ID_CUSIP")</f>
        <v>#NAME?</v>
      </c>
      <c r="B518" t="e">
        <f ca="1">BDP("043260CA Muni","STATE_CODE")</f>
        <v>#NAME?</v>
      </c>
      <c r="C518" t="s">
        <v>41</v>
      </c>
      <c r="D518" t="e">
        <f ca="1">BDP("043260CA Muni","YIELD_ON_ISSUE_DATE")</f>
        <v>#NAME?</v>
      </c>
      <c r="E518">
        <v>1580000</v>
      </c>
      <c r="F518" t="e">
        <f ca="1">BDP("043260CA Muni","ISSUE_DT")</f>
        <v>#NAME?</v>
      </c>
      <c r="G518" t="e">
        <f ca="1">BDP("043260CA Muni","MATURITY")</f>
        <v>#NAME?</v>
      </c>
      <c r="H518" t="e">
        <f ca="1">BDP("043260CA Muni","MUNI_TAX_PROV")</f>
        <v>#NAME?</v>
      </c>
      <c r="I518" t="e">
        <f ca="1">BDP("043260CA Muni","FINANCING_TYPE")</f>
        <v>#NAME?</v>
      </c>
      <c r="J518" t="e">
        <f ca="1">BDP("043260CA Muni","BICS_LEVEL_2_INDUSTRY_GROUP_NAME")</f>
        <v>#NAME?</v>
      </c>
      <c r="K518" t="e">
        <f ca="1">BDP("043260CA Muni","SELF_REPRTD_GREEN_INSTR_INDCTR")</f>
        <v>#NAME?</v>
      </c>
      <c r="L518" t="e">
        <f ca="1">BDP("043260CA Muni","GB_MANAGEMENT_PROCEEDS")</f>
        <v>#NAME?</v>
      </c>
      <c r="M518" t="e">
        <f ca="1">BDP("043260CA Muni","GB_REPORTING")</f>
        <v>#NAME?</v>
      </c>
      <c r="N518" t="e">
        <f ca="1">BDP("043260CA Muni","GB_ASSURANCE_PROVIDERS")</f>
        <v>#NAME?</v>
      </c>
      <c r="O518" t="e">
        <f ca="1">BDP("043260CA Muni","GB_PROJECT_SELECTION_PROCESS")</f>
        <v>#NAME?</v>
      </c>
      <c r="P518" t="e">
        <f ca="1">BDP("043260CA Muni","ESG_FRAMEWORK_INDICATOR")</f>
        <v>#NAME?</v>
      </c>
      <c r="Q518" t="e">
        <f ca="1">BDP("043260CA Muni","BLOOMBERG_SECTOR_CODE")</f>
        <v>#NAME?</v>
      </c>
      <c r="R518" t="e">
        <f ca="1">BDP("043260CA Muni","ISSUER_TYPE")</f>
        <v>#NAME?</v>
      </c>
      <c r="S518" t="e">
        <f ca="1">BDS("043260CA Muni","ESG_PROJECT_CATEGORY", "aggregate=y")</f>
        <v>#NAME?</v>
      </c>
      <c r="T518" t="e">
        <f ca="1">BDS("043260CA Muni","ESG_PROJECT_SUBCATEGORY", "aggregate=y")</f>
        <v>#NAME?</v>
      </c>
    </row>
    <row r="519" spans="1:20" x14ac:dyDescent="0.25">
      <c r="A519" t="e">
        <f ca="1">BDP("043260CB Muni","ID_CUSIP")</f>
        <v>#NAME?</v>
      </c>
      <c r="B519" t="e">
        <f ca="1">BDP("043260CB Muni","STATE_CODE")</f>
        <v>#NAME?</v>
      </c>
      <c r="C519" t="s">
        <v>41</v>
      </c>
      <c r="D519" t="e">
        <f ca="1">BDP("043260CB Muni","YIELD_ON_ISSUE_DATE")</f>
        <v>#NAME?</v>
      </c>
      <c r="E519">
        <v>1660000</v>
      </c>
      <c r="F519" t="e">
        <f ca="1">BDP("043260CB Muni","ISSUE_DT")</f>
        <v>#NAME?</v>
      </c>
      <c r="G519" t="e">
        <f ca="1">BDP("043260CB Muni","MATURITY")</f>
        <v>#NAME?</v>
      </c>
      <c r="H519" t="e">
        <f ca="1">BDP("043260CB Muni","MUNI_TAX_PROV")</f>
        <v>#NAME?</v>
      </c>
      <c r="I519" t="e">
        <f ca="1">BDP("043260CB Muni","FINANCING_TYPE")</f>
        <v>#NAME?</v>
      </c>
      <c r="J519" t="e">
        <f ca="1">BDP("043260CB Muni","BICS_LEVEL_2_INDUSTRY_GROUP_NAME")</f>
        <v>#NAME?</v>
      </c>
      <c r="K519" t="e">
        <f ca="1">BDP("043260CB Muni","SELF_REPRTD_GREEN_INSTR_INDCTR")</f>
        <v>#NAME?</v>
      </c>
      <c r="L519" t="e">
        <f ca="1">BDP("043260CB Muni","GB_MANAGEMENT_PROCEEDS")</f>
        <v>#NAME?</v>
      </c>
      <c r="M519" t="e">
        <f ca="1">BDP("043260CB Muni","GB_REPORTING")</f>
        <v>#NAME?</v>
      </c>
      <c r="N519" t="e">
        <f ca="1">BDP("043260CB Muni","GB_ASSURANCE_PROVIDERS")</f>
        <v>#NAME?</v>
      </c>
      <c r="O519" t="e">
        <f ca="1">BDP("043260CB Muni","GB_PROJECT_SELECTION_PROCESS")</f>
        <v>#NAME?</v>
      </c>
      <c r="P519" t="e">
        <f ca="1">BDP("043260CB Muni","ESG_FRAMEWORK_INDICATOR")</f>
        <v>#NAME?</v>
      </c>
      <c r="Q519" t="e">
        <f ca="1">BDP("043260CB Muni","BLOOMBERG_SECTOR_CODE")</f>
        <v>#NAME?</v>
      </c>
      <c r="R519" t="e">
        <f ca="1">BDP("043260CB Muni","ISSUER_TYPE")</f>
        <v>#NAME?</v>
      </c>
      <c r="S519" t="e">
        <f ca="1">BDS("043260CB Muni","ESG_PROJECT_CATEGORY", "aggregate=y")</f>
        <v>#NAME?</v>
      </c>
      <c r="T519" t="e">
        <f ca="1">BDS("043260CB Muni","ESG_PROJECT_SUBCATEGORY", "aggregate=y")</f>
        <v>#NAME?</v>
      </c>
    </row>
    <row r="520" spans="1:20" x14ac:dyDescent="0.25">
      <c r="A520" t="e">
        <f ca="1">BDP("043260CC Muni","ID_CUSIP")</f>
        <v>#NAME?</v>
      </c>
      <c r="B520" t="e">
        <f ca="1">BDP("043260CC Muni","STATE_CODE")</f>
        <v>#NAME?</v>
      </c>
      <c r="C520" t="s">
        <v>41</v>
      </c>
      <c r="D520" t="e">
        <f ca="1">BDP("043260CC Muni","YIELD_ON_ISSUE_DATE")</f>
        <v>#NAME?</v>
      </c>
      <c r="E520">
        <v>1745000</v>
      </c>
      <c r="F520" t="e">
        <f ca="1">BDP("043260CC Muni","ISSUE_DT")</f>
        <v>#NAME?</v>
      </c>
      <c r="G520" t="e">
        <f ca="1">BDP("043260CC Muni","MATURITY")</f>
        <v>#NAME?</v>
      </c>
      <c r="H520" t="e">
        <f ca="1">BDP("043260CC Muni","MUNI_TAX_PROV")</f>
        <v>#NAME?</v>
      </c>
      <c r="I520" t="e">
        <f ca="1">BDP("043260CC Muni","FINANCING_TYPE")</f>
        <v>#NAME?</v>
      </c>
      <c r="J520" t="e">
        <f ca="1">BDP("043260CC Muni","BICS_LEVEL_2_INDUSTRY_GROUP_NAME")</f>
        <v>#NAME?</v>
      </c>
      <c r="K520" t="e">
        <f ca="1">BDP("043260CC Muni","SELF_REPRTD_GREEN_INSTR_INDCTR")</f>
        <v>#NAME?</v>
      </c>
      <c r="L520" t="e">
        <f ca="1">BDP("043260CC Muni","GB_MANAGEMENT_PROCEEDS")</f>
        <v>#NAME?</v>
      </c>
      <c r="M520" t="e">
        <f ca="1">BDP("043260CC Muni","GB_REPORTING")</f>
        <v>#NAME?</v>
      </c>
      <c r="N520" t="e">
        <f ca="1">BDP("043260CC Muni","GB_ASSURANCE_PROVIDERS")</f>
        <v>#NAME?</v>
      </c>
      <c r="O520" t="e">
        <f ca="1">BDP("043260CC Muni","GB_PROJECT_SELECTION_PROCESS")</f>
        <v>#NAME?</v>
      </c>
      <c r="P520" t="e">
        <f ca="1">BDP("043260CC Muni","ESG_FRAMEWORK_INDICATOR")</f>
        <v>#NAME?</v>
      </c>
      <c r="Q520" t="e">
        <f ca="1">BDP("043260CC Muni","BLOOMBERG_SECTOR_CODE")</f>
        <v>#NAME?</v>
      </c>
      <c r="R520" t="e">
        <f ca="1">BDP("043260CC Muni","ISSUER_TYPE")</f>
        <v>#NAME?</v>
      </c>
      <c r="S520" t="e">
        <f ca="1">BDS("043260CC Muni","ESG_PROJECT_CATEGORY", "aggregate=y")</f>
        <v>#NAME?</v>
      </c>
      <c r="T520" t="e">
        <f ca="1">BDS("043260CC Muni","ESG_PROJECT_SUBCATEGORY", "aggregate=y")</f>
        <v>#NAME?</v>
      </c>
    </row>
    <row r="521" spans="1:20" x14ac:dyDescent="0.25">
      <c r="A521" t="e">
        <f ca="1">BDP("043260CE Muni","ID_CUSIP")</f>
        <v>#NAME?</v>
      </c>
      <c r="B521" t="e">
        <f ca="1">BDP("043260CE Muni","STATE_CODE")</f>
        <v>#NAME?</v>
      </c>
      <c r="C521" t="s">
        <v>41</v>
      </c>
      <c r="D521" t="e">
        <f ca="1">BDP("043260CE Muni","YIELD_ON_ISSUE_DATE")</f>
        <v>#NAME?</v>
      </c>
      <c r="E521">
        <v>1925000</v>
      </c>
      <c r="F521" t="e">
        <f ca="1">BDP("043260CE Muni","ISSUE_DT")</f>
        <v>#NAME?</v>
      </c>
      <c r="G521" t="e">
        <f ca="1">BDP("043260CE Muni","MATURITY")</f>
        <v>#NAME?</v>
      </c>
      <c r="H521" t="e">
        <f ca="1">BDP("043260CE Muni","MUNI_TAX_PROV")</f>
        <v>#NAME?</v>
      </c>
      <c r="I521" t="e">
        <f ca="1">BDP("043260CE Muni","FINANCING_TYPE")</f>
        <v>#NAME?</v>
      </c>
      <c r="J521" t="e">
        <f ca="1">BDP("043260CE Muni","BICS_LEVEL_2_INDUSTRY_GROUP_NAME")</f>
        <v>#NAME?</v>
      </c>
      <c r="K521" t="e">
        <f ca="1">BDP("043260CE Muni","SELF_REPRTD_GREEN_INSTR_INDCTR")</f>
        <v>#NAME?</v>
      </c>
      <c r="L521" t="e">
        <f ca="1">BDP("043260CE Muni","GB_MANAGEMENT_PROCEEDS")</f>
        <v>#NAME?</v>
      </c>
      <c r="M521" t="e">
        <f ca="1">BDP("043260CE Muni","GB_REPORTING")</f>
        <v>#NAME?</v>
      </c>
      <c r="N521" t="e">
        <f ca="1">BDP("043260CE Muni","GB_ASSURANCE_PROVIDERS")</f>
        <v>#NAME?</v>
      </c>
      <c r="O521" t="e">
        <f ca="1">BDP("043260CE Muni","GB_PROJECT_SELECTION_PROCESS")</f>
        <v>#NAME?</v>
      </c>
      <c r="P521" t="e">
        <f ca="1">BDP("043260CE Muni","ESG_FRAMEWORK_INDICATOR")</f>
        <v>#NAME?</v>
      </c>
      <c r="Q521" t="e">
        <f ca="1">BDP("043260CE Muni","BLOOMBERG_SECTOR_CODE")</f>
        <v>#NAME?</v>
      </c>
      <c r="R521" t="e">
        <f ca="1">BDP("043260CE Muni","ISSUER_TYPE")</f>
        <v>#NAME?</v>
      </c>
      <c r="S521" t="e">
        <f ca="1">BDS("043260CE Muni","ESG_PROJECT_CATEGORY", "aggregate=y")</f>
        <v>#NAME?</v>
      </c>
      <c r="T521" t="e">
        <f ca="1">BDS("043260CE Muni","ESG_PROJECT_SUBCATEGORY", "aggregate=y")</f>
        <v>#NAME?</v>
      </c>
    </row>
    <row r="522" spans="1:20" x14ac:dyDescent="0.25">
      <c r="A522" t="e">
        <f ca="1">BDP("043260CF Muni","ID_CUSIP")</f>
        <v>#NAME?</v>
      </c>
      <c r="B522" t="e">
        <f ca="1">BDP("043260CF Muni","STATE_CODE")</f>
        <v>#NAME?</v>
      </c>
      <c r="C522" t="s">
        <v>41</v>
      </c>
      <c r="D522" t="e">
        <f ca="1">BDP("043260CF Muni","YIELD_ON_ISSUE_DATE")</f>
        <v>#NAME?</v>
      </c>
      <c r="E522">
        <v>2020000</v>
      </c>
      <c r="F522" t="e">
        <f ca="1">BDP("043260CF Muni","ISSUE_DT")</f>
        <v>#NAME?</v>
      </c>
      <c r="G522" t="e">
        <f ca="1">BDP("043260CF Muni","MATURITY")</f>
        <v>#NAME?</v>
      </c>
      <c r="H522" t="e">
        <f ca="1">BDP("043260CF Muni","MUNI_TAX_PROV")</f>
        <v>#NAME?</v>
      </c>
      <c r="I522" t="e">
        <f ca="1">BDP("043260CF Muni","FINANCING_TYPE")</f>
        <v>#NAME?</v>
      </c>
      <c r="J522" t="e">
        <f ca="1">BDP("043260CF Muni","BICS_LEVEL_2_INDUSTRY_GROUP_NAME")</f>
        <v>#NAME?</v>
      </c>
      <c r="K522" t="e">
        <f ca="1">BDP("043260CF Muni","SELF_REPRTD_GREEN_INSTR_INDCTR")</f>
        <v>#NAME?</v>
      </c>
      <c r="L522" t="e">
        <f ca="1">BDP("043260CF Muni","GB_MANAGEMENT_PROCEEDS")</f>
        <v>#NAME?</v>
      </c>
      <c r="M522" t="e">
        <f ca="1">BDP("043260CF Muni","GB_REPORTING")</f>
        <v>#NAME?</v>
      </c>
      <c r="N522" t="e">
        <f ca="1">BDP("043260CF Muni","GB_ASSURANCE_PROVIDERS")</f>
        <v>#NAME?</v>
      </c>
      <c r="O522" t="e">
        <f ca="1">BDP("043260CF Muni","GB_PROJECT_SELECTION_PROCESS")</f>
        <v>#NAME?</v>
      </c>
      <c r="P522" t="e">
        <f ca="1">BDP("043260CF Muni","ESG_FRAMEWORK_INDICATOR")</f>
        <v>#NAME?</v>
      </c>
      <c r="Q522" t="e">
        <f ca="1">BDP("043260CF Muni","BLOOMBERG_SECTOR_CODE")</f>
        <v>#NAME?</v>
      </c>
      <c r="R522" t="e">
        <f ca="1">BDP("043260CF Muni","ISSUER_TYPE")</f>
        <v>#NAME?</v>
      </c>
      <c r="S522" t="e">
        <f ca="1">BDS("043260CF Muni","ESG_PROJECT_CATEGORY", "aggregate=y")</f>
        <v>#NAME?</v>
      </c>
      <c r="T522" t="e">
        <f ca="1">BDS("043260CF Muni","ESG_PROJECT_SUBCATEGORY", "aggregate=y")</f>
        <v>#NAME?</v>
      </c>
    </row>
    <row r="523" spans="1:20" x14ac:dyDescent="0.25">
      <c r="A523" t="e">
        <f ca="1">BDP("043260CH Muni","ID_CUSIP")</f>
        <v>#NAME?</v>
      </c>
      <c r="B523" t="e">
        <f ca="1">BDP("043260CH Muni","STATE_CODE")</f>
        <v>#NAME?</v>
      </c>
      <c r="C523" t="s">
        <v>41</v>
      </c>
      <c r="D523" t="e">
        <f ca="1">BDP("043260CH Muni","YIELD_ON_ISSUE_DATE")</f>
        <v>#NAME?</v>
      </c>
      <c r="E523">
        <v>2225000</v>
      </c>
      <c r="F523" t="e">
        <f ca="1">BDP("043260CH Muni","ISSUE_DT")</f>
        <v>#NAME?</v>
      </c>
      <c r="G523" t="e">
        <f ca="1">BDP("043260CH Muni","MATURITY")</f>
        <v>#NAME?</v>
      </c>
      <c r="H523" t="e">
        <f ca="1">BDP("043260CH Muni","MUNI_TAX_PROV")</f>
        <v>#NAME?</v>
      </c>
      <c r="I523" t="e">
        <f ca="1">BDP("043260CH Muni","FINANCING_TYPE")</f>
        <v>#NAME?</v>
      </c>
      <c r="J523" t="e">
        <f ca="1">BDP("043260CH Muni","BICS_LEVEL_2_INDUSTRY_GROUP_NAME")</f>
        <v>#NAME?</v>
      </c>
      <c r="K523" t="e">
        <f ca="1">BDP("043260CH Muni","SELF_REPRTD_GREEN_INSTR_INDCTR")</f>
        <v>#NAME?</v>
      </c>
      <c r="L523" t="e">
        <f ca="1">BDP("043260CH Muni","GB_MANAGEMENT_PROCEEDS")</f>
        <v>#NAME?</v>
      </c>
      <c r="M523" t="e">
        <f ca="1">BDP("043260CH Muni","GB_REPORTING")</f>
        <v>#NAME?</v>
      </c>
      <c r="N523" t="e">
        <f ca="1">BDP("043260CH Muni","GB_ASSURANCE_PROVIDERS")</f>
        <v>#NAME?</v>
      </c>
      <c r="O523" t="e">
        <f ca="1">BDP("043260CH Muni","GB_PROJECT_SELECTION_PROCESS")</f>
        <v>#NAME?</v>
      </c>
      <c r="P523" t="e">
        <f ca="1">BDP("043260CH Muni","ESG_FRAMEWORK_INDICATOR")</f>
        <v>#NAME?</v>
      </c>
      <c r="Q523" t="e">
        <f ca="1">BDP("043260CH Muni","BLOOMBERG_SECTOR_CODE")</f>
        <v>#NAME?</v>
      </c>
      <c r="R523" t="e">
        <f ca="1">BDP("043260CH Muni","ISSUER_TYPE")</f>
        <v>#NAME?</v>
      </c>
      <c r="S523" t="e">
        <f ca="1">BDS("043260CH Muni","ESG_PROJECT_CATEGORY", "aggregate=y")</f>
        <v>#NAME?</v>
      </c>
      <c r="T523" t="e">
        <f ca="1">BDS("043260CH Muni","ESG_PROJECT_SUBCATEGORY", "aggregate=y")</f>
        <v>#NAME?</v>
      </c>
    </row>
    <row r="524" spans="1:20" x14ac:dyDescent="0.25">
      <c r="A524" t="e">
        <f ca="1">BDP("043260CJ Muni","ID_CUSIP")</f>
        <v>#NAME?</v>
      </c>
      <c r="B524" t="e">
        <f ca="1">BDP("043260CJ Muni","STATE_CODE")</f>
        <v>#NAME?</v>
      </c>
      <c r="C524" t="s">
        <v>41</v>
      </c>
      <c r="D524" t="e">
        <f ca="1">BDP("043260CJ Muni","YIELD_ON_ISSUE_DATE")</f>
        <v>#NAME?</v>
      </c>
      <c r="E524">
        <v>2335000</v>
      </c>
      <c r="F524" t="e">
        <f ca="1">BDP("043260CJ Muni","ISSUE_DT")</f>
        <v>#NAME?</v>
      </c>
      <c r="G524" t="e">
        <f ca="1">BDP("043260CJ Muni","MATURITY")</f>
        <v>#NAME?</v>
      </c>
      <c r="H524" t="e">
        <f ca="1">BDP("043260CJ Muni","MUNI_TAX_PROV")</f>
        <v>#NAME?</v>
      </c>
      <c r="I524" t="e">
        <f ca="1">BDP("043260CJ Muni","FINANCING_TYPE")</f>
        <v>#NAME?</v>
      </c>
      <c r="J524" t="e">
        <f ca="1">BDP("043260CJ Muni","BICS_LEVEL_2_INDUSTRY_GROUP_NAME")</f>
        <v>#NAME?</v>
      </c>
      <c r="K524" t="e">
        <f ca="1">BDP("043260CJ Muni","SELF_REPRTD_GREEN_INSTR_INDCTR")</f>
        <v>#NAME?</v>
      </c>
      <c r="L524" t="e">
        <f ca="1">BDP("043260CJ Muni","GB_MANAGEMENT_PROCEEDS")</f>
        <v>#NAME?</v>
      </c>
      <c r="M524" t="e">
        <f ca="1">BDP("043260CJ Muni","GB_REPORTING")</f>
        <v>#NAME?</v>
      </c>
      <c r="N524" t="e">
        <f ca="1">BDP("043260CJ Muni","GB_ASSURANCE_PROVIDERS")</f>
        <v>#NAME?</v>
      </c>
      <c r="O524" t="e">
        <f ca="1">BDP("043260CJ Muni","GB_PROJECT_SELECTION_PROCESS")</f>
        <v>#NAME?</v>
      </c>
      <c r="P524" t="e">
        <f ca="1">BDP("043260CJ Muni","ESG_FRAMEWORK_INDICATOR")</f>
        <v>#NAME?</v>
      </c>
      <c r="Q524" t="e">
        <f ca="1">BDP("043260CJ Muni","BLOOMBERG_SECTOR_CODE")</f>
        <v>#NAME?</v>
      </c>
      <c r="R524" t="e">
        <f ca="1">BDP("043260CJ Muni","ISSUER_TYPE")</f>
        <v>#NAME?</v>
      </c>
      <c r="S524" t="e">
        <f ca="1">BDS("043260CJ Muni","ESG_PROJECT_CATEGORY", "aggregate=y")</f>
        <v>#NAME?</v>
      </c>
      <c r="T524" t="e">
        <f ca="1">BDS("043260CJ Muni","ESG_PROJECT_SUBCATEGORY", "aggregate=y")</f>
        <v>#NAME?</v>
      </c>
    </row>
    <row r="525" spans="1:20" x14ac:dyDescent="0.25">
      <c r="A525" t="e">
        <f ca="1">BDP("043260CN Muni","ID_CUSIP")</f>
        <v>#NAME?</v>
      </c>
      <c r="B525" t="e">
        <f ca="1">BDP("043260CN Muni","STATE_CODE")</f>
        <v>#NAME?</v>
      </c>
      <c r="C525" t="s">
        <v>41</v>
      </c>
      <c r="D525" t="e">
        <f ca="1">BDP("043260CN Muni","YIELD_ON_ISSUE_DATE")</f>
        <v>#NAME?</v>
      </c>
      <c r="E525">
        <v>2840000</v>
      </c>
      <c r="F525" t="e">
        <f ca="1">BDP("043260CN Muni","ISSUE_DT")</f>
        <v>#NAME?</v>
      </c>
      <c r="G525" t="e">
        <f ca="1">BDP("043260CN Muni","MATURITY")</f>
        <v>#NAME?</v>
      </c>
      <c r="H525" t="e">
        <f ca="1">BDP("043260CN Muni","MUNI_TAX_PROV")</f>
        <v>#NAME?</v>
      </c>
      <c r="I525" t="e">
        <f ca="1">BDP("043260CN Muni","FINANCING_TYPE")</f>
        <v>#NAME?</v>
      </c>
      <c r="J525" t="e">
        <f ca="1">BDP("043260CN Muni","BICS_LEVEL_2_INDUSTRY_GROUP_NAME")</f>
        <v>#NAME?</v>
      </c>
      <c r="K525" t="e">
        <f ca="1">BDP("043260CN Muni","SELF_REPRTD_GREEN_INSTR_INDCTR")</f>
        <v>#NAME?</v>
      </c>
      <c r="L525" t="e">
        <f ca="1">BDP("043260CN Muni","GB_MANAGEMENT_PROCEEDS")</f>
        <v>#NAME?</v>
      </c>
      <c r="M525" t="e">
        <f ca="1">BDP("043260CN Muni","GB_REPORTING")</f>
        <v>#NAME?</v>
      </c>
      <c r="N525" t="e">
        <f ca="1">BDP("043260CN Muni","GB_ASSURANCE_PROVIDERS")</f>
        <v>#NAME?</v>
      </c>
      <c r="O525" t="e">
        <f ca="1">BDP("043260CN Muni","GB_PROJECT_SELECTION_PROCESS")</f>
        <v>#NAME?</v>
      </c>
      <c r="P525" t="e">
        <f ca="1">BDP("043260CN Muni","ESG_FRAMEWORK_INDICATOR")</f>
        <v>#NAME?</v>
      </c>
      <c r="Q525" t="e">
        <f ca="1">BDP("043260CN Muni","BLOOMBERG_SECTOR_CODE")</f>
        <v>#NAME?</v>
      </c>
      <c r="R525" t="e">
        <f ca="1">BDP("043260CN Muni","ISSUER_TYPE")</f>
        <v>#NAME?</v>
      </c>
      <c r="S525" t="e">
        <f ca="1">BDS("043260CN Muni","ESG_PROJECT_CATEGORY", "aggregate=y")</f>
        <v>#NAME?</v>
      </c>
      <c r="T525" t="e">
        <f ca="1">BDS("043260CN Muni","ESG_PROJECT_SUBCATEGORY", "aggregate=y")</f>
        <v>#NAME?</v>
      </c>
    </row>
    <row r="526" spans="1:20" x14ac:dyDescent="0.25">
      <c r="A526" t="e">
        <f ca="1">BDP("043260CP Muni","ID_CUSIP")</f>
        <v>#NAME?</v>
      </c>
      <c r="B526" t="e">
        <f ca="1">BDP("043260CP Muni","STATE_CODE")</f>
        <v>#NAME?</v>
      </c>
      <c r="C526" t="s">
        <v>41</v>
      </c>
      <c r="D526" t="e">
        <f ca="1">BDP("043260CP Muni","YIELD_ON_ISSUE_DATE")</f>
        <v>#NAME?</v>
      </c>
      <c r="E526">
        <v>2985000</v>
      </c>
      <c r="F526" t="e">
        <f ca="1">BDP("043260CP Muni","ISSUE_DT")</f>
        <v>#NAME?</v>
      </c>
      <c r="G526" t="e">
        <f ca="1">BDP("043260CP Muni","MATURITY")</f>
        <v>#NAME?</v>
      </c>
      <c r="H526" t="e">
        <f ca="1">BDP("043260CP Muni","MUNI_TAX_PROV")</f>
        <v>#NAME?</v>
      </c>
      <c r="I526" t="e">
        <f ca="1">BDP("043260CP Muni","FINANCING_TYPE")</f>
        <v>#NAME?</v>
      </c>
      <c r="J526" t="e">
        <f ca="1">BDP("043260CP Muni","BICS_LEVEL_2_INDUSTRY_GROUP_NAME")</f>
        <v>#NAME?</v>
      </c>
      <c r="K526" t="e">
        <f ca="1">BDP("043260CP Muni","SELF_REPRTD_GREEN_INSTR_INDCTR")</f>
        <v>#NAME?</v>
      </c>
      <c r="L526" t="e">
        <f ca="1">BDP("043260CP Muni","GB_MANAGEMENT_PROCEEDS")</f>
        <v>#NAME?</v>
      </c>
      <c r="M526" t="e">
        <f ca="1">BDP("043260CP Muni","GB_REPORTING")</f>
        <v>#NAME?</v>
      </c>
      <c r="N526" t="e">
        <f ca="1">BDP("043260CP Muni","GB_ASSURANCE_PROVIDERS")</f>
        <v>#NAME?</v>
      </c>
      <c r="O526" t="e">
        <f ca="1">BDP("043260CP Muni","GB_PROJECT_SELECTION_PROCESS")</f>
        <v>#NAME?</v>
      </c>
      <c r="P526" t="e">
        <f ca="1">BDP("043260CP Muni","ESG_FRAMEWORK_INDICATOR")</f>
        <v>#NAME?</v>
      </c>
      <c r="Q526" t="e">
        <f ca="1">BDP("043260CP Muni","BLOOMBERG_SECTOR_CODE")</f>
        <v>#NAME?</v>
      </c>
      <c r="R526" t="e">
        <f ca="1">BDP("043260CP Muni","ISSUER_TYPE")</f>
        <v>#NAME?</v>
      </c>
      <c r="S526" t="e">
        <f ca="1">BDS("043260CP Muni","ESG_PROJECT_CATEGORY", "aggregate=y")</f>
        <v>#NAME?</v>
      </c>
      <c r="T526" t="e">
        <f ca="1">BDS("043260CP Muni","ESG_PROJECT_SUBCATEGORY", "aggregate=y")</f>
        <v>#NAME?</v>
      </c>
    </row>
    <row r="527" spans="1:20" x14ac:dyDescent="0.25">
      <c r="A527" t="e">
        <f ca="1">BDP("043260CQ Muni","ID_CUSIP")</f>
        <v>#NAME?</v>
      </c>
      <c r="B527" t="e">
        <f ca="1">BDP("043260CQ Muni","STATE_CODE")</f>
        <v>#NAME?</v>
      </c>
      <c r="C527" t="s">
        <v>41</v>
      </c>
      <c r="D527" t="e">
        <f ca="1">BDP("043260CQ Muni","YIELD_ON_ISSUE_DATE")</f>
        <v>#NAME?</v>
      </c>
      <c r="E527">
        <v>3130000</v>
      </c>
      <c r="F527" t="e">
        <f ca="1">BDP("043260CQ Muni","ISSUE_DT")</f>
        <v>#NAME?</v>
      </c>
      <c r="G527" t="e">
        <f ca="1">BDP("043260CQ Muni","MATURITY")</f>
        <v>#NAME?</v>
      </c>
      <c r="H527" t="e">
        <f ca="1">BDP("043260CQ Muni","MUNI_TAX_PROV")</f>
        <v>#NAME?</v>
      </c>
      <c r="I527" t="e">
        <f ca="1">BDP("043260CQ Muni","FINANCING_TYPE")</f>
        <v>#NAME?</v>
      </c>
      <c r="J527" t="e">
        <f ca="1">BDP("043260CQ Muni","BICS_LEVEL_2_INDUSTRY_GROUP_NAME")</f>
        <v>#NAME?</v>
      </c>
      <c r="K527" t="e">
        <f ca="1">BDP("043260CQ Muni","SELF_REPRTD_GREEN_INSTR_INDCTR")</f>
        <v>#NAME?</v>
      </c>
      <c r="L527" t="e">
        <f ca="1">BDP("043260CQ Muni","GB_MANAGEMENT_PROCEEDS")</f>
        <v>#NAME?</v>
      </c>
      <c r="M527" t="e">
        <f ca="1">BDP("043260CQ Muni","GB_REPORTING")</f>
        <v>#NAME?</v>
      </c>
      <c r="N527" t="e">
        <f ca="1">BDP("043260CQ Muni","GB_ASSURANCE_PROVIDERS")</f>
        <v>#NAME?</v>
      </c>
      <c r="O527" t="e">
        <f ca="1">BDP("043260CQ Muni","GB_PROJECT_SELECTION_PROCESS")</f>
        <v>#NAME?</v>
      </c>
      <c r="P527" t="e">
        <f ca="1">BDP("043260CQ Muni","ESG_FRAMEWORK_INDICATOR")</f>
        <v>#NAME?</v>
      </c>
      <c r="Q527" t="e">
        <f ca="1">BDP("043260CQ Muni","BLOOMBERG_SECTOR_CODE")</f>
        <v>#NAME?</v>
      </c>
      <c r="R527" t="e">
        <f ca="1">BDP("043260CQ Muni","ISSUER_TYPE")</f>
        <v>#NAME?</v>
      </c>
      <c r="S527" t="e">
        <f ca="1">BDS("043260CQ Muni","ESG_PROJECT_CATEGORY", "aggregate=y")</f>
        <v>#NAME?</v>
      </c>
      <c r="T527" t="e">
        <f ca="1">BDS("043260CQ Muni","ESG_PROJECT_SUBCATEGORY", "aggregate=y")</f>
        <v>#NAME?</v>
      </c>
    </row>
    <row r="528" spans="1:20" x14ac:dyDescent="0.25">
      <c r="A528" t="e">
        <f ca="1">BDP("416498GB Muni","ID_CUSIP")</f>
        <v>#NAME?</v>
      </c>
      <c r="B528" t="e">
        <f ca="1">BDP("416498GB Muni","STATE_CODE")</f>
        <v>#NAME?</v>
      </c>
      <c r="C528" t="s">
        <v>43</v>
      </c>
      <c r="D528" t="e">
        <f ca="1">BDP("416498GB Muni","YIELD_ON_ISSUE_DATE")</f>
        <v>#NAME?</v>
      </c>
      <c r="E528">
        <v>2050000</v>
      </c>
      <c r="F528" t="e">
        <f ca="1">BDP("416498GB Muni","ISSUE_DT")</f>
        <v>#NAME?</v>
      </c>
      <c r="G528" t="e">
        <f ca="1">BDP("416498GB Muni","MATURITY")</f>
        <v>#NAME?</v>
      </c>
      <c r="H528" t="e">
        <f ca="1">BDP("416498GB Muni","MUNI_TAX_PROV")</f>
        <v>#NAME?</v>
      </c>
      <c r="I528" t="e">
        <f ca="1">BDP("416498GB Muni","FINANCING_TYPE")</f>
        <v>#NAME?</v>
      </c>
      <c r="J528" t="e">
        <f ca="1">BDP("416498GB Muni","BICS_LEVEL_2_INDUSTRY_GROUP_NAME")</f>
        <v>#NAME?</v>
      </c>
      <c r="K528" t="e">
        <f ca="1">BDP("416498GB Muni","SELF_REPRTD_GREEN_INSTR_INDCTR")</f>
        <v>#NAME?</v>
      </c>
      <c r="L528" t="e">
        <f ca="1">BDP("416498GB Muni","GB_MANAGEMENT_PROCEEDS")</f>
        <v>#NAME?</v>
      </c>
      <c r="M528" t="e">
        <f ca="1">BDP("416498GB Muni","GB_REPORTING")</f>
        <v>#NAME?</v>
      </c>
      <c r="N528" t="e">
        <f ca="1">BDP("416498GB Muni","GB_ASSURANCE_PROVIDERS")</f>
        <v>#NAME?</v>
      </c>
      <c r="O528" t="e">
        <f ca="1">BDP("416498GB Muni","GB_PROJECT_SELECTION_PROCESS")</f>
        <v>#NAME?</v>
      </c>
      <c r="P528" t="e">
        <f ca="1">BDP("416498GB Muni","ESG_FRAMEWORK_INDICATOR")</f>
        <v>#NAME?</v>
      </c>
      <c r="Q528" t="e">
        <f ca="1">BDP("416498GB Muni","BLOOMBERG_SECTOR_CODE")</f>
        <v>#NAME?</v>
      </c>
      <c r="R528" t="e">
        <f ca="1">BDP("416498GB Muni","ISSUER_TYPE")</f>
        <v>#NAME?</v>
      </c>
      <c r="S528" t="e">
        <f ca="1">BDS("416498GB Muni","ESG_PROJECT_CATEGORY", "aggregate=y")</f>
        <v>#NAME?</v>
      </c>
      <c r="T528" t="e">
        <f ca="1">BDS("416498GB Muni","ESG_PROJECT_SUBCATEGORY", "aggregate=y")</f>
        <v>#NAME?</v>
      </c>
    </row>
    <row r="529" spans="1:20" x14ac:dyDescent="0.25">
      <c r="A529" t="e">
        <f ca="1">BDP("207580BD Muni","ID_CUSIP")</f>
        <v>#NAME?</v>
      </c>
      <c r="B529" t="e">
        <f ca="1">BDP("207580BD Muni","STATE_CODE")</f>
        <v>#NAME?</v>
      </c>
      <c r="C529" t="s">
        <v>44</v>
      </c>
      <c r="D529" t="e">
        <f ca="1">BDP("207580BD Muni","YIELD_ON_ISSUE_DATE")</f>
        <v>#NAME?</v>
      </c>
      <c r="E529">
        <v>1285000</v>
      </c>
      <c r="F529" t="e">
        <f ca="1">BDP("207580BD Muni","ISSUE_DT")</f>
        <v>#NAME?</v>
      </c>
      <c r="G529" t="e">
        <f ca="1">BDP("207580BD Muni","MATURITY")</f>
        <v>#NAME?</v>
      </c>
      <c r="H529" t="e">
        <f ca="1">BDP("207580BD Muni","MUNI_TAX_PROV")</f>
        <v>#NAME?</v>
      </c>
      <c r="I529" t="e">
        <f ca="1">BDP("207580BD Muni","FINANCING_TYPE")</f>
        <v>#NAME?</v>
      </c>
      <c r="J529" t="e">
        <f ca="1">BDP("207580BD Muni","BICS_LEVEL_2_INDUSTRY_GROUP_NAME")</f>
        <v>#NAME?</v>
      </c>
      <c r="K529" t="e">
        <f ca="1">BDP("207580BD Muni","SELF_REPRTD_GREEN_INSTR_INDCTR")</f>
        <v>#NAME?</v>
      </c>
      <c r="L529" t="e">
        <f ca="1">BDP("207580BD Muni","GB_MANAGEMENT_PROCEEDS")</f>
        <v>#NAME?</v>
      </c>
      <c r="M529" t="e">
        <f ca="1">BDP("207580BD Muni","GB_REPORTING")</f>
        <v>#NAME?</v>
      </c>
      <c r="N529" t="e">
        <f ca="1">BDP("207580BD Muni","GB_ASSURANCE_PROVIDERS")</f>
        <v>#NAME?</v>
      </c>
      <c r="O529" t="e">
        <f ca="1">BDP("207580BD Muni","GB_PROJECT_SELECTION_PROCESS")</f>
        <v>#NAME?</v>
      </c>
      <c r="P529" t="e">
        <f ca="1">BDP("207580BD Muni","ESG_FRAMEWORK_INDICATOR")</f>
        <v>#NAME?</v>
      </c>
      <c r="Q529" t="e">
        <f ca="1">BDP("207580BD Muni","BLOOMBERG_SECTOR_CODE")</f>
        <v>#NAME?</v>
      </c>
      <c r="R529" t="e">
        <f ca="1">BDP("207580BD Muni","ISSUER_TYPE")</f>
        <v>#NAME?</v>
      </c>
      <c r="S529" t="e">
        <f ca="1">BDS("207580BD Muni","ESG_PROJECT_CATEGORY", "aggregate=y")</f>
        <v>#NAME?</v>
      </c>
      <c r="T529" t="e">
        <f ca="1">BDS("207580BD Muni","ESG_PROJECT_SUBCATEGORY", "aggregate=y")</f>
        <v>#NAME?</v>
      </c>
    </row>
    <row r="530" spans="1:20" x14ac:dyDescent="0.25">
      <c r="A530" t="e">
        <f ca="1">BDP("207580BF Muni","ID_CUSIP")</f>
        <v>#NAME?</v>
      </c>
      <c r="B530" t="e">
        <f ca="1">BDP("207580BF Muni","STATE_CODE")</f>
        <v>#NAME?</v>
      </c>
      <c r="C530" t="s">
        <v>44</v>
      </c>
      <c r="D530" t="e">
        <f ca="1">BDP("207580BF Muni","YIELD_ON_ISSUE_DATE")</f>
        <v>#NAME?</v>
      </c>
      <c r="E530">
        <v>1439000</v>
      </c>
      <c r="F530" t="e">
        <f ca="1">BDP("207580BF Muni","ISSUE_DT")</f>
        <v>#NAME?</v>
      </c>
      <c r="G530" t="e">
        <f ca="1">BDP("207580BF Muni","MATURITY")</f>
        <v>#NAME?</v>
      </c>
      <c r="H530" t="e">
        <f ca="1">BDP("207580BF Muni","MUNI_TAX_PROV")</f>
        <v>#NAME?</v>
      </c>
      <c r="I530" t="e">
        <f ca="1">BDP("207580BF Muni","FINANCING_TYPE")</f>
        <v>#NAME?</v>
      </c>
      <c r="J530" t="e">
        <f ca="1">BDP("207580BF Muni","BICS_LEVEL_2_INDUSTRY_GROUP_NAME")</f>
        <v>#NAME?</v>
      </c>
      <c r="K530" t="e">
        <f ca="1">BDP("207580BF Muni","SELF_REPRTD_GREEN_INSTR_INDCTR")</f>
        <v>#NAME?</v>
      </c>
      <c r="L530" t="e">
        <f ca="1">BDP("207580BF Muni","GB_MANAGEMENT_PROCEEDS")</f>
        <v>#NAME?</v>
      </c>
      <c r="M530" t="e">
        <f ca="1">BDP("207580BF Muni","GB_REPORTING")</f>
        <v>#NAME?</v>
      </c>
      <c r="N530" t="e">
        <f ca="1">BDP("207580BF Muni","GB_ASSURANCE_PROVIDERS")</f>
        <v>#NAME?</v>
      </c>
      <c r="O530" t="e">
        <f ca="1">BDP("207580BF Muni","GB_PROJECT_SELECTION_PROCESS")</f>
        <v>#NAME?</v>
      </c>
      <c r="P530" t="e">
        <f ca="1">BDP("207580BF Muni","ESG_FRAMEWORK_INDICATOR")</f>
        <v>#NAME?</v>
      </c>
      <c r="Q530" t="e">
        <f ca="1">BDP("207580BF Muni","BLOOMBERG_SECTOR_CODE")</f>
        <v>#NAME?</v>
      </c>
      <c r="R530" t="e">
        <f ca="1">BDP("207580BF Muni","ISSUER_TYPE")</f>
        <v>#NAME?</v>
      </c>
      <c r="S530" t="e">
        <f ca="1">BDS("207580BF Muni","ESG_PROJECT_CATEGORY", "aggregate=y")</f>
        <v>#NAME?</v>
      </c>
      <c r="T530" t="e">
        <f ca="1">BDS("207580BF Muni","ESG_PROJECT_SUBCATEGORY", "aggregate=y")</f>
        <v>#NAME?</v>
      </c>
    </row>
    <row r="531" spans="1:20" x14ac:dyDescent="0.25">
      <c r="A531" t="e">
        <f ca="1">BDP("207580BH Muni","ID_CUSIP")</f>
        <v>#NAME?</v>
      </c>
      <c r="B531" t="e">
        <f ca="1">BDP("207580BH Muni","STATE_CODE")</f>
        <v>#NAME?</v>
      </c>
      <c r="C531" t="s">
        <v>44</v>
      </c>
      <c r="D531" t="e">
        <f ca="1">BDP("207580BH Muni","YIELD_ON_ISSUE_DATE")</f>
        <v>#NAME?</v>
      </c>
      <c r="E531">
        <v>1511000</v>
      </c>
      <c r="F531" t="e">
        <f ca="1">BDP("207580BH Muni","ISSUE_DT")</f>
        <v>#NAME?</v>
      </c>
      <c r="G531" t="e">
        <f ca="1">BDP("207580BH Muni","MATURITY")</f>
        <v>#NAME?</v>
      </c>
      <c r="H531" t="e">
        <f ca="1">BDP("207580BH Muni","MUNI_TAX_PROV")</f>
        <v>#NAME?</v>
      </c>
      <c r="I531" t="e">
        <f ca="1">BDP("207580BH Muni","FINANCING_TYPE")</f>
        <v>#NAME?</v>
      </c>
      <c r="J531" t="e">
        <f ca="1">BDP("207580BH Muni","BICS_LEVEL_2_INDUSTRY_GROUP_NAME")</f>
        <v>#NAME?</v>
      </c>
      <c r="K531" t="e">
        <f ca="1">BDP("207580BH Muni","SELF_REPRTD_GREEN_INSTR_INDCTR")</f>
        <v>#NAME?</v>
      </c>
      <c r="L531" t="e">
        <f ca="1">BDP("207580BH Muni","GB_MANAGEMENT_PROCEEDS")</f>
        <v>#NAME?</v>
      </c>
      <c r="M531" t="e">
        <f ca="1">BDP("207580BH Muni","GB_REPORTING")</f>
        <v>#NAME?</v>
      </c>
      <c r="N531" t="e">
        <f ca="1">BDP("207580BH Muni","GB_ASSURANCE_PROVIDERS")</f>
        <v>#NAME?</v>
      </c>
      <c r="O531" t="e">
        <f ca="1">BDP("207580BH Muni","GB_PROJECT_SELECTION_PROCESS")</f>
        <v>#NAME?</v>
      </c>
      <c r="P531" t="e">
        <f ca="1">BDP("207580BH Muni","ESG_FRAMEWORK_INDICATOR")</f>
        <v>#NAME?</v>
      </c>
      <c r="Q531" t="e">
        <f ca="1">BDP("207580BH Muni","BLOOMBERG_SECTOR_CODE")</f>
        <v>#NAME?</v>
      </c>
      <c r="R531" t="e">
        <f ca="1">BDP("207580BH Muni","ISSUER_TYPE")</f>
        <v>#NAME?</v>
      </c>
      <c r="S531" t="e">
        <f ca="1">BDS("207580BH Muni","ESG_PROJECT_CATEGORY", "aggregate=y")</f>
        <v>#NAME?</v>
      </c>
      <c r="T531" t="e">
        <f ca="1">BDS("207580BH Muni","ESG_PROJECT_SUBCATEGORY", "aggregate=y")</f>
        <v>#NAME?</v>
      </c>
    </row>
    <row r="532" spans="1:20" x14ac:dyDescent="0.25">
      <c r="A532" t="e">
        <f ca="1">BDP("207580BK Muni","ID_CUSIP")</f>
        <v>#NAME?</v>
      </c>
      <c r="B532" t="e">
        <f ca="1">BDP("207580BK Muni","STATE_CODE")</f>
        <v>#NAME?</v>
      </c>
      <c r="C532" t="s">
        <v>44</v>
      </c>
      <c r="D532" t="e">
        <f ca="1">BDP("207580BK Muni","YIELD_ON_ISSUE_DATE")</f>
        <v>#NAME?</v>
      </c>
      <c r="E532">
        <v>1596000</v>
      </c>
      <c r="F532" t="e">
        <f ca="1">BDP("207580BK Muni","ISSUE_DT")</f>
        <v>#NAME?</v>
      </c>
      <c r="G532" t="e">
        <f ca="1">BDP("207580BK Muni","MATURITY")</f>
        <v>#NAME?</v>
      </c>
      <c r="H532" t="e">
        <f ca="1">BDP("207580BK Muni","MUNI_TAX_PROV")</f>
        <v>#NAME?</v>
      </c>
      <c r="I532" t="e">
        <f ca="1">BDP("207580BK Muni","FINANCING_TYPE")</f>
        <v>#NAME?</v>
      </c>
      <c r="J532" t="e">
        <f ca="1">BDP("207580BK Muni","BICS_LEVEL_2_INDUSTRY_GROUP_NAME")</f>
        <v>#NAME?</v>
      </c>
      <c r="K532" t="e">
        <f ca="1">BDP("207580BK Muni","SELF_REPRTD_GREEN_INSTR_INDCTR")</f>
        <v>#NAME?</v>
      </c>
      <c r="L532" t="e">
        <f ca="1">BDP("207580BK Muni","GB_MANAGEMENT_PROCEEDS")</f>
        <v>#NAME?</v>
      </c>
      <c r="M532" t="e">
        <f ca="1">BDP("207580BK Muni","GB_REPORTING")</f>
        <v>#NAME?</v>
      </c>
      <c r="N532" t="e">
        <f ca="1">BDP("207580BK Muni","GB_ASSURANCE_PROVIDERS")</f>
        <v>#NAME?</v>
      </c>
      <c r="O532" t="e">
        <f ca="1">BDP("207580BK Muni","GB_PROJECT_SELECTION_PROCESS")</f>
        <v>#NAME?</v>
      </c>
      <c r="P532" t="e">
        <f ca="1">BDP("207580BK Muni","ESG_FRAMEWORK_INDICATOR")</f>
        <v>#NAME?</v>
      </c>
      <c r="Q532" t="e">
        <f ca="1">BDP("207580BK Muni","BLOOMBERG_SECTOR_CODE")</f>
        <v>#NAME?</v>
      </c>
      <c r="R532" t="e">
        <f ca="1">BDP("207580BK Muni","ISSUER_TYPE")</f>
        <v>#NAME?</v>
      </c>
      <c r="S532" t="e">
        <f ca="1">BDS("207580BK Muni","ESG_PROJECT_CATEGORY", "aggregate=y")</f>
        <v>#NAME?</v>
      </c>
      <c r="T532" t="e">
        <f ca="1">BDS("207580BK Muni","ESG_PROJECT_SUBCATEGORY", "aggregate=y")</f>
        <v>#NAME?</v>
      </c>
    </row>
    <row r="533" spans="1:20" x14ac:dyDescent="0.25">
      <c r="A533" t="e">
        <f ca="1">BDP("207580BL Muni","ID_CUSIP")</f>
        <v>#NAME?</v>
      </c>
      <c r="B533" t="e">
        <f ca="1">BDP("207580BL Muni","STATE_CODE")</f>
        <v>#NAME?</v>
      </c>
      <c r="C533" t="s">
        <v>44</v>
      </c>
      <c r="D533" t="e">
        <f ca="1">BDP("207580BL Muni","YIELD_ON_ISSUE_DATE")</f>
        <v>#NAME?</v>
      </c>
      <c r="E533">
        <v>1647000</v>
      </c>
      <c r="F533" t="e">
        <f ca="1">BDP("207580BL Muni","ISSUE_DT")</f>
        <v>#NAME?</v>
      </c>
      <c r="G533" t="e">
        <f ca="1">BDP("207580BL Muni","MATURITY")</f>
        <v>#NAME?</v>
      </c>
      <c r="H533" t="e">
        <f ca="1">BDP("207580BL Muni","MUNI_TAX_PROV")</f>
        <v>#NAME?</v>
      </c>
      <c r="I533" t="e">
        <f ca="1">BDP("207580BL Muni","FINANCING_TYPE")</f>
        <v>#NAME?</v>
      </c>
      <c r="J533" t="e">
        <f ca="1">BDP("207580BL Muni","BICS_LEVEL_2_INDUSTRY_GROUP_NAME")</f>
        <v>#NAME?</v>
      </c>
      <c r="K533" t="e">
        <f ca="1">BDP("207580BL Muni","SELF_REPRTD_GREEN_INSTR_INDCTR")</f>
        <v>#NAME?</v>
      </c>
      <c r="L533" t="e">
        <f ca="1">BDP("207580BL Muni","GB_MANAGEMENT_PROCEEDS")</f>
        <v>#NAME?</v>
      </c>
      <c r="M533" t="e">
        <f ca="1">BDP("207580BL Muni","GB_REPORTING")</f>
        <v>#NAME?</v>
      </c>
      <c r="N533" t="e">
        <f ca="1">BDP("207580BL Muni","GB_ASSURANCE_PROVIDERS")</f>
        <v>#NAME?</v>
      </c>
      <c r="O533" t="e">
        <f ca="1">BDP("207580BL Muni","GB_PROJECT_SELECTION_PROCESS")</f>
        <v>#NAME?</v>
      </c>
      <c r="P533" t="e">
        <f ca="1">BDP("207580BL Muni","ESG_FRAMEWORK_INDICATOR")</f>
        <v>#NAME?</v>
      </c>
      <c r="Q533" t="e">
        <f ca="1">BDP("207580BL Muni","BLOOMBERG_SECTOR_CODE")</f>
        <v>#NAME?</v>
      </c>
      <c r="R533" t="e">
        <f ca="1">BDP("207580BL Muni","ISSUER_TYPE")</f>
        <v>#NAME?</v>
      </c>
      <c r="S533" t="e">
        <f ca="1">BDS("207580BL Muni","ESG_PROJECT_CATEGORY", "aggregate=y")</f>
        <v>#NAME?</v>
      </c>
      <c r="T533" t="e">
        <f ca="1">BDS("207580BL Muni","ESG_PROJECT_SUBCATEGORY", "aggregate=y")</f>
        <v>#NAME?</v>
      </c>
    </row>
    <row r="534" spans="1:20" x14ac:dyDescent="0.25">
      <c r="A534" t="e">
        <f ca="1">BDP("207580BM Muni","ID_CUSIP")</f>
        <v>#NAME?</v>
      </c>
      <c r="B534" t="e">
        <f ca="1">BDP("207580BM Muni","STATE_CODE")</f>
        <v>#NAME?</v>
      </c>
      <c r="C534" t="s">
        <v>44</v>
      </c>
      <c r="D534" t="e">
        <f ca="1">BDP("207580BM Muni","YIELD_ON_ISSUE_DATE")</f>
        <v>#NAME?</v>
      </c>
      <c r="E534">
        <v>1701000</v>
      </c>
      <c r="F534" t="e">
        <f ca="1">BDP("207580BM Muni","ISSUE_DT")</f>
        <v>#NAME?</v>
      </c>
      <c r="G534" t="e">
        <f ca="1">BDP("207580BM Muni","MATURITY")</f>
        <v>#NAME?</v>
      </c>
      <c r="H534" t="e">
        <f ca="1">BDP("207580BM Muni","MUNI_TAX_PROV")</f>
        <v>#NAME?</v>
      </c>
      <c r="I534" t="e">
        <f ca="1">BDP("207580BM Muni","FINANCING_TYPE")</f>
        <v>#NAME?</v>
      </c>
      <c r="J534" t="e">
        <f ca="1">BDP("207580BM Muni","BICS_LEVEL_2_INDUSTRY_GROUP_NAME")</f>
        <v>#NAME?</v>
      </c>
      <c r="K534" t="e">
        <f ca="1">BDP("207580BM Muni","SELF_REPRTD_GREEN_INSTR_INDCTR")</f>
        <v>#NAME?</v>
      </c>
      <c r="L534" t="e">
        <f ca="1">BDP("207580BM Muni","GB_MANAGEMENT_PROCEEDS")</f>
        <v>#NAME?</v>
      </c>
      <c r="M534" t="e">
        <f ca="1">BDP("207580BM Muni","GB_REPORTING")</f>
        <v>#NAME?</v>
      </c>
      <c r="N534" t="e">
        <f ca="1">BDP("207580BM Muni","GB_ASSURANCE_PROVIDERS")</f>
        <v>#NAME?</v>
      </c>
      <c r="O534" t="e">
        <f ca="1">BDP("207580BM Muni","GB_PROJECT_SELECTION_PROCESS")</f>
        <v>#NAME?</v>
      </c>
      <c r="P534" t="e">
        <f ca="1">BDP("207580BM Muni","ESG_FRAMEWORK_INDICATOR")</f>
        <v>#NAME?</v>
      </c>
      <c r="Q534" t="e">
        <f ca="1">BDP("207580BM Muni","BLOOMBERG_SECTOR_CODE")</f>
        <v>#NAME?</v>
      </c>
      <c r="R534" t="e">
        <f ca="1">BDP("207580BM Muni","ISSUER_TYPE")</f>
        <v>#NAME?</v>
      </c>
      <c r="S534" t="e">
        <f ca="1">BDS("207580BM Muni","ESG_PROJECT_CATEGORY", "aggregate=y")</f>
        <v>#NAME?</v>
      </c>
      <c r="T534" t="e">
        <f ca="1">BDS("207580BM Muni","ESG_PROJECT_SUBCATEGORY", "aggregate=y")</f>
        <v>#NAME?</v>
      </c>
    </row>
    <row r="535" spans="1:20" x14ac:dyDescent="0.25">
      <c r="A535" t="e">
        <f ca="1">BDP("207580BN Muni","ID_CUSIP")</f>
        <v>#NAME?</v>
      </c>
      <c r="B535" t="e">
        <f ca="1">BDP("207580BN Muni","STATE_CODE")</f>
        <v>#NAME?</v>
      </c>
      <c r="C535" t="s">
        <v>44</v>
      </c>
      <c r="D535" t="e">
        <f ca="1">BDP("207580BN Muni","YIELD_ON_ISSUE_DATE")</f>
        <v>#NAME?</v>
      </c>
      <c r="E535">
        <v>1758000</v>
      </c>
      <c r="F535" t="e">
        <f ca="1">BDP("207580BN Muni","ISSUE_DT")</f>
        <v>#NAME?</v>
      </c>
      <c r="G535" t="e">
        <f ca="1">BDP("207580BN Muni","MATURITY")</f>
        <v>#NAME?</v>
      </c>
      <c r="H535" t="e">
        <f ca="1">BDP("207580BN Muni","MUNI_TAX_PROV")</f>
        <v>#NAME?</v>
      </c>
      <c r="I535" t="e">
        <f ca="1">BDP("207580BN Muni","FINANCING_TYPE")</f>
        <v>#NAME?</v>
      </c>
      <c r="J535" t="e">
        <f ca="1">BDP("207580BN Muni","BICS_LEVEL_2_INDUSTRY_GROUP_NAME")</f>
        <v>#NAME?</v>
      </c>
      <c r="K535" t="e">
        <f ca="1">BDP("207580BN Muni","SELF_REPRTD_GREEN_INSTR_INDCTR")</f>
        <v>#NAME?</v>
      </c>
      <c r="L535" t="e">
        <f ca="1">BDP("207580BN Muni","GB_MANAGEMENT_PROCEEDS")</f>
        <v>#NAME?</v>
      </c>
      <c r="M535" t="e">
        <f ca="1">BDP("207580BN Muni","GB_REPORTING")</f>
        <v>#NAME?</v>
      </c>
      <c r="N535" t="e">
        <f ca="1">BDP("207580BN Muni","GB_ASSURANCE_PROVIDERS")</f>
        <v>#NAME?</v>
      </c>
      <c r="O535" t="e">
        <f ca="1">BDP("207580BN Muni","GB_PROJECT_SELECTION_PROCESS")</f>
        <v>#NAME?</v>
      </c>
      <c r="P535" t="e">
        <f ca="1">BDP("207580BN Muni","ESG_FRAMEWORK_INDICATOR")</f>
        <v>#NAME?</v>
      </c>
      <c r="Q535" t="e">
        <f ca="1">BDP("207580BN Muni","BLOOMBERG_SECTOR_CODE")</f>
        <v>#NAME?</v>
      </c>
      <c r="R535" t="e">
        <f ca="1">BDP("207580BN Muni","ISSUER_TYPE")</f>
        <v>#NAME?</v>
      </c>
      <c r="S535" t="e">
        <f ca="1">BDS("207580BN Muni","ESG_PROJECT_CATEGORY", "aggregate=y")</f>
        <v>#NAME?</v>
      </c>
      <c r="T535" t="e">
        <f ca="1">BDS("207580BN Muni","ESG_PROJECT_SUBCATEGORY", "aggregate=y")</f>
        <v>#NAME?</v>
      </c>
    </row>
    <row r="536" spans="1:20" x14ac:dyDescent="0.25">
      <c r="A536" t="e">
        <f ca="1">BDP("207580BP Muni","ID_CUSIP")</f>
        <v>#NAME?</v>
      </c>
      <c r="B536" t="e">
        <f ca="1">BDP("207580BP Muni","STATE_CODE")</f>
        <v>#NAME?</v>
      </c>
      <c r="C536" t="s">
        <v>44</v>
      </c>
      <c r="D536" t="e">
        <f ca="1">BDP("207580BP Muni","YIELD_ON_ISSUE_DATE")</f>
        <v>#NAME?</v>
      </c>
      <c r="E536">
        <v>1569000</v>
      </c>
      <c r="F536" t="e">
        <f ca="1">BDP("207580BP Muni","ISSUE_DT")</f>
        <v>#NAME?</v>
      </c>
      <c r="G536" t="e">
        <f ca="1">BDP("207580BP Muni","MATURITY")</f>
        <v>#NAME?</v>
      </c>
      <c r="H536" t="e">
        <f ca="1">BDP("207580BP Muni","MUNI_TAX_PROV")</f>
        <v>#NAME?</v>
      </c>
      <c r="I536" t="e">
        <f ca="1">BDP("207580BP Muni","FINANCING_TYPE")</f>
        <v>#NAME?</v>
      </c>
      <c r="J536" t="e">
        <f ca="1">BDP("207580BP Muni","BICS_LEVEL_2_INDUSTRY_GROUP_NAME")</f>
        <v>#NAME?</v>
      </c>
      <c r="K536" t="e">
        <f ca="1">BDP("207580BP Muni","SELF_REPRTD_GREEN_INSTR_INDCTR")</f>
        <v>#NAME?</v>
      </c>
      <c r="L536" t="e">
        <f ca="1">BDP("207580BP Muni","GB_MANAGEMENT_PROCEEDS")</f>
        <v>#NAME?</v>
      </c>
      <c r="M536" t="e">
        <f ca="1">BDP("207580BP Muni","GB_REPORTING")</f>
        <v>#NAME?</v>
      </c>
      <c r="N536" t="e">
        <f ca="1">BDP("207580BP Muni","GB_ASSURANCE_PROVIDERS")</f>
        <v>#NAME?</v>
      </c>
      <c r="O536" t="e">
        <f ca="1">BDP("207580BP Muni","GB_PROJECT_SELECTION_PROCESS")</f>
        <v>#NAME?</v>
      </c>
      <c r="P536" t="e">
        <f ca="1">BDP("207580BP Muni","ESG_FRAMEWORK_INDICATOR")</f>
        <v>#NAME?</v>
      </c>
      <c r="Q536" t="e">
        <f ca="1">BDP("207580BP Muni","BLOOMBERG_SECTOR_CODE")</f>
        <v>#NAME?</v>
      </c>
      <c r="R536" t="e">
        <f ca="1">BDP("207580BP Muni","ISSUER_TYPE")</f>
        <v>#NAME?</v>
      </c>
      <c r="S536" t="e">
        <f ca="1">BDS("207580BP Muni","ESG_PROJECT_CATEGORY", "aggregate=y")</f>
        <v>#NAME?</v>
      </c>
      <c r="T536" t="e">
        <f ca="1">BDS("207580BP Muni","ESG_PROJECT_SUBCATEGORY", "aggregate=y")</f>
        <v>#NAME?</v>
      </c>
    </row>
    <row r="537" spans="1:20" x14ac:dyDescent="0.25">
      <c r="A537" t="e">
        <f ca="1">BDP("207580BQ Muni","ID_CUSIP")</f>
        <v>#NAME?</v>
      </c>
      <c r="B537" t="e">
        <f ca="1">BDP("207580BQ Muni","STATE_CODE")</f>
        <v>#NAME?</v>
      </c>
      <c r="C537" t="s">
        <v>44</v>
      </c>
      <c r="D537" t="e">
        <f ca="1">BDP("207580BQ Muni","YIELD_ON_ISSUE_DATE")</f>
        <v>#NAME?</v>
      </c>
      <c r="E537">
        <v>1950000</v>
      </c>
      <c r="F537" t="e">
        <f ca="1">BDP("207580BQ Muni","ISSUE_DT")</f>
        <v>#NAME?</v>
      </c>
      <c r="G537" t="e">
        <f ca="1">BDP("207580BQ Muni","MATURITY")</f>
        <v>#NAME?</v>
      </c>
      <c r="H537" t="e">
        <f ca="1">BDP("207580BQ Muni","MUNI_TAX_PROV")</f>
        <v>#NAME?</v>
      </c>
      <c r="I537" t="e">
        <f ca="1">BDP("207580BQ Muni","FINANCING_TYPE")</f>
        <v>#NAME?</v>
      </c>
      <c r="J537" t="e">
        <f ca="1">BDP("207580BQ Muni","BICS_LEVEL_2_INDUSTRY_GROUP_NAME")</f>
        <v>#NAME?</v>
      </c>
      <c r="K537" t="e">
        <f ca="1">BDP("207580BQ Muni","SELF_REPRTD_GREEN_INSTR_INDCTR")</f>
        <v>#NAME?</v>
      </c>
      <c r="L537" t="e">
        <f ca="1">BDP("207580BQ Muni","GB_MANAGEMENT_PROCEEDS")</f>
        <v>#NAME?</v>
      </c>
      <c r="M537" t="e">
        <f ca="1">BDP("207580BQ Muni","GB_REPORTING")</f>
        <v>#NAME?</v>
      </c>
      <c r="N537" t="e">
        <f ca="1">BDP("207580BQ Muni","GB_ASSURANCE_PROVIDERS")</f>
        <v>#NAME?</v>
      </c>
      <c r="O537" t="e">
        <f ca="1">BDP("207580BQ Muni","GB_PROJECT_SELECTION_PROCESS")</f>
        <v>#NAME?</v>
      </c>
      <c r="P537" t="e">
        <f ca="1">BDP("207580BQ Muni","ESG_FRAMEWORK_INDICATOR")</f>
        <v>#NAME?</v>
      </c>
      <c r="Q537" t="e">
        <f ca="1">BDP("207580BQ Muni","BLOOMBERG_SECTOR_CODE")</f>
        <v>#NAME?</v>
      </c>
      <c r="R537" t="e">
        <f ca="1">BDP("207580BQ Muni","ISSUER_TYPE")</f>
        <v>#NAME?</v>
      </c>
      <c r="S537" t="e">
        <f ca="1">BDS("207580BQ Muni","ESG_PROJECT_CATEGORY", "aggregate=y")</f>
        <v>#NAME?</v>
      </c>
      <c r="T537" t="e">
        <f ca="1">BDS("207580BQ Muni","ESG_PROJECT_SUBCATEGORY", "aggregate=y")</f>
        <v>#NAME?</v>
      </c>
    </row>
    <row r="538" spans="1:20" x14ac:dyDescent="0.25">
      <c r="A538" t="e">
        <f ca="1">BDP("416498FZ Muni","ID_CUSIP")</f>
        <v>#NAME?</v>
      </c>
      <c r="B538" t="e">
        <f ca="1">BDP("416498FZ Muni","STATE_CODE")</f>
        <v>#NAME?</v>
      </c>
      <c r="C538" t="s">
        <v>43</v>
      </c>
      <c r="D538" t="e">
        <f ca="1">BDP("416498FZ Muni","YIELD_ON_ISSUE_DATE")</f>
        <v>#NAME?</v>
      </c>
      <c r="E538">
        <v>1855000</v>
      </c>
      <c r="F538" t="e">
        <f ca="1">BDP("416498FZ Muni","ISSUE_DT")</f>
        <v>#NAME?</v>
      </c>
      <c r="G538" t="e">
        <f ca="1">BDP("416498FZ Muni","MATURITY")</f>
        <v>#NAME?</v>
      </c>
      <c r="H538" t="e">
        <f ca="1">BDP("416498FZ Muni","MUNI_TAX_PROV")</f>
        <v>#NAME?</v>
      </c>
      <c r="I538" t="e">
        <f ca="1">BDP("416498FZ Muni","FINANCING_TYPE")</f>
        <v>#NAME?</v>
      </c>
      <c r="J538" t="e">
        <f ca="1">BDP("416498FZ Muni","BICS_LEVEL_2_INDUSTRY_GROUP_NAME")</f>
        <v>#NAME?</v>
      </c>
      <c r="K538" t="e">
        <f ca="1">BDP("416498FZ Muni","SELF_REPRTD_GREEN_INSTR_INDCTR")</f>
        <v>#NAME?</v>
      </c>
      <c r="L538" t="e">
        <f ca="1">BDP("416498FZ Muni","GB_MANAGEMENT_PROCEEDS")</f>
        <v>#NAME?</v>
      </c>
      <c r="M538" t="e">
        <f ca="1">BDP("416498FZ Muni","GB_REPORTING")</f>
        <v>#NAME?</v>
      </c>
      <c r="N538" t="e">
        <f ca="1">BDP("416498FZ Muni","GB_ASSURANCE_PROVIDERS")</f>
        <v>#NAME?</v>
      </c>
      <c r="O538" t="e">
        <f ca="1">BDP("416498FZ Muni","GB_PROJECT_SELECTION_PROCESS")</f>
        <v>#NAME?</v>
      </c>
      <c r="P538" t="e">
        <f ca="1">BDP("416498FZ Muni","ESG_FRAMEWORK_INDICATOR")</f>
        <v>#NAME?</v>
      </c>
      <c r="Q538" t="e">
        <f ca="1">BDP("416498FZ Muni","BLOOMBERG_SECTOR_CODE")</f>
        <v>#NAME?</v>
      </c>
      <c r="R538" t="e">
        <f ca="1">BDP("416498FZ Muni","ISSUER_TYPE")</f>
        <v>#NAME?</v>
      </c>
      <c r="S538" t="e">
        <f ca="1">BDS("416498FZ Muni","ESG_PROJECT_CATEGORY", "aggregate=y")</f>
        <v>#NAME?</v>
      </c>
      <c r="T538" t="e">
        <f ca="1">BDS("416498FZ Muni","ESG_PROJECT_SUBCATEGORY", "aggregate=y")</f>
        <v>#NAME?</v>
      </c>
    </row>
    <row r="539" spans="1:20" x14ac:dyDescent="0.25">
      <c r="A539" t="e">
        <f ca="1">BDP("416498GC Muni","ID_CUSIP")</f>
        <v>#NAME?</v>
      </c>
      <c r="B539" t="e">
        <f ca="1">BDP("416498GC Muni","STATE_CODE")</f>
        <v>#NAME?</v>
      </c>
      <c r="C539" t="s">
        <v>43</v>
      </c>
      <c r="D539" t="e">
        <f ca="1">BDP("416498GC Muni","YIELD_ON_ISSUE_DATE")</f>
        <v>#NAME?</v>
      </c>
      <c r="E539">
        <v>2155000</v>
      </c>
      <c r="F539" t="e">
        <f ca="1">BDP("416498GC Muni","ISSUE_DT")</f>
        <v>#NAME?</v>
      </c>
      <c r="G539" t="e">
        <f ca="1">BDP("416498GC Muni","MATURITY")</f>
        <v>#NAME?</v>
      </c>
      <c r="H539" t="e">
        <f ca="1">BDP("416498GC Muni","MUNI_TAX_PROV")</f>
        <v>#NAME?</v>
      </c>
      <c r="I539" t="e">
        <f ca="1">BDP("416498GC Muni","FINANCING_TYPE")</f>
        <v>#NAME?</v>
      </c>
      <c r="J539" t="e">
        <f ca="1">BDP("416498GC Muni","BICS_LEVEL_2_INDUSTRY_GROUP_NAME")</f>
        <v>#NAME?</v>
      </c>
      <c r="K539" t="e">
        <f ca="1">BDP("416498GC Muni","SELF_REPRTD_GREEN_INSTR_INDCTR")</f>
        <v>#NAME?</v>
      </c>
      <c r="L539" t="e">
        <f ca="1">BDP("416498GC Muni","GB_MANAGEMENT_PROCEEDS")</f>
        <v>#NAME?</v>
      </c>
      <c r="M539" t="e">
        <f ca="1">BDP("416498GC Muni","GB_REPORTING")</f>
        <v>#NAME?</v>
      </c>
      <c r="N539" t="e">
        <f ca="1">BDP("416498GC Muni","GB_ASSURANCE_PROVIDERS")</f>
        <v>#NAME?</v>
      </c>
      <c r="O539" t="e">
        <f ca="1">BDP("416498GC Muni","GB_PROJECT_SELECTION_PROCESS")</f>
        <v>#NAME?</v>
      </c>
      <c r="P539" t="e">
        <f ca="1">BDP("416498GC Muni","ESG_FRAMEWORK_INDICATOR")</f>
        <v>#NAME?</v>
      </c>
      <c r="Q539" t="e">
        <f ca="1">BDP("416498GC Muni","BLOOMBERG_SECTOR_CODE")</f>
        <v>#NAME?</v>
      </c>
      <c r="R539" t="e">
        <f ca="1">BDP("416498GC Muni","ISSUER_TYPE")</f>
        <v>#NAME?</v>
      </c>
      <c r="S539" t="e">
        <f ca="1">BDS("416498GC Muni","ESG_PROJECT_CATEGORY", "aggregate=y")</f>
        <v>#NAME?</v>
      </c>
      <c r="T539" t="e">
        <f ca="1">BDS("416498GC Muni","ESG_PROJECT_SUBCATEGORY", "aggregate=y")</f>
        <v>#NAME?</v>
      </c>
    </row>
    <row r="540" spans="1:20" x14ac:dyDescent="0.25">
      <c r="A540" t="e">
        <f ca="1">BDP("416498GD Muni","ID_CUSIP")</f>
        <v>#NAME?</v>
      </c>
      <c r="B540" t="e">
        <f ca="1">BDP("416498GD Muni","STATE_CODE")</f>
        <v>#NAME?</v>
      </c>
      <c r="C540" t="s">
        <v>43</v>
      </c>
      <c r="D540" t="e">
        <f ca="1">BDP("416498GD Muni","YIELD_ON_ISSUE_DATE")</f>
        <v>#NAME?</v>
      </c>
      <c r="E540">
        <v>2265000</v>
      </c>
      <c r="F540" t="e">
        <f ca="1">BDP("416498GD Muni","ISSUE_DT")</f>
        <v>#NAME?</v>
      </c>
      <c r="G540" t="e">
        <f ca="1">BDP("416498GD Muni","MATURITY")</f>
        <v>#NAME?</v>
      </c>
      <c r="H540" t="e">
        <f ca="1">BDP("416498GD Muni","MUNI_TAX_PROV")</f>
        <v>#NAME?</v>
      </c>
      <c r="I540" t="e">
        <f ca="1">BDP("416498GD Muni","FINANCING_TYPE")</f>
        <v>#NAME?</v>
      </c>
      <c r="J540" t="e">
        <f ca="1">BDP("416498GD Muni","BICS_LEVEL_2_INDUSTRY_GROUP_NAME")</f>
        <v>#NAME?</v>
      </c>
      <c r="K540" t="e">
        <f ca="1">BDP("416498GD Muni","SELF_REPRTD_GREEN_INSTR_INDCTR")</f>
        <v>#NAME?</v>
      </c>
      <c r="L540" t="e">
        <f ca="1">BDP("416498GD Muni","GB_MANAGEMENT_PROCEEDS")</f>
        <v>#NAME?</v>
      </c>
      <c r="M540" t="e">
        <f ca="1">BDP("416498GD Muni","GB_REPORTING")</f>
        <v>#NAME?</v>
      </c>
      <c r="N540" t="e">
        <f ca="1">BDP("416498GD Muni","GB_ASSURANCE_PROVIDERS")</f>
        <v>#NAME?</v>
      </c>
      <c r="O540" t="e">
        <f ca="1">BDP("416498GD Muni","GB_PROJECT_SELECTION_PROCESS")</f>
        <v>#NAME?</v>
      </c>
      <c r="P540" t="e">
        <f ca="1">BDP("416498GD Muni","ESG_FRAMEWORK_INDICATOR")</f>
        <v>#NAME?</v>
      </c>
      <c r="Q540" t="e">
        <f ca="1">BDP("416498GD Muni","BLOOMBERG_SECTOR_CODE")</f>
        <v>#NAME?</v>
      </c>
      <c r="R540" t="e">
        <f ca="1">BDP("416498GD Muni","ISSUER_TYPE")</f>
        <v>#NAME?</v>
      </c>
      <c r="S540" t="e">
        <f ca="1">BDS("416498GD Muni","ESG_PROJECT_CATEGORY", "aggregate=y")</f>
        <v>#NAME?</v>
      </c>
      <c r="T540" t="e">
        <f ca="1">BDS("416498GD Muni","ESG_PROJECT_SUBCATEGORY", "aggregate=y")</f>
        <v>#NAME?</v>
      </c>
    </row>
    <row r="541" spans="1:20" x14ac:dyDescent="0.25">
      <c r="A541" t="e">
        <f ca="1">BDP("416498GE Muni","ID_CUSIP")</f>
        <v>#NAME?</v>
      </c>
      <c r="B541" t="e">
        <f ca="1">BDP("416498GE Muni","STATE_CODE")</f>
        <v>#NAME?</v>
      </c>
      <c r="C541" t="s">
        <v>43</v>
      </c>
      <c r="D541" t="e">
        <f ca="1">BDP("416498GE Muni","YIELD_ON_ISSUE_DATE")</f>
        <v>#NAME?</v>
      </c>
      <c r="E541">
        <v>2370000</v>
      </c>
      <c r="F541" t="e">
        <f ca="1">BDP("416498GE Muni","ISSUE_DT")</f>
        <v>#NAME?</v>
      </c>
      <c r="G541" t="e">
        <f ca="1">BDP("416498GE Muni","MATURITY")</f>
        <v>#NAME?</v>
      </c>
      <c r="H541" t="e">
        <f ca="1">BDP("416498GE Muni","MUNI_TAX_PROV")</f>
        <v>#NAME?</v>
      </c>
      <c r="I541" t="e">
        <f ca="1">BDP("416498GE Muni","FINANCING_TYPE")</f>
        <v>#NAME?</v>
      </c>
      <c r="J541" t="e">
        <f ca="1">BDP("416498GE Muni","BICS_LEVEL_2_INDUSTRY_GROUP_NAME")</f>
        <v>#NAME?</v>
      </c>
      <c r="K541" t="e">
        <f ca="1">BDP("416498GE Muni","SELF_REPRTD_GREEN_INSTR_INDCTR")</f>
        <v>#NAME?</v>
      </c>
      <c r="L541" t="e">
        <f ca="1">BDP("416498GE Muni","GB_MANAGEMENT_PROCEEDS")</f>
        <v>#NAME?</v>
      </c>
      <c r="M541" t="e">
        <f ca="1">BDP("416498GE Muni","GB_REPORTING")</f>
        <v>#NAME?</v>
      </c>
      <c r="N541" t="e">
        <f ca="1">BDP("416498GE Muni","GB_ASSURANCE_PROVIDERS")</f>
        <v>#NAME?</v>
      </c>
      <c r="O541" t="e">
        <f ca="1">BDP("416498GE Muni","GB_PROJECT_SELECTION_PROCESS")</f>
        <v>#NAME?</v>
      </c>
      <c r="P541" t="e">
        <f ca="1">BDP("416498GE Muni","ESG_FRAMEWORK_INDICATOR")</f>
        <v>#NAME?</v>
      </c>
      <c r="Q541" t="e">
        <f ca="1">BDP("416498GE Muni","BLOOMBERG_SECTOR_CODE")</f>
        <v>#NAME?</v>
      </c>
      <c r="R541" t="e">
        <f ca="1">BDP("416498GE Muni","ISSUER_TYPE")</f>
        <v>#NAME?</v>
      </c>
      <c r="S541" t="e">
        <f ca="1">BDS("416498GE Muni","ESG_PROJECT_CATEGORY", "aggregate=y")</f>
        <v>#NAME?</v>
      </c>
      <c r="T541" t="e">
        <f ca="1">BDS("416498GE Muni","ESG_PROJECT_SUBCATEGORY", "aggregate=y")</f>
        <v>#NAME?</v>
      </c>
    </row>
    <row r="542" spans="1:20" x14ac:dyDescent="0.25">
      <c r="A542" t="e">
        <f ca="1">BDP("416498GK Muni","ID_CUSIP")</f>
        <v>#NAME?</v>
      </c>
      <c r="B542" t="e">
        <f ca="1">BDP("416498GK Muni","STATE_CODE")</f>
        <v>#NAME?</v>
      </c>
      <c r="C542" t="s">
        <v>43</v>
      </c>
      <c r="D542" t="e">
        <f ca="1">BDP("416498GK Muni","YIELD_ON_ISSUE_DATE")</f>
        <v>#NAME?</v>
      </c>
      <c r="E542">
        <v>2895000</v>
      </c>
      <c r="F542" t="e">
        <f ca="1">BDP("416498GK Muni","ISSUE_DT")</f>
        <v>#NAME?</v>
      </c>
      <c r="G542" t="e">
        <f ca="1">BDP("416498GK Muni","MATURITY")</f>
        <v>#NAME?</v>
      </c>
      <c r="H542" t="e">
        <f ca="1">BDP("416498GK Muni","MUNI_TAX_PROV")</f>
        <v>#NAME?</v>
      </c>
      <c r="I542" t="e">
        <f ca="1">BDP("416498GK Muni","FINANCING_TYPE")</f>
        <v>#NAME?</v>
      </c>
      <c r="J542" t="e">
        <f ca="1">BDP("416498GK Muni","BICS_LEVEL_2_INDUSTRY_GROUP_NAME")</f>
        <v>#NAME?</v>
      </c>
      <c r="K542" t="e">
        <f ca="1">BDP("416498GK Muni","SELF_REPRTD_GREEN_INSTR_INDCTR")</f>
        <v>#NAME?</v>
      </c>
      <c r="L542" t="e">
        <f ca="1">BDP("416498GK Muni","GB_MANAGEMENT_PROCEEDS")</f>
        <v>#NAME?</v>
      </c>
      <c r="M542" t="e">
        <f ca="1">BDP("416498GK Muni","GB_REPORTING")</f>
        <v>#NAME?</v>
      </c>
      <c r="N542" t="e">
        <f ca="1">BDP("416498GK Muni","GB_ASSURANCE_PROVIDERS")</f>
        <v>#NAME?</v>
      </c>
      <c r="O542" t="e">
        <f ca="1">BDP("416498GK Muni","GB_PROJECT_SELECTION_PROCESS")</f>
        <v>#NAME?</v>
      </c>
      <c r="P542" t="e">
        <f ca="1">BDP("416498GK Muni","ESG_FRAMEWORK_INDICATOR")</f>
        <v>#NAME?</v>
      </c>
      <c r="Q542" t="e">
        <f ca="1">BDP("416498GK Muni","BLOOMBERG_SECTOR_CODE")</f>
        <v>#NAME?</v>
      </c>
      <c r="R542" t="e">
        <f ca="1">BDP("416498GK Muni","ISSUER_TYPE")</f>
        <v>#NAME?</v>
      </c>
      <c r="S542" t="e">
        <f ca="1">BDS("416498GK Muni","ESG_PROJECT_CATEGORY", "aggregate=y")</f>
        <v>#NAME?</v>
      </c>
      <c r="T542" t="e">
        <f ca="1">BDS("416498GK Muni","ESG_PROJECT_SUBCATEGORY", "aggregate=y")</f>
        <v>#NAME?</v>
      </c>
    </row>
    <row r="543" spans="1:20" x14ac:dyDescent="0.25">
      <c r="A543" t="e">
        <f ca="1">BDP("416498GL Muni","ID_CUSIP")</f>
        <v>#NAME?</v>
      </c>
      <c r="B543" t="e">
        <f ca="1">BDP("416498GL Muni","STATE_CODE")</f>
        <v>#NAME?</v>
      </c>
      <c r="C543" t="s">
        <v>43</v>
      </c>
      <c r="D543" t="e">
        <f ca="1">BDP("416498GL Muni","YIELD_ON_ISSUE_DATE")</f>
        <v>#NAME?</v>
      </c>
      <c r="E543">
        <v>3010000</v>
      </c>
      <c r="F543" t="e">
        <f ca="1">BDP("416498GL Muni","ISSUE_DT")</f>
        <v>#NAME?</v>
      </c>
      <c r="G543" t="e">
        <f ca="1">BDP("416498GL Muni","MATURITY")</f>
        <v>#NAME?</v>
      </c>
      <c r="H543" t="e">
        <f ca="1">BDP("416498GL Muni","MUNI_TAX_PROV")</f>
        <v>#NAME?</v>
      </c>
      <c r="I543" t="e">
        <f ca="1">BDP("416498GL Muni","FINANCING_TYPE")</f>
        <v>#NAME?</v>
      </c>
      <c r="J543" t="e">
        <f ca="1">BDP("416498GL Muni","BICS_LEVEL_2_INDUSTRY_GROUP_NAME")</f>
        <v>#NAME?</v>
      </c>
      <c r="K543" t="e">
        <f ca="1">BDP("416498GL Muni","SELF_REPRTD_GREEN_INSTR_INDCTR")</f>
        <v>#NAME?</v>
      </c>
      <c r="L543" t="e">
        <f ca="1">BDP("416498GL Muni","GB_MANAGEMENT_PROCEEDS")</f>
        <v>#NAME?</v>
      </c>
      <c r="M543" t="e">
        <f ca="1">BDP("416498GL Muni","GB_REPORTING")</f>
        <v>#NAME?</v>
      </c>
      <c r="N543" t="e">
        <f ca="1">BDP("416498GL Muni","GB_ASSURANCE_PROVIDERS")</f>
        <v>#NAME?</v>
      </c>
      <c r="O543" t="e">
        <f ca="1">BDP("416498GL Muni","GB_PROJECT_SELECTION_PROCESS")</f>
        <v>#NAME?</v>
      </c>
      <c r="P543" t="e">
        <f ca="1">BDP("416498GL Muni","ESG_FRAMEWORK_INDICATOR")</f>
        <v>#NAME?</v>
      </c>
      <c r="Q543" t="e">
        <f ca="1">BDP("416498GL Muni","BLOOMBERG_SECTOR_CODE")</f>
        <v>#NAME?</v>
      </c>
      <c r="R543" t="e">
        <f ca="1">BDP("416498GL Muni","ISSUER_TYPE")</f>
        <v>#NAME?</v>
      </c>
      <c r="S543" t="e">
        <f ca="1">BDS("416498GL Muni","ESG_PROJECT_CATEGORY", "aggregate=y")</f>
        <v>#NAME?</v>
      </c>
      <c r="T543" t="e">
        <f ca="1">BDS("416498GL Muni","ESG_PROJECT_SUBCATEGORY", "aggregate=y")</f>
        <v>#NAME?</v>
      </c>
    </row>
    <row r="544" spans="1:20" x14ac:dyDescent="0.25">
      <c r="A544" t="e">
        <f ca="1">BDP("416498GN Muni","ID_CUSIP")</f>
        <v>#NAME?</v>
      </c>
      <c r="B544" t="e">
        <f ca="1">BDP("416498GN Muni","STATE_CODE")</f>
        <v>#NAME?</v>
      </c>
      <c r="C544" t="s">
        <v>43</v>
      </c>
      <c r="D544" t="e">
        <f ca="1">BDP("416498GN Muni","YIELD_ON_ISSUE_DATE")</f>
        <v>#NAME?</v>
      </c>
      <c r="E544">
        <v>3260000</v>
      </c>
      <c r="F544" t="e">
        <f ca="1">BDP("416498GN Muni","ISSUE_DT")</f>
        <v>#NAME?</v>
      </c>
      <c r="G544" t="e">
        <f ca="1">BDP("416498GN Muni","MATURITY")</f>
        <v>#NAME?</v>
      </c>
      <c r="H544" t="e">
        <f ca="1">BDP("416498GN Muni","MUNI_TAX_PROV")</f>
        <v>#NAME?</v>
      </c>
      <c r="I544" t="e">
        <f ca="1">BDP("416498GN Muni","FINANCING_TYPE")</f>
        <v>#NAME?</v>
      </c>
      <c r="J544" t="e">
        <f ca="1">BDP("416498GN Muni","BICS_LEVEL_2_INDUSTRY_GROUP_NAME")</f>
        <v>#NAME?</v>
      </c>
      <c r="K544" t="e">
        <f ca="1">BDP("416498GN Muni","SELF_REPRTD_GREEN_INSTR_INDCTR")</f>
        <v>#NAME?</v>
      </c>
      <c r="L544" t="e">
        <f ca="1">BDP("416498GN Muni","GB_MANAGEMENT_PROCEEDS")</f>
        <v>#NAME?</v>
      </c>
      <c r="M544" t="e">
        <f ca="1">BDP("416498GN Muni","GB_REPORTING")</f>
        <v>#NAME?</v>
      </c>
      <c r="N544" t="e">
        <f ca="1">BDP("416498GN Muni","GB_ASSURANCE_PROVIDERS")</f>
        <v>#NAME?</v>
      </c>
      <c r="O544" t="e">
        <f ca="1">BDP("416498GN Muni","GB_PROJECT_SELECTION_PROCESS")</f>
        <v>#NAME?</v>
      </c>
      <c r="P544" t="e">
        <f ca="1">BDP("416498GN Muni","ESG_FRAMEWORK_INDICATOR")</f>
        <v>#NAME?</v>
      </c>
      <c r="Q544" t="e">
        <f ca="1">BDP("416498GN Muni","BLOOMBERG_SECTOR_CODE")</f>
        <v>#NAME?</v>
      </c>
      <c r="R544" t="e">
        <f ca="1">BDP("416498GN Muni","ISSUER_TYPE")</f>
        <v>#NAME?</v>
      </c>
      <c r="S544" t="e">
        <f ca="1">BDS("416498GN Muni","ESG_PROJECT_CATEGORY", "aggregate=y")</f>
        <v>#NAME?</v>
      </c>
      <c r="T544" t="e">
        <f ca="1">BDS("416498GN Muni","ESG_PROJECT_SUBCATEGORY", "aggregate=y")</f>
        <v>#NAME?</v>
      </c>
    </row>
    <row r="545" spans="1:20" x14ac:dyDescent="0.25">
      <c r="A545" t="e">
        <f ca="1">BDP("416498GG Muni","ID_CUSIP")</f>
        <v>#NAME?</v>
      </c>
      <c r="B545" t="e">
        <f ca="1">BDP("416498GG Muni","STATE_CODE")</f>
        <v>#NAME?</v>
      </c>
      <c r="C545" t="s">
        <v>43</v>
      </c>
      <c r="D545" t="e">
        <f ca="1">BDP("416498GG Muni","YIELD_ON_ISSUE_DATE")</f>
        <v>#NAME?</v>
      </c>
      <c r="E545">
        <v>2565000</v>
      </c>
      <c r="F545" t="e">
        <f ca="1">BDP("416498GG Muni","ISSUE_DT")</f>
        <v>#NAME?</v>
      </c>
      <c r="G545" t="e">
        <f ca="1">BDP("416498GG Muni","MATURITY")</f>
        <v>#NAME?</v>
      </c>
      <c r="H545" t="e">
        <f ca="1">BDP("416498GG Muni","MUNI_TAX_PROV")</f>
        <v>#NAME?</v>
      </c>
      <c r="I545" t="e">
        <f ca="1">BDP("416498GG Muni","FINANCING_TYPE")</f>
        <v>#NAME?</v>
      </c>
      <c r="J545" t="e">
        <f ca="1">BDP("416498GG Muni","BICS_LEVEL_2_INDUSTRY_GROUP_NAME")</f>
        <v>#NAME?</v>
      </c>
      <c r="K545" t="e">
        <f ca="1">BDP("416498GG Muni","SELF_REPRTD_GREEN_INSTR_INDCTR")</f>
        <v>#NAME?</v>
      </c>
      <c r="L545" t="e">
        <f ca="1">BDP("416498GG Muni","GB_MANAGEMENT_PROCEEDS")</f>
        <v>#NAME?</v>
      </c>
      <c r="M545" t="e">
        <f ca="1">BDP("416498GG Muni","GB_REPORTING")</f>
        <v>#NAME?</v>
      </c>
      <c r="N545" t="e">
        <f ca="1">BDP("416498GG Muni","GB_ASSURANCE_PROVIDERS")</f>
        <v>#NAME?</v>
      </c>
      <c r="O545" t="e">
        <f ca="1">BDP("416498GG Muni","GB_PROJECT_SELECTION_PROCESS")</f>
        <v>#NAME?</v>
      </c>
      <c r="P545" t="e">
        <f ca="1">BDP("416498GG Muni","ESG_FRAMEWORK_INDICATOR")</f>
        <v>#NAME?</v>
      </c>
      <c r="Q545" t="e">
        <f ca="1">BDP("416498GG Muni","BLOOMBERG_SECTOR_CODE")</f>
        <v>#NAME?</v>
      </c>
      <c r="R545" t="e">
        <f ca="1">BDP("416498GG Muni","ISSUER_TYPE")</f>
        <v>#NAME?</v>
      </c>
      <c r="S545" t="e">
        <f ca="1">BDS("416498GG Muni","ESG_PROJECT_CATEGORY", "aggregate=y")</f>
        <v>#NAME?</v>
      </c>
      <c r="T545" t="e">
        <f ca="1">BDS("416498GG Muni","ESG_PROJECT_SUBCATEGORY", "aggregate=y")</f>
        <v>#NAME?</v>
      </c>
    </row>
    <row r="546" spans="1:20" x14ac:dyDescent="0.25">
      <c r="A546" t="e">
        <f ca="1">BDP("416498FX Muni","ID_CUSIP")</f>
        <v>#NAME?</v>
      </c>
      <c r="B546" t="e">
        <f ca="1">BDP("416498FX Muni","STATE_CODE")</f>
        <v>#NAME?</v>
      </c>
      <c r="C546" t="s">
        <v>43</v>
      </c>
      <c r="D546" t="e">
        <f ca="1">BDP("416498FX Muni","YIELD_ON_ISSUE_DATE")</f>
        <v>#NAME?</v>
      </c>
      <c r="E546">
        <v>1675000</v>
      </c>
      <c r="F546" t="e">
        <f ca="1">BDP("416498FX Muni","ISSUE_DT")</f>
        <v>#NAME?</v>
      </c>
      <c r="G546" t="e">
        <f ca="1">BDP("416498FX Muni","MATURITY")</f>
        <v>#NAME?</v>
      </c>
      <c r="H546" t="e">
        <f ca="1">BDP("416498FX Muni","MUNI_TAX_PROV")</f>
        <v>#NAME?</v>
      </c>
      <c r="I546" t="e">
        <f ca="1">BDP("416498FX Muni","FINANCING_TYPE")</f>
        <v>#NAME?</v>
      </c>
      <c r="J546" t="e">
        <f ca="1">BDP("416498FX Muni","BICS_LEVEL_2_INDUSTRY_GROUP_NAME")</f>
        <v>#NAME?</v>
      </c>
      <c r="K546" t="e">
        <f ca="1">BDP("416498FX Muni","SELF_REPRTD_GREEN_INSTR_INDCTR")</f>
        <v>#NAME?</v>
      </c>
      <c r="L546" t="e">
        <f ca="1">BDP("416498FX Muni","GB_MANAGEMENT_PROCEEDS")</f>
        <v>#NAME?</v>
      </c>
      <c r="M546" t="e">
        <f ca="1">BDP("416498FX Muni","GB_REPORTING")</f>
        <v>#NAME?</v>
      </c>
      <c r="N546" t="e">
        <f ca="1">BDP("416498FX Muni","GB_ASSURANCE_PROVIDERS")</f>
        <v>#NAME?</v>
      </c>
      <c r="O546" t="e">
        <f ca="1">BDP("416498FX Muni","GB_PROJECT_SELECTION_PROCESS")</f>
        <v>#NAME?</v>
      </c>
      <c r="P546" t="e">
        <f ca="1">BDP("416498FX Muni","ESG_FRAMEWORK_INDICATOR")</f>
        <v>#NAME?</v>
      </c>
      <c r="Q546" t="e">
        <f ca="1">BDP("416498FX Muni","BLOOMBERG_SECTOR_CODE")</f>
        <v>#NAME?</v>
      </c>
      <c r="R546" t="e">
        <f ca="1">BDP("416498FX Muni","ISSUER_TYPE")</f>
        <v>#NAME?</v>
      </c>
      <c r="S546" t="e">
        <f ca="1">BDS("416498FX Muni","ESG_PROJECT_CATEGORY", "aggregate=y")</f>
        <v>#NAME?</v>
      </c>
      <c r="T546" t="e">
        <f ca="1">BDS("416498FX Muni","ESG_PROJECT_SUBCATEGORY", "aggregate=y")</f>
        <v>#NAME?</v>
      </c>
    </row>
    <row r="547" spans="1:20" x14ac:dyDescent="0.25">
      <c r="A547" t="e">
        <f ca="1">BDP("207580BE Muni","ID_CUSIP")</f>
        <v>#NAME?</v>
      </c>
      <c r="B547" t="e">
        <f ca="1">BDP("207580BE Muni","STATE_CODE")</f>
        <v>#NAME?</v>
      </c>
      <c r="C547" t="s">
        <v>44</v>
      </c>
      <c r="D547" t="e">
        <f ca="1">BDP("207580BE Muni","YIELD_ON_ISSUE_DATE")</f>
        <v>#NAME?</v>
      </c>
      <c r="E547">
        <v>1404000</v>
      </c>
      <c r="F547" t="e">
        <f ca="1">BDP("207580BE Muni","ISSUE_DT")</f>
        <v>#NAME?</v>
      </c>
      <c r="G547" t="e">
        <f ca="1">BDP("207580BE Muni","MATURITY")</f>
        <v>#NAME?</v>
      </c>
      <c r="H547" t="e">
        <f ca="1">BDP("207580BE Muni","MUNI_TAX_PROV")</f>
        <v>#NAME?</v>
      </c>
      <c r="I547" t="e">
        <f ca="1">BDP("207580BE Muni","FINANCING_TYPE")</f>
        <v>#NAME?</v>
      </c>
      <c r="J547" t="e">
        <f ca="1">BDP("207580BE Muni","BICS_LEVEL_2_INDUSTRY_GROUP_NAME")</f>
        <v>#NAME?</v>
      </c>
      <c r="K547" t="e">
        <f ca="1">BDP("207580BE Muni","SELF_REPRTD_GREEN_INSTR_INDCTR")</f>
        <v>#NAME?</v>
      </c>
      <c r="L547" t="e">
        <f ca="1">BDP("207580BE Muni","GB_MANAGEMENT_PROCEEDS")</f>
        <v>#NAME?</v>
      </c>
      <c r="M547" t="e">
        <f ca="1">BDP("207580BE Muni","GB_REPORTING")</f>
        <v>#NAME?</v>
      </c>
      <c r="N547" t="e">
        <f ca="1">BDP("207580BE Muni","GB_ASSURANCE_PROVIDERS")</f>
        <v>#NAME?</v>
      </c>
      <c r="O547" t="e">
        <f ca="1">BDP("207580BE Muni","GB_PROJECT_SELECTION_PROCESS")</f>
        <v>#NAME?</v>
      </c>
      <c r="P547" t="e">
        <f ca="1">BDP("207580BE Muni","ESG_FRAMEWORK_INDICATOR")</f>
        <v>#NAME?</v>
      </c>
      <c r="Q547" t="e">
        <f ca="1">BDP("207580BE Muni","BLOOMBERG_SECTOR_CODE")</f>
        <v>#NAME?</v>
      </c>
      <c r="R547" t="e">
        <f ca="1">BDP("207580BE Muni","ISSUER_TYPE")</f>
        <v>#NAME?</v>
      </c>
      <c r="S547" t="e">
        <f ca="1">BDS("207580BE Muni","ESG_PROJECT_CATEGORY", "aggregate=y")</f>
        <v>#NAME?</v>
      </c>
      <c r="T547" t="e">
        <f ca="1">BDS("207580BE Muni","ESG_PROJECT_SUBCATEGORY", "aggregate=y")</f>
        <v>#NAME?</v>
      </c>
    </row>
    <row r="548" spans="1:20" x14ac:dyDescent="0.25">
      <c r="A548" t="e">
        <f ca="1">BDP("416498GJ Muni","ID_CUSIP")</f>
        <v>#NAME?</v>
      </c>
      <c r="B548" t="e">
        <f ca="1">BDP("416498GJ Muni","STATE_CODE")</f>
        <v>#NAME?</v>
      </c>
      <c r="C548" t="s">
        <v>43</v>
      </c>
      <c r="D548" t="e">
        <f ca="1">BDP("416498GJ Muni","YIELD_ON_ISSUE_DATE")</f>
        <v>#NAME?</v>
      </c>
      <c r="E548">
        <v>2780000</v>
      </c>
      <c r="F548" t="e">
        <f ca="1">BDP("416498GJ Muni","ISSUE_DT")</f>
        <v>#NAME?</v>
      </c>
      <c r="G548" t="e">
        <f ca="1">BDP("416498GJ Muni","MATURITY")</f>
        <v>#NAME?</v>
      </c>
      <c r="H548" t="e">
        <f ca="1">BDP("416498GJ Muni","MUNI_TAX_PROV")</f>
        <v>#NAME?</v>
      </c>
      <c r="I548" t="e">
        <f ca="1">BDP("416498GJ Muni","FINANCING_TYPE")</f>
        <v>#NAME?</v>
      </c>
      <c r="J548" t="e">
        <f ca="1">BDP("416498GJ Muni","BICS_LEVEL_2_INDUSTRY_GROUP_NAME")</f>
        <v>#NAME?</v>
      </c>
      <c r="K548" t="e">
        <f ca="1">BDP("416498GJ Muni","SELF_REPRTD_GREEN_INSTR_INDCTR")</f>
        <v>#NAME?</v>
      </c>
      <c r="L548" t="e">
        <f ca="1">BDP("416498GJ Muni","GB_MANAGEMENT_PROCEEDS")</f>
        <v>#NAME?</v>
      </c>
      <c r="M548" t="e">
        <f ca="1">BDP("416498GJ Muni","GB_REPORTING")</f>
        <v>#NAME?</v>
      </c>
      <c r="N548" t="e">
        <f ca="1">BDP("416498GJ Muni","GB_ASSURANCE_PROVIDERS")</f>
        <v>#NAME?</v>
      </c>
      <c r="O548" t="e">
        <f ca="1">BDP("416498GJ Muni","GB_PROJECT_SELECTION_PROCESS")</f>
        <v>#NAME?</v>
      </c>
      <c r="P548" t="e">
        <f ca="1">BDP("416498GJ Muni","ESG_FRAMEWORK_INDICATOR")</f>
        <v>#NAME?</v>
      </c>
      <c r="Q548" t="e">
        <f ca="1">BDP("416498GJ Muni","BLOOMBERG_SECTOR_CODE")</f>
        <v>#NAME?</v>
      </c>
      <c r="R548" t="e">
        <f ca="1">BDP("416498GJ Muni","ISSUER_TYPE")</f>
        <v>#NAME?</v>
      </c>
      <c r="S548" t="e">
        <f ca="1">BDS("416498GJ Muni","ESG_PROJECT_CATEGORY", "aggregate=y")</f>
        <v>#NAME?</v>
      </c>
      <c r="T548" t="e">
        <f ca="1">BDS("416498GJ Muni","ESG_PROJECT_SUBCATEGORY", "aggregate=y")</f>
        <v>#NAME?</v>
      </c>
    </row>
    <row r="549" spans="1:20" x14ac:dyDescent="0.25">
      <c r="A549" t="e">
        <f ca="1">BDP("207580BJ Muni","ID_CUSIP")</f>
        <v>#NAME?</v>
      </c>
      <c r="B549" t="e">
        <f ca="1">BDP("207580BJ Muni","STATE_CODE")</f>
        <v>#NAME?</v>
      </c>
      <c r="C549" t="s">
        <v>44</v>
      </c>
      <c r="D549" t="e">
        <f ca="1">BDP("207580BJ Muni","YIELD_ON_ISSUE_DATE")</f>
        <v>#NAME?</v>
      </c>
      <c r="E549">
        <v>1549000</v>
      </c>
      <c r="F549" t="e">
        <f ca="1">BDP("207580BJ Muni","ISSUE_DT")</f>
        <v>#NAME?</v>
      </c>
      <c r="G549" t="e">
        <f ca="1">BDP("207580BJ Muni","MATURITY")</f>
        <v>#NAME?</v>
      </c>
      <c r="H549" t="e">
        <f ca="1">BDP("207580BJ Muni","MUNI_TAX_PROV")</f>
        <v>#NAME?</v>
      </c>
      <c r="I549" t="e">
        <f ca="1">BDP("207580BJ Muni","FINANCING_TYPE")</f>
        <v>#NAME?</v>
      </c>
      <c r="J549" t="e">
        <f ca="1">BDP("207580BJ Muni","BICS_LEVEL_2_INDUSTRY_GROUP_NAME")</f>
        <v>#NAME?</v>
      </c>
      <c r="K549" t="e">
        <f ca="1">BDP("207580BJ Muni","SELF_REPRTD_GREEN_INSTR_INDCTR")</f>
        <v>#NAME?</v>
      </c>
      <c r="L549" t="e">
        <f ca="1">BDP("207580BJ Muni","GB_MANAGEMENT_PROCEEDS")</f>
        <v>#NAME?</v>
      </c>
      <c r="M549" t="e">
        <f ca="1">BDP("207580BJ Muni","GB_REPORTING")</f>
        <v>#NAME?</v>
      </c>
      <c r="N549" t="e">
        <f ca="1">BDP("207580BJ Muni","GB_ASSURANCE_PROVIDERS")</f>
        <v>#NAME?</v>
      </c>
      <c r="O549" t="e">
        <f ca="1">BDP("207580BJ Muni","GB_PROJECT_SELECTION_PROCESS")</f>
        <v>#NAME?</v>
      </c>
      <c r="P549" t="e">
        <f ca="1">BDP("207580BJ Muni","ESG_FRAMEWORK_INDICATOR")</f>
        <v>#NAME?</v>
      </c>
      <c r="Q549" t="e">
        <f ca="1">BDP("207580BJ Muni","BLOOMBERG_SECTOR_CODE")</f>
        <v>#NAME?</v>
      </c>
      <c r="R549" t="e">
        <f ca="1">BDP("207580BJ Muni","ISSUER_TYPE")</f>
        <v>#NAME?</v>
      </c>
      <c r="S549" t="e">
        <f ca="1">BDS("207580BJ Muni","ESG_PROJECT_CATEGORY", "aggregate=y")</f>
        <v>#NAME?</v>
      </c>
      <c r="T549" t="e">
        <f ca="1">BDS("207580BJ Muni","ESG_PROJECT_SUBCATEGORY", "aggregate=y")</f>
        <v>#NAME?</v>
      </c>
    </row>
    <row r="550" spans="1:20" x14ac:dyDescent="0.25">
      <c r="A550" t="e">
        <f ca="1">BDP("416498GM Muni","ID_CUSIP")</f>
        <v>#NAME?</v>
      </c>
      <c r="B550" t="e">
        <f ca="1">BDP("416498GM Muni","STATE_CODE")</f>
        <v>#NAME?</v>
      </c>
      <c r="C550" t="s">
        <v>43</v>
      </c>
      <c r="D550" t="e">
        <f ca="1">BDP("416498GM Muni","YIELD_ON_ISSUE_DATE")</f>
        <v>#NAME?</v>
      </c>
      <c r="E550">
        <v>3135000</v>
      </c>
      <c r="F550" t="e">
        <f ca="1">BDP("416498GM Muni","ISSUE_DT")</f>
        <v>#NAME?</v>
      </c>
      <c r="G550" t="e">
        <f ca="1">BDP("416498GM Muni","MATURITY")</f>
        <v>#NAME?</v>
      </c>
      <c r="H550" t="e">
        <f ca="1">BDP("416498GM Muni","MUNI_TAX_PROV")</f>
        <v>#NAME?</v>
      </c>
      <c r="I550" t="e">
        <f ca="1">BDP("416498GM Muni","FINANCING_TYPE")</f>
        <v>#NAME?</v>
      </c>
      <c r="J550" t="e">
        <f ca="1">BDP("416498GM Muni","BICS_LEVEL_2_INDUSTRY_GROUP_NAME")</f>
        <v>#NAME?</v>
      </c>
      <c r="K550" t="e">
        <f ca="1">BDP("416498GM Muni","SELF_REPRTD_GREEN_INSTR_INDCTR")</f>
        <v>#NAME?</v>
      </c>
      <c r="L550" t="e">
        <f ca="1">BDP("416498GM Muni","GB_MANAGEMENT_PROCEEDS")</f>
        <v>#NAME?</v>
      </c>
      <c r="M550" t="e">
        <f ca="1">BDP("416498GM Muni","GB_REPORTING")</f>
        <v>#NAME?</v>
      </c>
      <c r="N550" t="e">
        <f ca="1">BDP("416498GM Muni","GB_ASSURANCE_PROVIDERS")</f>
        <v>#NAME?</v>
      </c>
      <c r="O550" t="e">
        <f ca="1">BDP("416498GM Muni","GB_PROJECT_SELECTION_PROCESS")</f>
        <v>#NAME?</v>
      </c>
      <c r="P550" t="e">
        <f ca="1">BDP("416498GM Muni","ESG_FRAMEWORK_INDICATOR")</f>
        <v>#NAME?</v>
      </c>
      <c r="Q550" t="e">
        <f ca="1">BDP("416498GM Muni","BLOOMBERG_SECTOR_CODE")</f>
        <v>#NAME?</v>
      </c>
      <c r="R550" t="e">
        <f ca="1">BDP("416498GM Muni","ISSUER_TYPE")</f>
        <v>#NAME?</v>
      </c>
      <c r="S550" t="e">
        <f ca="1">BDS("416498GM Muni","ESG_PROJECT_CATEGORY", "aggregate=y")</f>
        <v>#NAME?</v>
      </c>
      <c r="T550" t="e">
        <f ca="1">BDS("416498GM Muni","ESG_PROJECT_SUBCATEGORY", "aggregate=y")</f>
        <v>#NAME?</v>
      </c>
    </row>
    <row r="551" spans="1:20" x14ac:dyDescent="0.25">
      <c r="A551" t="e">
        <f ca="1">BDP("416498GA Muni","ID_CUSIP")</f>
        <v>#NAME?</v>
      </c>
      <c r="B551" t="e">
        <f ca="1">BDP("416498GA Muni","STATE_CODE")</f>
        <v>#NAME?</v>
      </c>
      <c r="C551" t="s">
        <v>43</v>
      </c>
      <c r="D551" t="e">
        <f ca="1">BDP("416498GA Muni","YIELD_ON_ISSUE_DATE")</f>
        <v>#NAME?</v>
      </c>
      <c r="E551">
        <v>1950000</v>
      </c>
      <c r="F551" t="e">
        <f ca="1">BDP("416498GA Muni","ISSUE_DT")</f>
        <v>#NAME?</v>
      </c>
      <c r="G551" t="e">
        <f ca="1">BDP("416498GA Muni","MATURITY")</f>
        <v>#NAME?</v>
      </c>
      <c r="H551" t="e">
        <f ca="1">BDP("416498GA Muni","MUNI_TAX_PROV")</f>
        <v>#NAME?</v>
      </c>
      <c r="I551" t="e">
        <f ca="1">BDP("416498GA Muni","FINANCING_TYPE")</f>
        <v>#NAME?</v>
      </c>
      <c r="J551" t="e">
        <f ca="1">BDP("416498GA Muni","BICS_LEVEL_2_INDUSTRY_GROUP_NAME")</f>
        <v>#NAME?</v>
      </c>
      <c r="K551" t="e">
        <f ca="1">BDP("416498GA Muni","SELF_REPRTD_GREEN_INSTR_INDCTR")</f>
        <v>#NAME?</v>
      </c>
      <c r="L551" t="e">
        <f ca="1">BDP("416498GA Muni","GB_MANAGEMENT_PROCEEDS")</f>
        <v>#NAME?</v>
      </c>
      <c r="M551" t="e">
        <f ca="1">BDP("416498GA Muni","GB_REPORTING")</f>
        <v>#NAME?</v>
      </c>
      <c r="N551" t="e">
        <f ca="1">BDP("416498GA Muni","GB_ASSURANCE_PROVIDERS")</f>
        <v>#NAME?</v>
      </c>
      <c r="O551" t="e">
        <f ca="1">BDP("416498GA Muni","GB_PROJECT_SELECTION_PROCESS")</f>
        <v>#NAME?</v>
      </c>
      <c r="P551" t="e">
        <f ca="1">BDP("416498GA Muni","ESG_FRAMEWORK_INDICATOR")</f>
        <v>#NAME?</v>
      </c>
      <c r="Q551" t="e">
        <f ca="1">BDP("416498GA Muni","BLOOMBERG_SECTOR_CODE")</f>
        <v>#NAME?</v>
      </c>
      <c r="R551" t="e">
        <f ca="1">BDP("416498GA Muni","ISSUER_TYPE")</f>
        <v>#NAME?</v>
      </c>
      <c r="S551" t="e">
        <f ca="1">BDS("416498GA Muni","ESG_PROJECT_CATEGORY", "aggregate=y")</f>
        <v>#NAME?</v>
      </c>
      <c r="T551" t="e">
        <f ca="1">BDS("416498GA Muni","ESG_PROJECT_SUBCATEGORY", "aggregate=y")</f>
        <v>#NAME?</v>
      </c>
    </row>
    <row r="552" spans="1:20" x14ac:dyDescent="0.25">
      <c r="A552" t="e">
        <f ca="1">BDP("416498GH Muni","ID_CUSIP")</f>
        <v>#NAME?</v>
      </c>
      <c r="B552" t="e">
        <f ca="1">BDP("416498GH Muni","STATE_CODE")</f>
        <v>#NAME?</v>
      </c>
      <c r="C552" t="s">
        <v>43</v>
      </c>
      <c r="D552" t="e">
        <f ca="1">BDP("416498GH Muni","YIELD_ON_ISSUE_DATE")</f>
        <v>#NAME?</v>
      </c>
      <c r="E552">
        <v>2670000</v>
      </c>
      <c r="F552" t="e">
        <f ca="1">BDP("416498GH Muni","ISSUE_DT")</f>
        <v>#NAME?</v>
      </c>
      <c r="G552" t="e">
        <f ca="1">BDP("416498GH Muni","MATURITY")</f>
        <v>#NAME?</v>
      </c>
      <c r="H552" t="e">
        <f ca="1">BDP("416498GH Muni","MUNI_TAX_PROV")</f>
        <v>#NAME?</v>
      </c>
      <c r="I552" t="e">
        <f ca="1">BDP("416498GH Muni","FINANCING_TYPE")</f>
        <v>#NAME?</v>
      </c>
      <c r="J552" t="e">
        <f ca="1">BDP("416498GH Muni","BICS_LEVEL_2_INDUSTRY_GROUP_NAME")</f>
        <v>#NAME?</v>
      </c>
      <c r="K552" t="e">
        <f ca="1">BDP("416498GH Muni","SELF_REPRTD_GREEN_INSTR_INDCTR")</f>
        <v>#NAME?</v>
      </c>
      <c r="L552" t="e">
        <f ca="1">BDP("416498GH Muni","GB_MANAGEMENT_PROCEEDS")</f>
        <v>#NAME?</v>
      </c>
      <c r="M552" t="e">
        <f ca="1">BDP("416498GH Muni","GB_REPORTING")</f>
        <v>#NAME?</v>
      </c>
      <c r="N552" t="e">
        <f ca="1">BDP("416498GH Muni","GB_ASSURANCE_PROVIDERS")</f>
        <v>#NAME?</v>
      </c>
      <c r="O552" t="e">
        <f ca="1">BDP("416498GH Muni","GB_PROJECT_SELECTION_PROCESS")</f>
        <v>#NAME?</v>
      </c>
      <c r="P552" t="e">
        <f ca="1">BDP("416498GH Muni","ESG_FRAMEWORK_INDICATOR")</f>
        <v>#NAME?</v>
      </c>
      <c r="Q552" t="e">
        <f ca="1">BDP("416498GH Muni","BLOOMBERG_SECTOR_CODE")</f>
        <v>#NAME?</v>
      </c>
      <c r="R552" t="e">
        <f ca="1">BDP("416498GH Muni","ISSUER_TYPE")</f>
        <v>#NAME?</v>
      </c>
      <c r="S552" t="e">
        <f ca="1">BDS("416498GH Muni","ESG_PROJECT_CATEGORY", "aggregate=y")</f>
        <v>#NAME?</v>
      </c>
      <c r="T552" t="e">
        <f ca="1">BDS("416498GH Muni","ESG_PROJECT_SUBCATEGORY", "aggregate=y")</f>
        <v>#NAME?</v>
      </c>
    </row>
    <row r="553" spans="1:20" x14ac:dyDescent="0.25">
      <c r="A553" t="e">
        <f ca="1">BDP("207580BG Muni","ID_CUSIP")</f>
        <v>#NAME?</v>
      </c>
      <c r="B553" t="e">
        <f ca="1">BDP("207580BG Muni","STATE_CODE")</f>
        <v>#NAME?</v>
      </c>
      <c r="C553" t="s">
        <v>44</v>
      </c>
      <c r="D553" t="e">
        <f ca="1">BDP("207580BG Muni","YIELD_ON_ISSUE_DATE")</f>
        <v>#NAME?</v>
      </c>
      <c r="E553">
        <v>1475000</v>
      </c>
      <c r="F553" t="e">
        <f ca="1">BDP("207580BG Muni","ISSUE_DT")</f>
        <v>#NAME?</v>
      </c>
      <c r="G553" t="e">
        <f ca="1">BDP("207580BG Muni","MATURITY")</f>
        <v>#NAME?</v>
      </c>
      <c r="H553" t="e">
        <f ca="1">BDP("207580BG Muni","MUNI_TAX_PROV")</f>
        <v>#NAME?</v>
      </c>
      <c r="I553" t="e">
        <f ca="1">BDP("207580BG Muni","FINANCING_TYPE")</f>
        <v>#NAME?</v>
      </c>
      <c r="J553" t="e">
        <f ca="1">BDP("207580BG Muni","BICS_LEVEL_2_INDUSTRY_GROUP_NAME")</f>
        <v>#NAME?</v>
      </c>
      <c r="K553" t="e">
        <f ca="1">BDP("207580BG Muni","SELF_REPRTD_GREEN_INSTR_INDCTR")</f>
        <v>#NAME?</v>
      </c>
      <c r="L553" t="e">
        <f ca="1">BDP("207580BG Muni","GB_MANAGEMENT_PROCEEDS")</f>
        <v>#NAME?</v>
      </c>
      <c r="M553" t="e">
        <f ca="1">BDP("207580BG Muni","GB_REPORTING")</f>
        <v>#NAME?</v>
      </c>
      <c r="N553" t="e">
        <f ca="1">BDP("207580BG Muni","GB_ASSURANCE_PROVIDERS")</f>
        <v>#NAME?</v>
      </c>
      <c r="O553" t="e">
        <f ca="1">BDP("207580BG Muni","GB_PROJECT_SELECTION_PROCESS")</f>
        <v>#NAME?</v>
      </c>
      <c r="P553" t="e">
        <f ca="1">BDP("207580BG Muni","ESG_FRAMEWORK_INDICATOR")</f>
        <v>#NAME?</v>
      </c>
      <c r="Q553" t="e">
        <f ca="1">BDP("207580BG Muni","BLOOMBERG_SECTOR_CODE")</f>
        <v>#NAME?</v>
      </c>
      <c r="R553" t="e">
        <f ca="1">BDP("207580BG Muni","ISSUER_TYPE")</f>
        <v>#NAME?</v>
      </c>
      <c r="S553" t="e">
        <f ca="1">BDS("207580BG Muni","ESG_PROJECT_CATEGORY", "aggregate=y")</f>
        <v>#NAME?</v>
      </c>
      <c r="T553" t="e">
        <f ca="1">BDS("207580BG Muni","ESG_PROJECT_SUBCATEGORY", "aggregate=y")</f>
        <v>#NAME?</v>
      </c>
    </row>
    <row r="554" spans="1:20" x14ac:dyDescent="0.25">
      <c r="A554" t="e">
        <f ca="1">BDP("416498FU Muni","ID_CUSIP")</f>
        <v>#NAME?</v>
      </c>
      <c r="B554" t="e">
        <f ca="1">BDP("416498FU Muni","STATE_CODE")</f>
        <v>#NAME?</v>
      </c>
      <c r="C554" t="s">
        <v>43</v>
      </c>
      <c r="D554" t="e">
        <f ca="1">BDP("416498FU Muni","YIELD_ON_ISSUE_DATE")</f>
        <v>#NAME?</v>
      </c>
      <c r="E554">
        <v>1445000</v>
      </c>
      <c r="F554" t="e">
        <f ca="1">BDP("416498FU Muni","ISSUE_DT")</f>
        <v>#NAME?</v>
      </c>
      <c r="G554" t="e">
        <f ca="1">BDP("416498FU Muni","MATURITY")</f>
        <v>#NAME?</v>
      </c>
      <c r="H554" t="e">
        <f ca="1">BDP("416498FU Muni","MUNI_TAX_PROV")</f>
        <v>#NAME?</v>
      </c>
      <c r="I554" t="e">
        <f ca="1">BDP("416498FU Muni","FINANCING_TYPE")</f>
        <v>#NAME?</v>
      </c>
      <c r="J554" t="e">
        <f ca="1">BDP("416498FU Muni","BICS_LEVEL_2_INDUSTRY_GROUP_NAME")</f>
        <v>#NAME?</v>
      </c>
      <c r="K554" t="e">
        <f ca="1">BDP("416498FU Muni","SELF_REPRTD_GREEN_INSTR_INDCTR")</f>
        <v>#NAME?</v>
      </c>
      <c r="L554" t="e">
        <f ca="1">BDP("416498FU Muni","GB_MANAGEMENT_PROCEEDS")</f>
        <v>#NAME?</v>
      </c>
      <c r="M554" t="e">
        <f ca="1">BDP("416498FU Muni","GB_REPORTING")</f>
        <v>#NAME?</v>
      </c>
      <c r="N554" t="e">
        <f ca="1">BDP("416498FU Muni","GB_ASSURANCE_PROVIDERS")</f>
        <v>#NAME?</v>
      </c>
      <c r="O554" t="e">
        <f ca="1">BDP("416498FU Muni","GB_PROJECT_SELECTION_PROCESS")</f>
        <v>#NAME?</v>
      </c>
      <c r="P554" t="e">
        <f ca="1">BDP("416498FU Muni","ESG_FRAMEWORK_INDICATOR")</f>
        <v>#NAME?</v>
      </c>
      <c r="Q554" t="e">
        <f ca="1">BDP("416498FU Muni","BLOOMBERG_SECTOR_CODE")</f>
        <v>#NAME?</v>
      </c>
      <c r="R554" t="e">
        <f ca="1">BDP("416498FU Muni","ISSUER_TYPE")</f>
        <v>#NAME?</v>
      </c>
      <c r="S554" t="e">
        <f ca="1">BDS("416498FU Muni","ESG_PROJECT_CATEGORY", "aggregate=y")</f>
        <v>#NAME?</v>
      </c>
      <c r="T554" t="e">
        <f ca="1">BDS("416498FU Muni","ESG_PROJECT_SUBCATEGORY", "aggregate=y")</f>
        <v>#NAME?</v>
      </c>
    </row>
    <row r="555" spans="1:20" x14ac:dyDescent="0.25">
      <c r="A555" t="e">
        <f ca="1">BDP("416498FV Muni","ID_CUSIP")</f>
        <v>#NAME?</v>
      </c>
      <c r="B555" t="e">
        <f ca="1">BDP("416498FV Muni","STATE_CODE")</f>
        <v>#NAME?</v>
      </c>
      <c r="C555" t="s">
        <v>43</v>
      </c>
      <c r="D555" t="e">
        <f ca="1">BDP("416498FV Muni","YIELD_ON_ISSUE_DATE")</f>
        <v>#NAME?</v>
      </c>
      <c r="E555">
        <v>1515000</v>
      </c>
      <c r="F555" t="e">
        <f ca="1">BDP("416498FV Muni","ISSUE_DT")</f>
        <v>#NAME?</v>
      </c>
      <c r="G555" t="e">
        <f ca="1">BDP("416498FV Muni","MATURITY")</f>
        <v>#NAME?</v>
      </c>
      <c r="H555" t="e">
        <f ca="1">BDP("416498FV Muni","MUNI_TAX_PROV")</f>
        <v>#NAME?</v>
      </c>
      <c r="I555" t="e">
        <f ca="1">BDP("416498FV Muni","FINANCING_TYPE")</f>
        <v>#NAME?</v>
      </c>
      <c r="J555" t="e">
        <f ca="1">BDP("416498FV Muni","BICS_LEVEL_2_INDUSTRY_GROUP_NAME")</f>
        <v>#NAME?</v>
      </c>
      <c r="K555" t="e">
        <f ca="1">BDP("416498FV Muni","SELF_REPRTD_GREEN_INSTR_INDCTR")</f>
        <v>#NAME?</v>
      </c>
      <c r="L555" t="e">
        <f ca="1">BDP("416498FV Muni","GB_MANAGEMENT_PROCEEDS")</f>
        <v>#NAME?</v>
      </c>
      <c r="M555" t="e">
        <f ca="1">BDP("416498FV Muni","GB_REPORTING")</f>
        <v>#NAME?</v>
      </c>
      <c r="N555" t="e">
        <f ca="1">BDP("416498FV Muni","GB_ASSURANCE_PROVIDERS")</f>
        <v>#NAME?</v>
      </c>
      <c r="O555" t="e">
        <f ca="1">BDP("416498FV Muni","GB_PROJECT_SELECTION_PROCESS")</f>
        <v>#NAME?</v>
      </c>
      <c r="P555" t="e">
        <f ca="1">BDP("416498FV Muni","ESG_FRAMEWORK_INDICATOR")</f>
        <v>#NAME?</v>
      </c>
      <c r="Q555" t="e">
        <f ca="1">BDP("416498FV Muni","BLOOMBERG_SECTOR_CODE")</f>
        <v>#NAME?</v>
      </c>
      <c r="R555" t="e">
        <f ca="1">BDP("416498FV Muni","ISSUER_TYPE")</f>
        <v>#NAME?</v>
      </c>
      <c r="S555" t="e">
        <f ca="1">BDS("416498FV Muni","ESG_PROJECT_CATEGORY", "aggregate=y")</f>
        <v>#NAME?</v>
      </c>
      <c r="T555" t="e">
        <f ca="1">BDS("416498FV Muni","ESG_PROJECT_SUBCATEGORY", "aggregate=y")</f>
        <v>#NAME?</v>
      </c>
    </row>
    <row r="556" spans="1:20" x14ac:dyDescent="0.25">
      <c r="A556" t="e">
        <f ca="1">BDP("416498FW Muni","ID_CUSIP")</f>
        <v>#NAME?</v>
      </c>
      <c r="B556" t="e">
        <f ca="1">BDP("416498FW Muni","STATE_CODE")</f>
        <v>#NAME?</v>
      </c>
      <c r="C556" t="s">
        <v>43</v>
      </c>
      <c r="D556" t="e">
        <f ca="1">BDP("416498FW Muni","YIELD_ON_ISSUE_DATE")</f>
        <v>#NAME?</v>
      </c>
      <c r="E556">
        <v>1595000</v>
      </c>
      <c r="F556" t="e">
        <f ca="1">BDP("416498FW Muni","ISSUE_DT")</f>
        <v>#NAME?</v>
      </c>
      <c r="G556" t="e">
        <f ca="1">BDP("416498FW Muni","MATURITY")</f>
        <v>#NAME?</v>
      </c>
      <c r="H556" t="e">
        <f ca="1">BDP("416498FW Muni","MUNI_TAX_PROV")</f>
        <v>#NAME?</v>
      </c>
      <c r="I556" t="e">
        <f ca="1">BDP("416498FW Muni","FINANCING_TYPE")</f>
        <v>#NAME?</v>
      </c>
      <c r="J556" t="e">
        <f ca="1">BDP("416498FW Muni","BICS_LEVEL_2_INDUSTRY_GROUP_NAME")</f>
        <v>#NAME?</v>
      </c>
      <c r="K556" t="e">
        <f ca="1">BDP("416498FW Muni","SELF_REPRTD_GREEN_INSTR_INDCTR")</f>
        <v>#NAME?</v>
      </c>
      <c r="L556" t="e">
        <f ca="1">BDP("416498FW Muni","GB_MANAGEMENT_PROCEEDS")</f>
        <v>#NAME?</v>
      </c>
      <c r="M556" t="e">
        <f ca="1">BDP("416498FW Muni","GB_REPORTING")</f>
        <v>#NAME?</v>
      </c>
      <c r="N556" t="e">
        <f ca="1">BDP("416498FW Muni","GB_ASSURANCE_PROVIDERS")</f>
        <v>#NAME?</v>
      </c>
      <c r="O556" t="e">
        <f ca="1">BDP("416498FW Muni","GB_PROJECT_SELECTION_PROCESS")</f>
        <v>#NAME?</v>
      </c>
      <c r="P556" t="e">
        <f ca="1">BDP("416498FW Muni","ESG_FRAMEWORK_INDICATOR")</f>
        <v>#NAME?</v>
      </c>
      <c r="Q556" t="e">
        <f ca="1">BDP("416498FW Muni","BLOOMBERG_SECTOR_CODE")</f>
        <v>#NAME?</v>
      </c>
      <c r="R556" t="e">
        <f ca="1">BDP("416498FW Muni","ISSUER_TYPE")</f>
        <v>#NAME?</v>
      </c>
      <c r="S556" t="e">
        <f ca="1">BDS("416498FW Muni","ESG_PROJECT_CATEGORY", "aggregate=y")</f>
        <v>#NAME?</v>
      </c>
      <c r="T556" t="e">
        <f ca="1">BDS("416498FW Muni","ESG_PROJECT_SUBCATEGORY", "aggregate=y")</f>
        <v>#NAME?</v>
      </c>
    </row>
    <row r="557" spans="1:20" x14ac:dyDescent="0.25">
      <c r="A557" t="e">
        <f ca="1">BDP("416498FY Muni","ID_CUSIP")</f>
        <v>#NAME?</v>
      </c>
      <c r="B557" t="e">
        <f ca="1">BDP("416498FY Muni","STATE_CODE")</f>
        <v>#NAME?</v>
      </c>
      <c r="C557" t="s">
        <v>43</v>
      </c>
      <c r="D557" t="e">
        <f ca="1">BDP("416498FY Muni","YIELD_ON_ISSUE_DATE")</f>
        <v>#NAME?</v>
      </c>
      <c r="E557">
        <v>1765000</v>
      </c>
      <c r="F557" t="e">
        <f ca="1">BDP("416498FY Muni","ISSUE_DT")</f>
        <v>#NAME?</v>
      </c>
      <c r="G557" t="e">
        <f ca="1">BDP("416498FY Muni","MATURITY")</f>
        <v>#NAME?</v>
      </c>
      <c r="H557" t="e">
        <f ca="1">BDP("416498FY Muni","MUNI_TAX_PROV")</f>
        <v>#NAME?</v>
      </c>
      <c r="I557" t="e">
        <f ca="1">BDP("416498FY Muni","FINANCING_TYPE")</f>
        <v>#NAME?</v>
      </c>
      <c r="J557" t="e">
        <f ca="1">BDP("416498FY Muni","BICS_LEVEL_2_INDUSTRY_GROUP_NAME")</f>
        <v>#NAME?</v>
      </c>
      <c r="K557" t="e">
        <f ca="1">BDP("416498FY Muni","SELF_REPRTD_GREEN_INSTR_INDCTR")</f>
        <v>#NAME?</v>
      </c>
      <c r="L557" t="e">
        <f ca="1">BDP("416498FY Muni","GB_MANAGEMENT_PROCEEDS")</f>
        <v>#NAME?</v>
      </c>
      <c r="M557" t="e">
        <f ca="1">BDP("416498FY Muni","GB_REPORTING")</f>
        <v>#NAME?</v>
      </c>
      <c r="N557" t="e">
        <f ca="1">BDP("416498FY Muni","GB_ASSURANCE_PROVIDERS")</f>
        <v>#NAME?</v>
      </c>
      <c r="O557" t="e">
        <f ca="1">BDP("416498FY Muni","GB_PROJECT_SELECTION_PROCESS")</f>
        <v>#NAME?</v>
      </c>
      <c r="P557" t="e">
        <f ca="1">BDP("416498FY Muni","ESG_FRAMEWORK_INDICATOR")</f>
        <v>#NAME?</v>
      </c>
      <c r="Q557" t="e">
        <f ca="1">BDP("416498FY Muni","BLOOMBERG_SECTOR_CODE")</f>
        <v>#NAME?</v>
      </c>
      <c r="R557" t="e">
        <f ca="1">BDP("416498FY Muni","ISSUER_TYPE")</f>
        <v>#NAME?</v>
      </c>
      <c r="S557" t="e">
        <f ca="1">BDS("416498FY Muni","ESG_PROJECT_CATEGORY", "aggregate=y")</f>
        <v>#NAME?</v>
      </c>
      <c r="T557" t="e">
        <f ca="1">BDS("416498FY Muni","ESG_PROJECT_SUBCATEGORY", "aggregate=y")</f>
        <v>#NAME?</v>
      </c>
    </row>
    <row r="558" spans="1:20" x14ac:dyDescent="0.25">
      <c r="A558" t="e">
        <f ca="1">BDP("416498GF Muni","ID_CUSIP")</f>
        <v>#NAME?</v>
      </c>
      <c r="B558" t="e">
        <f ca="1">BDP("416498GF Muni","STATE_CODE")</f>
        <v>#NAME?</v>
      </c>
      <c r="C558" t="s">
        <v>43</v>
      </c>
      <c r="D558" t="e">
        <f ca="1">BDP("416498GF Muni","YIELD_ON_ISSUE_DATE")</f>
        <v>#NAME?</v>
      </c>
      <c r="E558">
        <v>2465000</v>
      </c>
      <c r="F558" t="e">
        <f ca="1">BDP("416498GF Muni","ISSUE_DT")</f>
        <v>#NAME?</v>
      </c>
      <c r="G558" t="e">
        <f ca="1">BDP("416498GF Muni","MATURITY")</f>
        <v>#NAME?</v>
      </c>
      <c r="H558" t="e">
        <f ca="1">BDP("416498GF Muni","MUNI_TAX_PROV")</f>
        <v>#NAME?</v>
      </c>
      <c r="I558" t="e">
        <f ca="1">BDP("416498GF Muni","FINANCING_TYPE")</f>
        <v>#NAME?</v>
      </c>
      <c r="J558" t="e">
        <f ca="1">BDP("416498GF Muni","BICS_LEVEL_2_INDUSTRY_GROUP_NAME")</f>
        <v>#NAME?</v>
      </c>
      <c r="K558" t="e">
        <f ca="1">BDP("416498GF Muni","SELF_REPRTD_GREEN_INSTR_INDCTR")</f>
        <v>#NAME?</v>
      </c>
      <c r="L558" t="e">
        <f ca="1">BDP("416498GF Muni","GB_MANAGEMENT_PROCEEDS")</f>
        <v>#NAME?</v>
      </c>
      <c r="M558" t="e">
        <f ca="1">BDP("416498GF Muni","GB_REPORTING")</f>
        <v>#NAME?</v>
      </c>
      <c r="N558" t="e">
        <f ca="1">BDP("416498GF Muni","GB_ASSURANCE_PROVIDERS")</f>
        <v>#NAME?</v>
      </c>
      <c r="O558" t="e">
        <f ca="1">BDP("416498GF Muni","GB_PROJECT_SELECTION_PROCESS")</f>
        <v>#NAME?</v>
      </c>
      <c r="P558" t="e">
        <f ca="1">BDP("416498GF Muni","ESG_FRAMEWORK_INDICATOR")</f>
        <v>#NAME?</v>
      </c>
      <c r="Q558" t="e">
        <f ca="1">BDP("416498GF Muni","BLOOMBERG_SECTOR_CODE")</f>
        <v>#NAME?</v>
      </c>
      <c r="R558" t="e">
        <f ca="1">BDP("416498GF Muni","ISSUER_TYPE")</f>
        <v>#NAME?</v>
      </c>
      <c r="S558" t="e">
        <f ca="1">BDS("416498GF Muni","ESG_PROJECT_CATEGORY", "aggregate=y")</f>
        <v>#NAME?</v>
      </c>
      <c r="T558" t="e">
        <f ca="1">BDS("416498GF Muni","ESG_PROJECT_SUBCATEGORY", "aggregate=y")</f>
        <v>#NAME?</v>
      </c>
    </row>
    <row r="559" spans="1:20" x14ac:dyDescent="0.25">
      <c r="A559" t="e">
        <f ca="1">BDP("416498GP Muni","ID_CUSIP")</f>
        <v>#NAME?</v>
      </c>
      <c r="B559" t="e">
        <f ca="1">BDP("416498GP Muni","STATE_CODE")</f>
        <v>#NAME?</v>
      </c>
      <c r="C559" t="s">
        <v>43</v>
      </c>
      <c r="D559" t="e">
        <f ca="1">BDP("416498GP Muni","YIELD_ON_ISSUE_DATE")</f>
        <v>#NAME?</v>
      </c>
      <c r="E559">
        <v>3395000</v>
      </c>
      <c r="F559" t="e">
        <f ca="1">BDP("416498GP Muni","ISSUE_DT")</f>
        <v>#NAME?</v>
      </c>
      <c r="G559" t="e">
        <f ca="1">BDP("416498GP Muni","MATURITY")</f>
        <v>#NAME?</v>
      </c>
      <c r="H559" t="e">
        <f ca="1">BDP("416498GP Muni","MUNI_TAX_PROV")</f>
        <v>#NAME?</v>
      </c>
      <c r="I559" t="e">
        <f ca="1">BDP("416498GP Muni","FINANCING_TYPE")</f>
        <v>#NAME?</v>
      </c>
      <c r="J559" t="e">
        <f ca="1">BDP("416498GP Muni","BICS_LEVEL_2_INDUSTRY_GROUP_NAME")</f>
        <v>#NAME?</v>
      </c>
      <c r="K559" t="e">
        <f ca="1">BDP("416498GP Muni","SELF_REPRTD_GREEN_INSTR_INDCTR")</f>
        <v>#NAME?</v>
      </c>
      <c r="L559" t="e">
        <f ca="1">BDP("416498GP Muni","GB_MANAGEMENT_PROCEEDS")</f>
        <v>#NAME?</v>
      </c>
      <c r="M559" t="e">
        <f ca="1">BDP("416498GP Muni","GB_REPORTING")</f>
        <v>#NAME?</v>
      </c>
      <c r="N559" t="e">
        <f ca="1">BDP("416498GP Muni","GB_ASSURANCE_PROVIDERS")</f>
        <v>#NAME?</v>
      </c>
      <c r="O559" t="e">
        <f ca="1">BDP("416498GP Muni","GB_PROJECT_SELECTION_PROCESS")</f>
        <v>#NAME?</v>
      </c>
      <c r="P559" t="e">
        <f ca="1">BDP("416498GP Muni","ESG_FRAMEWORK_INDICATOR")</f>
        <v>#NAME?</v>
      </c>
      <c r="Q559" t="e">
        <f ca="1">BDP("416498GP Muni","BLOOMBERG_SECTOR_CODE")</f>
        <v>#NAME?</v>
      </c>
      <c r="R559" t="e">
        <f ca="1">BDP("416498GP Muni","ISSUER_TYPE")</f>
        <v>#NAME?</v>
      </c>
      <c r="S559" t="e">
        <f ca="1">BDS("416498GP Muni","ESG_PROJECT_CATEGORY", "aggregate=y")</f>
        <v>#NAME?</v>
      </c>
      <c r="T559" t="e">
        <f ca="1">BDS("416498GP Muni","ESG_PROJECT_SUBCATEGORY", "aggregate=y")</f>
        <v>#NAME?</v>
      </c>
    </row>
    <row r="560" spans="1:20" x14ac:dyDescent="0.25">
      <c r="A560" t="e">
        <f ca="1">BDP("254845VC Muni","ID_CUSIP")</f>
        <v>#NAME?</v>
      </c>
      <c r="B560" t="e">
        <f ca="1">BDP("254845VC Muni","STATE_CODE")</f>
        <v>#NAME?</v>
      </c>
      <c r="C560" t="s">
        <v>45</v>
      </c>
      <c r="D560" t="e">
        <f ca="1">BDP("254845VC Muni","YIELD_ON_ISSUE_DATE")</f>
        <v>#NAME?</v>
      </c>
      <c r="E560">
        <v>2020000</v>
      </c>
      <c r="F560" t="e">
        <f ca="1">BDP("254845VC Muni","ISSUE_DT")</f>
        <v>#NAME?</v>
      </c>
      <c r="G560" t="e">
        <f ca="1">BDP("254845VC Muni","MATURITY")</f>
        <v>#NAME?</v>
      </c>
      <c r="H560" t="e">
        <f ca="1">BDP("254845VC Muni","MUNI_TAX_PROV")</f>
        <v>#NAME?</v>
      </c>
      <c r="I560" t="e">
        <f ca="1">BDP("254845VC Muni","FINANCING_TYPE")</f>
        <v>#NAME?</v>
      </c>
      <c r="J560" t="e">
        <f ca="1">BDP("254845VC Muni","BICS_LEVEL_2_INDUSTRY_GROUP_NAME")</f>
        <v>#NAME?</v>
      </c>
      <c r="K560" t="e">
        <f ca="1">BDP("254845VC Muni","SELF_REPRTD_GREEN_INSTR_INDCTR")</f>
        <v>#NAME?</v>
      </c>
      <c r="L560" t="e">
        <f ca="1">BDP("254845VC Muni","GB_MANAGEMENT_PROCEEDS")</f>
        <v>#NAME?</v>
      </c>
      <c r="M560" t="e">
        <f ca="1">BDP("254845VC Muni","GB_REPORTING")</f>
        <v>#NAME?</v>
      </c>
      <c r="N560" t="e">
        <f ca="1">BDP("254845VC Muni","GB_ASSURANCE_PROVIDERS")</f>
        <v>#NAME?</v>
      </c>
      <c r="O560" t="e">
        <f ca="1">BDP("254845VC Muni","GB_PROJECT_SELECTION_PROCESS")</f>
        <v>#NAME?</v>
      </c>
      <c r="P560" t="e">
        <f ca="1">BDP("254845VC Muni","ESG_FRAMEWORK_INDICATOR")</f>
        <v>#NAME?</v>
      </c>
      <c r="Q560" t="e">
        <f ca="1">BDP("254845VC Muni","BLOOMBERG_SECTOR_CODE")</f>
        <v>#NAME?</v>
      </c>
      <c r="R560" t="e">
        <f ca="1">BDP("254845VC Muni","ISSUER_TYPE")</f>
        <v>#NAME?</v>
      </c>
      <c r="S560" t="e">
        <f ca="1">BDS("254845VC Muni","ESG_PROJECT_CATEGORY", "aggregate=y")</f>
        <v>#NAME?</v>
      </c>
      <c r="T560" t="e">
        <f ca="1">BDS("254845VC Muni","ESG_PROJECT_SUBCATEGORY", "aggregate=y")</f>
        <v>#NAME?</v>
      </c>
    </row>
    <row r="561" spans="1:20" x14ac:dyDescent="0.25">
      <c r="A561" t="e">
        <f ca="1">BDP("254845VF Muni","ID_CUSIP")</f>
        <v>#NAME?</v>
      </c>
      <c r="B561" t="e">
        <f ca="1">BDP("254845VF Muni","STATE_CODE")</f>
        <v>#NAME?</v>
      </c>
      <c r="C561" t="s">
        <v>45</v>
      </c>
      <c r="D561" t="e">
        <f ca="1">BDP("254845VF Muni","YIELD_ON_ISSUE_DATE")</f>
        <v>#NAME?</v>
      </c>
      <c r="E561">
        <v>2305000</v>
      </c>
      <c r="F561" t="e">
        <f ca="1">BDP("254845VF Muni","ISSUE_DT")</f>
        <v>#NAME?</v>
      </c>
      <c r="G561" t="e">
        <f ca="1">BDP("254845VF Muni","MATURITY")</f>
        <v>#NAME?</v>
      </c>
      <c r="H561" t="e">
        <f ca="1">BDP("254845VF Muni","MUNI_TAX_PROV")</f>
        <v>#NAME?</v>
      </c>
      <c r="I561" t="e">
        <f ca="1">BDP("254845VF Muni","FINANCING_TYPE")</f>
        <v>#NAME?</v>
      </c>
      <c r="J561" t="e">
        <f ca="1">BDP("254845VF Muni","BICS_LEVEL_2_INDUSTRY_GROUP_NAME")</f>
        <v>#NAME?</v>
      </c>
      <c r="K561" t="e">
        <f ca="1">BDP("254845VF Muni","SELF_REPRTD_GREEN_INSTR_INDCTR")</f>
        <v>#NAME?</v>
      </c>
      <c r="L561" t="e">
        <f ca="1">BDP("254845VF Muni","GB_MANAGEMENT_PROCEEDS")</f>
        <v>#NAME?</v>
      </c>
      <c r="M561" t="e">
        <f ca="1">BDP("254845VF Muni","GB_REPORTING")</f>
        <v>#NAME?</v>
      </c>
      <c r="N561" t="e">
        <f ca="1">BDP("254845VF Muni","GB_ASSURANCE_PROVIDERS")</f>
        <v>#NAME?</v>
      </c>
      <c r="O561" t="e">
        <f ca="1">BDP("254845VF Muni","GB_PROJECT_SELECTION_PROCESS")</f>
        <v>#NAME?</v>
      </c>
      <c r="P561" t="e">
        <f ca="1">BDP("254845VF Muni","ESG_FRAMEWORK_INDICATOR")</f>
        <v>#NAME?</v>
      </c>
      <c r="Q561" t="e">
        <f ca="1">BDP("254845VF Muni","BLOOMBERG_SECTOR_CODE")</f>
        <v>#NAME?</v>
      </c>
      <c r="R561" t="e">
        <f ca="1">BDP("254845VF Muni","ISSUER_TYPE")</f>
        <v>#NAME?</v>
      </c>
      <c r="S561" t="e">
        <f ca="1">BDS("254845VF Muni","ESG_PROJECT_CATEGORY", "aggregate=y")</f>
        <v>#NAME?</v>
      </c>
      <c r="T561" t="e">
        <f ca="1">BDS("254845VF Muni","ESG_PROJECT_SUBCATEGORY", "aggregate=y")</f>
        <v>#NAME?</v>
      </c>
    </row>
    <row r="562" spans="1:20" x14ac:dyDescent="0.25">
      <c r="A562" t="e">
        <f ca="1">BDP("254845VQ Muni","ID_CUSIP")</f>
        <v>#NAME?</v>
      </c>
      <c r="B562" t="e">
        <f ca="1">BDP("254845VQ Muni","STATE_CODE")</f>
        <v>#NAME?</v>
      </c>
      <c r="C562" t="s">
        <v>45</v>
      </c>
      <c r="D562" t="e">
        <f ca="1">BDP("254845VQ Muni","YIELD_ON_ISSUE_DATE")</f>
        <v>#NAME?</v>
      </c>
      <c r="E562">
        <v>5045000</v>
      </c>
      <c r="F562" t="e">
        <f ca="1">BDP("254845VQ Muni","ISSUE_DT")</f>
        <v>#NAME?</v>
      </c>
      <c r="G562" t="e">
        <f ca="1">BDP("254845VQ Muni","MATURITY")</f>
        <v>#NAME?</v>
      </c>
      <c r="H562" t="e">
        <f ca="1">BDP("254845VQ Muni","MUNI_TAX_PROV")</f>
        <v>#NAME?</v>
      </c>
      <c r="I562" t="e">
        <f ca="1">BDP("254845VQ Muni","FINANCING_TYPE")</f>
        <v>#NAME?</v>
      </c>
      <c r="J562" t="e">
        <f ca="1">BDP("254845VQ Muni","BICS_LEVEL_2_INDUSTRY_GROUP_NAME")</f>
        <v>#NAME?</v>
      </c>
      <c r="K562" t="e">
        <f ca="1">BDP("254845VQ Muni","SELF_REPRTD_GREEN_INSTR_INDCTR")</f>
        <v>#NAME?</v>
      </c>
      <c r="L562" t="e">
        <f ca="1">BDP("254845VQ Muni","GB_MANAGEMENT_PROCEEDS")</f>
        <v>#NAME?</v>
      </c>
      <c r="M562" t="e">
        <f ca="1">BDP("254845VQ Muni","GB_REPORTING")</f>
        <v>#NAME?</v>
      </c>
      <c r="N562" t="e">
        <f ca="1">BDP("254845VQ Muni","GB_ASSURANCE_PROVIDERS")</f>
        <v>#NAME?</v>
      </c>
      <c r="O562" t="e">
        <f ca="1">BDP("254845VQ Muni","GB_PROJECT_SELECTION_PROCESS")</f>
        <v>#NAME?</v>
      </c>
      <c r="P562" t="e">
        <f ca="1">BDP("254845VQ Muni","ESG_FRAMEWORK_INDICATOR")</f>
        <v>#NAME?</v>
      </c>
      <c r="Q562" t="e">
        <f ca="1">BDP("254845VQ Muni","BLOOMBERG_SECTOR_CODE")</f>
        <v>#NAME?</v>
      </c>
      <c r="R562" t="e">
        <f ca="1">BDP("254845VQ Muni","ISSUER_TYPE")</f>
        <v>#NAME?</v>
      </c>
      <c r="S562" t="e">
        <f ca="1">BDS("254845VQ Muni","ESG_PROJECT_CATEGORY", "aggregate=y")</f>
        <v>#NAME?</v>
      </c>
      <c r="T562" t="e">
        <f ca="1">BDS("254845VQ Muni","ESG_PROJECT_SUBCATEGORY", "aggregate=y")</f>
        <v>#NAME?</v>
      </c>
    </row>
    <row r="563" spans="1:20" x14ac:dyDescent="0.25">
      <c r="A563" t="e">
        <f ca="1">BDP("254845VR Muni","ID_CUSIP")</f>
        <v>#NAME?</v>
      </c>
      <c r="B563" t="e">
        <f ca="1">BDP("254845VR Muni","STATE_CODE")</f>
        <v>#NAME?</v>
      </c>
      <c r="C563" t="s">
        <v>45</v>
      </c>
      <c r="D563" t="e">
        <f ca="1">BDP("254845VR Muni","YIELD_ON_ISSUE_DATE")</f>
        <v>#NAME?</v>
      </c>
      <c r="E563">
        <v>3310000</v>
      </c>
      <c r="F563" t="e">
        <f ca="1">BDP("254845VR Muni","ISSUE_DT")</f>
        <v>#NAME?</v>
      </c>
      <c r="G563" t="e">
        <f ca="1">BDP("254845VR Muni","MATURITY")</f>
        <v>#NAME?</v>
      </c>
      <c r="H563" t="e">
        <f ca="1">BDP("254845VR Muni","MUNI_TAX_PROV")</f>
        <v>#NAME?</v>
      </c>
      <c r="I563" t="e">
        <f ca="1">BDP("254845VR Muni","FINANCING_TYPE")</f>
        <v>#NAME?</v>
      </c>
      <c r="J563" t="e">
        <f ca="1">BDP("254845VR Muni","BICS_LEVEL_2_INDUSTRY_GROUP_NAME")</f>
        <v>#NAME?</v>
      </c>
      <c r="K563" t="e">
        <f ca="1">BDP("254845VR Muni","SELF_REPRTD_GREEN_INSTR_INDCTR")</f>
        <v>#NAME?</v>
      </c>
      <c r="L563" t="e">
        <f ca="1">BDP("254845VR Muni","GB_MANAGEMENT_PROCEEDS")</f>
        <v>#NAME?</v>
      </c>
      <c r="M563" t="e">
        <f ca="1">BDP("254845VR Muni","GB_REPORTING")</f>
        <v>#NAME?</v>
      </c>
      <c r="N563" t="e">
        <f ca="1">BDP("254845VR Muni","GB_ASSURANCE_PROVIDERS")</f>
        <v>#NAME?</v>
      </c>
      <c r="O563" t="e">
        <f ca="1">BDP("254845VR Muni","GB_PROJECT_SELECTION_PROCESS")</f>
        <v>#NAME?</v>
      </c>
      <c r="P563" t="e">
        <f ca="1">BDP("254845VR Muni","ESG_FRAMEWORK_INDICATOR")</f>
        <v>#NAME?</v>
      </c>
      <c r="Q563" t="e">
        <f ca="1">BDP("254845VR Muni","BLOOMBERG_SECTOR_CODE")</f>
        <v>#NAME?</v>
      </c>
      <c r="R563" t="e">
        <f ca="1">BDP("254845VR Muni","ISSUER_TYPE")</f>
        <v>#NAME?</v>
      </c>
      <c r="S563" t="e">
        <f ca="1">BDS("254845VR Muni","ESG_PROJECT_CATEGORY", "aggregate=y")</f>
        <v>#NAME?</v>
      </c>
      <c r="T563" t="e">
        <f ca="1">BDS("254845VR Muni","ESG_PROJECT_SUBCATEGORY", "aggregate=y")</f>
        <v>#NAME?</v>
      </c>
    </row>
    <row r="564" spans="1:20" x14ac:dyDescent="0.25">
      <c r="A564" t="e">
        <f ca="1">BDP("254845VT Muni","ID_CUSIP")</f>
        <v>#NAME?</v>
      </c>
      <c r="B564" t="e">
        <f ca="1">BDP("254845VT Muni","STATE_CODE")</f>
        <v>#NAME?</v>
      </c>
      <c r="C564" t="s">
        <v>45</v>
      </c>
      <c r="D564" t="e">
        <f ca="1">BDP("254845VT Muni","YIELD_ON_ISSUE_DATE")</f>
        <v>#NAME?</v>
      </c>
      <c r="E564">
        <v>31995000</v>
      </c>
      <c r="F564" t="e">
        <f ca="1">BDP("254845VT Muni","ISSUE_DT")</f>
        <v>#NAME?</v>
      </c>
      <c r="G564" t="e">
        <f ca="1">BDP("254845VT Muni","MATURITY")</f>
        <v>#NAME?</v>
      </c>
      <c r="H564" t="e">
        <f ca="1">BDP("254845VT Muni","MUNI_TAX_PROV")</f>
        <v>#NAME?</v>
      </c>
      <c r="I564" t="e">
        <f ca="1">BDP("254845VT Muni","FINANCING_TYPE")</f>
        <v>#NAME?</v>
      </c>
      <c r="J564" t="e">
        <f ca="1">BDP("254845VT Muni","BICS_LEVEL_2_INDUSTRY_GROUP_NAME")</f>
        <v>#NAME?</v>
      </c>
      <c r="K564" t="e">
        <f ca="1">BDP("254845VT Muni","SELF_REPRTD_GREEN_INSTR_INDCTR")</f>
        <v>#NAME?</v>
      </c>
      <c r="L564" t="e">
        <f ca="1">BDP("254845VT Muni","GB_MANAGEMENT_PROCEEDS")</f>
        <v>#NAME?</v>
      </c>
      <c r="M564" t="e">
        <f ca="1">BDP("254845VT Muni","GB_REPORTING")</f>
        <v>#NAME?</v>
      </c>
      <c r="N564" t="e">
        <f ca="1">BDP("254845VT Muni","GB_ASSURANCE_PROVIDERS")</f>
        <v>#NAME?</v>
      </c>
      <c r="O564" t="e">
        <f ca="1">BDP("254845VT Muni","GB_PROJECT_SELECTION_PROCESS")</f>
        <v>#NAME?</v>
      </c>
      <c r="P564" t="e">
        <f ca="1">BDP("254845VT Muni","ESG_FRAMEWORK_INDICATOR")</f>
        <v>#NAME?</v>
      </c>
      <c r="Q564" t="e">
        <f ca="1">BDP("254845VT Muni","BLOOMBERG_SECTOR_CODE")</f>
        <v>#NAME?</v>
      </c>
      <c r="R564" t="e">
        <f ca="1">BDP("254845VT Muni","ISSUER_TYPE")</f>
        <v>#NAME?</v>
      </c>
      <c r="S564" t="e">
        <f ca="1">BDS("254845VT Muni","ESG_PROJECT_CATEGORY", "aggregate=y")</f>
        <v>#NAME?</v>
      </c>
      <c r="T564" t="e">
        <f ca="1">BDS("254845VT Muni","ESG_PROJECT_SUBCATEGORY", "aggregate=y")</f>
        <v>#NAME?</v>
      </c>
    </row>
    <row r="565" spans="1:20" x14ac:dyDescent="0.25">
      <c r="A565" t="e">
        <f ca="1">BDP("254845VU Muni","ID_CUSIP")</f>
        <v>#NAME?</v>
      </c>
      <c r="B565" t="e">
        <f ca="1">BDP("254845VU Muni","STATE_CODE")</f>
        <v>#NAME?</v>
      </c>
      <c r="C565" t="s">
        <v>45</v>
      </c>
      <c r="D565" t="e">
        <f ca="1">BDP("254845VU Muni","YIELD_ON_ISSUE_DATE")</f>
        <v>#NAME?</v>
      </c>
      <c r="E565">
        <v>32185000</v>
      </c>
      <c r="F565" t="e">
        <f ca="1">BDP("254845VU Muni","ISSUE_DT")</f>
        <v>#NAME?</v>
      </c>
      <c r="G565" t="e">
        <f ca="1">BDP("254845VU Muni","MATURITY")</f>
        <v>#NAME?</v>
      </c>
      <c r="H565" t="e">
        <f ca="1">BDP("254845VU Muni","MUNI_TAX_PROV")</f>
        <v>#NAME?</v>
      </c>
      <c r="I565" t="e">
        <f ca="1">BDP("254845VU Muni","FINANCING_TYPE")</f>
        <v>#NAME?</v>
      </c>
      <c r="J565" t="e">
        <f ca="1">BDP("254845VU Muni","BICS_LEVEL_2_INDUSTRY_GROUP_NAME")</f>
        <v>#NAME?</v>
      </c>
      <c r="K565" t="e">
        <f ca="1">BDP("254845VU Muni","SELF_REPRTD_GREEN_INSTR_INDCTR")</f>
        <v>#NAME?</v>
      </c>
      <c r="L565" t="e">
        <f ca="1">BDP("254845VU Muni","GB_MANAGEMENT_PROCEEDS")</f>
        <v>#NAME?</v>
      </c>
      <c r="M565" t="e">
        <f ca="1">BDP("254845VU Muni","GB_REPORTING")</f>
        <v>#NAME?</v>
      </c>
      <c r="N565" t="e">
        <f ca="1">BDP("254845VU Muni","GB_ASSURANCE_PROVIDERS")</f>
        <v>#NAME?</v>
      </c>
      <c r="O565" t="e">
        <f ca="1">BDP("254845VU Muni","GB_PROJECT_SELECTION_PROCESS")</f>
        <v>#NAME?</v>
      </c>
      <c r="P565" t="e">
        <f ca="1">BDP("254845VU Muni","ESG_FRAMEWORK_INDICATOR")</f>
        <v>#NAME?</v>
      </c>
      <c r="Q565" t="e">
        <f ca="1">BDP("254845VU Muni","BLOOMBERG_SECTOR_CODE")</f>
        <v>#NAME?</v>
      </c>
      <c r="R565" t="e">
        <f ca="1">BDP("254845VU Muni","ISSUER_TYPE")</f>
        <v>#NAME?</v>
      </c>
      <c r="S565" t="e">
        <f ca="1">BDS("254845VU Muni","ESG_PROJECT_CATEGORY", "aggregate=y")</f>
        <v>#NAME?</v>
      </c>
      <c r="T565" t="e">
        <f ca="1">BDS("254845VU Muni","ESG_PROJECT_SUBCATEGORY", "aggregate=y")</f>
        <v>#NAME?</v>
      </c>
    </row>
    <row r="566" spans="1:20" x14ac:dyDescent="0.25">
      <c r="A566" t="e">
        <f ca="1">BDP("254845UY Muni","ID_CUSIP")</f>
        <v>#NAME?</v>
      </c>
      <c r="B566" t="e">
        <f ca="1">BDP("254845UY Muni","STATE_CODE")</f>
        <v>#NAME?</v>
      </c>
      <c r="C566" t="s">
        <v>45</v>
      </c>
      <c r="D566" t="e">
        <f ca="1">BDP("254845UY Muni","YIELD_ON_ISSUE_DATE")</f>
        <v>#NAME?</v>
      </c>
      <c r="E566">
        <v>8665000</v>
      </c>
      <c r="F566" t="e">
        <f ca="1">BDP("254845UY Muni","ISSUE_DT")</f>
        <v>#NAME?</v>
      </c>
      <c r="G566" t="e">
        <f ca="1">BDP("254845UY Muni","MATURITY")</f>
        <v>#NAME?</v>
      </c>
      <c r="H566" t="e">
        <f ca="1">BDP("254845UY Muni","MUNI_TAX_PROV")</f>
        <v>#NAME?</v>
      </c>
      <c r="I566" t="e">
        <f ca="1">BDP("254845UY Muni","FINANCING_TYPE")</f>
        <v>#NAME?</v>
      </c>
      <c r="J566" t="e">
        <f ca="1">BDP("254845UY Muni","BICS_LEVEL_2_INDUSTRY_GROUP_NAME")</f>
        <v>#NAME?</v>
      </c>
      <c r="K566" t="e">
        <f ca="1">BDP("254845UY Muni","SELF_REPRTD_GREEN_INSTR_INDCTR")</f>
        <v>#NAME?</v>
      </c>
      <c r="L566" t="e">
        <f ca="1">BDP("254845UY Muni","GB_MANAGEMENT_PROCEEDS")</f>
        <v>#NAME?</v>
      </c>
      <c r="M566" t="e">
        <f ca="1">BDP("254845UY Muni","GB_REPORTING")</f>
        <v>#NAME?</v>
      </c>
      <c r="N566" t="e">
        <f ca="1">BDP("254845UY Muni","GB_ASSURANCE_PROVIDERS")</f>
        <v>#NAME?</v>
      </c>
      <c r="O566" t="e">
        <f ca="1">BDP("254845UY Muni","GB_PROJECT_SELECTION_PROCESS")</f>
        <v>#NAME?</v>
      </c>
      <c r="P566" t="e">
        <f ca="1">BDP("254845UY Muni","ESG_FRAMEWORK_INDICATOR")</f>
        <v>#NAME?</v>
      </c>
      <c r="Q566" t="e">
        <f ca="1">BDP("254845UY Muni","BLOOMBERG_SECTOR_CODE")</f>
        <v>#NAME?</v>
      </c>
      <c r="R566" t="e">
        <f ca="1">BDP("254845UY Muni","ISSUER_TYPE")</f>
        <v>#NAME?</v>
      </c>
      <c r="S566" t="e">
        <f ca="1">BDS("254845UY Muni","ESG_PROJECT_CATEGORY", "aggregate=y")</f>
        <v>#NAME?</v>
      </c>
      <c r="T566" t="e">
        <f ca="1">BDS("254845UY Muni","ESG_PROJECT_SUBCATEGORY", "aggregate=y")</f>
        <v>#NAME?</v>
      </c>
    </row>
    <row r="567" spans="1:20" x14ac:dyDescent="0.25">
      <c r="A567" t="e">
        <f ca="1">BDP("254845VK Muni","ID_CUSIP")</f>
        <v>#NAME?</v>
      </c>
      <c r="B567" t="e">
        <f ca="1">BDP("254845VK Muni","STATE_CODE")</f>
        <v>#NAME?</v>
      </c>
      <c r="C567" t="s">
        <v>45</v>
      </c>
      <c r="D567" t="e">
        <f ca="1">BDP("254845VK Muni","YIELD_ON_ISSUE_DATE")</f>
        <v>#NAME?</v>
      </c>
      <c r="E567">
        <v>8015000</v>
      </c>
      <c r="F567" t="e">
        <f ca="1">BDP("254845VK Muni","ISSUE_DT")</f>
        <v>#NAME?</v>
      </c>
      <c r="G567" t="e">
        <f ca="1">BDP("254845VK Muni","MATURITY")</f>
        <v>#NAME?</v>
      </c>
      <c r="H567" t="e">
        <f ca="1">BDP("254845VK Muni","MUNI_TAX_PROV")</f>
        <v>#NAME?</v>
      </c>
      <c r="I567" t="e">
        <f ca="1">BDP("254845VK Muni","FINANCING_TYPE")</f>
        <v>#NAME?</v>
      </c>
      <c r="J567" t="e">
        <f ca="1">BDP("254845VK Muni","BICS_LEVEL_2_INDUSTRY_GROUP_NAME")</f>
        <v>#NAME?</v>
      </c>
      <c r="K567" t="e">
        <f ca="1">BDP("254845VK Muni","SELF_REPRTD_GREEN_INSTR_INDCTR")</f>
        <v>#NAME?</v>
      </c>
      <c r="L567" t="e">
        <f ca="1">BDP("254845VK Muni","GB_MANAGEMENT_PROCEEDS")</f>
        <v>#NAME?</v>
      </c>
      <c r="M567" t="e">
        <f ca="1">BDP("254845VK Muni","GB_REPORTING")</f>
        <v>#NAME?</v>
      </c>
      <c r="N567" t="e">
        <f ca="1">BDP("254845VK Muni","GB_ASSURANCE_PROVIDERS")</f>
        <v>#NAME?</v>
      </c>
      <c r="O567" t="e">
        <f ca="1">BDP("254845VK Muni","GB_PROJECT_SELECTION_PROCESS")</f>
        <v>#NAME?</v>
      </c>
      <c r="P567" t="e">
        <f ca="1">BDP("254845VK Muni","ESG_FRAMEWORK_INDICATOR")</f>
        <v>#NAME?</v>
      </c>
      <c r="Q567" t="e">
        <f ca="1">BDP("254845VK Muni","BLOOMBERG_SECTOR_CODE")</f>
        <v>#NAME?</v>
      </c>
      <c r="R567" t="e">
        <f ca="1">BDP("254845VK Muni","ISSUER_TYPE")</f>
        <v>#NAME?</v>
      </c>
      <c r="S567" t="e">
        <f ca="1">BDS("254845VK Muni","ESG_PROJECT_CATEGORY", "aggregate=y")</f>
        <v>#NAME?</v>
      </c>
      <c r="T567" t="e">
        <f ca="1">BDS("254845VK Muni","ESG_PROJECT_SUBCATEGORY", "aggregate=y")</f>
        <v>#NAME?</v>
      </c>
    </row>
    <row r="568" spans="1:20" x14ac:dyDescent="0.25">
      <c r="A568" t="e">
        <f ca="1">BDP("254845UZ Muni","ID_CUSIP")</f>
        <v>#NAME?</v>
      </c>
      <c r="B568" t="e">
        <f ca="1">BDP("254845UZ Muni","STATE_CODE")</f>
        <v>#NAME?</v>
      </c>
      <c r="C568" t="s">
        <v>45</v>
      </c>
      <c r="D568" t="e">
        <f ca="1">BDP("254845UZ Muni","YIELD_ON_ISSUE_DATE")</f>
        <v>#NAME?</v>
      </c>
      <c r="E568">
        <v>9590000</v>
      </c>
      <c r="F568" t="e">
        <f ca="1">BDP("254845UZ Muni","ISSUE_DT")</f>
        <v>#NAME?</v>
      </c>
      <c r="G568" t="e">
        <f ca="1">BDP("254845UZ Muni","MATURITY")</f>
        <v>#NAME?</v>
      </c>
      <c r="H568" t="e">
        <f ca="1">BDP("254845UZ Muni","MUNI_TAX_PROV")</f>
        <v>#NAME?</v>
      </c>
      <c r="I568" t="e">
        <f ca="1">BDP("254845UZ Muni","FINANCING_TYPE")</f>
        <v>#NAME?</v>
      </c>
      <c r="J568" t="e">
        <f ca="1">BDP("254845UZ Muni","BICS_LEVEL_2_INDUSTRY_GROUP_NAME")</f>
        <v>#NAME?</v>
      </c>
      <c r="K568" t="e">
        <f ca="1">BDP("254845UZ Muni","SELF_REPRTD_GREEN_INSTR_INDCTR")</f>
        <v>#NAME?</v>
      </c>
      <c r="L568" t="e">
        <f ca="1">BDP("254845UZ Muni","GB_MANAGEMENT_PROCEEDS")</f>
        <v>#NAME?</v>
      </c>
      <c r="M568" t="e">
        <f ca="1">BDP("254845UZ Muni","GB_REPORTING")</f>
        <v>#NAME?</v>
      </c>
      <c r="N568" t="e">
        <f ca="1">BDP("254845UZ Muni","GB_ASSURANCE_PROVIDERS")</f>
        <v>#NAME?</v>
      </c>
      <c r="O568" t="e">
        <f ca="1">BDP("254845UZ Muni","GB_PROJECT_SELECTION_PROCESS")</f>
        <v>#NAME?</v>
      </c>
      <c r="P568" t="e">
        <f ca="1">BDP("254845UZ Muni","ESG_FRAMEWORK_INDICATOR")</f>
        <v>#NAME?</v>
      </c>
      <c r="Q568" t="e">
        <f ca="1">BDP("254845UZ Muni","BLOOMBERG_SECTOR_CODE")</f>
        <v>#NAME?</v>
      </c>
      <c r="R568" t="e">
        <f ca="1">BDP("254845UZ Muni","ISSUER_TYPE")</f>
        <v>#NAME?</v>
      </c>
      <c r="S568" t="e">
        <f ca="1">BDS("254845UZ Muni","ESG_PROJECT_CATEGORY", "aggregate=y")</f>
        <v>#NAME?</v>
      </c>
      <c r="T568" t="e">
        <f ca="1">BDS("254845UZ Muni","ESG_PROJECT_SUBCATEGORY", "aggregate=y")</f>
        <v>#NAME?</v>
      </c>
    </row>
    <row r="569" spans="1:20" x14ac:dyDescent="0.25">
      <c r="A569" t="e">
        <f ca="1">BDP("254845VA Muni","ID_CUSIP")</f>
        <v>#NAME?</v>
      </c>
      <c r="B569" t="e">
        <f ca="1">BDP("254845VA Muni","STATE_CODE")</f>
        <v>#NAME?</v>
      </c>
      <c r="C569" t="s">
        <v>45</v>
      </c>
      <c r="D569" t="e">
        <f ca="1">BDP("254845VA Muni","YIELD_ON_ISSUE_DATE")</f>
        <v>#NAME?</v>
      </c>
      <c r="E569">
        <v>4175000</v>
      </c>
      <c r="F569" t="e">
        <f ca="1">BDP("254845VA Muni","ISSUE_DT")</f>
        <v>#NAME?</v>
      </c>
      <c r="G569" t="e">
        <f ca="1">BDP("254845VA Muni","MATURITY")</f>
        <v>#NAME?</v>
      </c>
      <c r="H569" t="e">
        <f ca="1">BDP("254845VA Muni","MUNI_TAX_PROV")</f>
        <v>#NAME?</v>
      </c>
      <c r="I569" t="e">
        <f ca="1">BDP("254845VA Muni","FINANCING_TYPE")</f>
        <v>#NAME?</v>
      </c>
      <c r="J569" t="e">
        <f ca="1">BDP("254845VA Muni","BICS_LEVEL_2_INDUSTRY_GROUP_NAME")</f>
        <v>#NAME?</v>
      </c>
      <c r="K569" t="e">
        <f ca="1">BDP("254845VA Muni","SELF_REPRTD_GREEN_INSTR_INDCTR")</f>
        <v>#NAME?</v>
      </c>
      <c r="L569" t="e">
        <f ca="1">BDP("254845VA Muni","GB_MANAGEMENT_PROCEEDS")</f>
        <v>#NAME?</v>
      </c>
      <c r="M569" t="e">
        <f ca="1">BDP("254845VA Muni","GB_REPORTING")</f>
        <v>#NAME?</v>
      </c>
      <c r="N569" t="e">
        <f ca="1">BDP("254845VA Muni","GB_ASSURANCE_PROVIDERS")</f>
        <v>#NAME?</v>
      </c>
      <c r="O569" t="e">
        <f ca="1">BDP("254845VA Muni","GB_PROJECT_SELECTION_PROCESS")</f>
        <v>#NAME?</v>
      </c>
      <c r="P569" t="e">
        <f ca="1">BDP("254845VA Muni","ESG_FRAMEWORK_INDICATOR")</f>
        <v>#NAME?</v>
      </c>
      <c r="Q569" t="e">
        <f ca="1">BDP("254845VA Muni","BLOOMBERG_SECTOR_CODE")</f>
        <v>#NAME?</v>
      </c>
      <c r="R569" t="e">
        <f ca="1">BDP("254845VA Muni","ISSUER_TYPE")</f>
        <v>#NAME?</v>
      </c>
      <c r="S569" t="e">
        <f ca="1">BDS("254845VA Muni","ESG_PROJECT_CATEGORY", "aggregate=y")</f>
        <v>#NAME?</v>
      </c>
      <c r="T569" t="e">
        <f ca="1">BDS("254845VA Muni","ESG_PROJECT_SUBCATEGORY", "aggregate=y")</f>
        <v>#NAME?</v>
      </c>
    </row>
    <row r="570" spans="1:20" x14ac:dyDescent="0.25">
      <c r="A570" t="e">
        <f ca="1">BDP("254845VP Muni","ID_CUSIP")</f>
        <v>#NAME?</v>
      </c>
      <c r="B570" t="e">
        <f ca="1">BDP("254845VP Muni","STATE_CODE")</f>
        <v>#NAME?</v>
      </c>
      <c r="C570" t="s">
        <v>45</v>
      </c>
      <c r="D570" t="e">
        <f ca="1">BDP("254845VP Muni","YIELD_ON_ISSUE_DATE")</f>
        <v>#NAME?</v>
      </c>
      <c r="E570">
        <v>3095000</v>
      </c>
      <c r="F570" t="e">
        <f ca="1">BDP("254845VP Muni","ISSUE_DT")</f>
        <v>#NAME?</v>
      </c>
      <c r="G570" t="e">
        <f ca="1">BDP("254845VP Muni","MATURITY")</f>
        <v>#NAME?</v>
      </c>
      <c r="H570" t="e">
        <f ca="1">BDP("254845VP Muni","MUNI_TAX_PROV")</f>
        <v>#NAME?</v>
      </c>
      <c r="I570" t="e">
        <f ca="1">BDP("254845VP Muni","FINANCING_TYPE")</f>
        <v>#NAME?</v>
      </c>
      <c r="J570" t="e">
        <f ca="1">BDP("254845VP Muni","BICS_LEVEL_2_INDUSTRY_GROUP_NAME")</f>
        <v>#NAME?</v>
      </c>
      <c r="K570" t="e">
        <f ca="1">BDP("254845VP Muni","SELF_REPRTD_GREEN_INSTR_INDCTR")</f>
        <v>#NAME?</v>
      </c>
      <c r="L570" t="e">
        <f ca="1">BDP("254845VP Muni","GB_MANAGEMENT_PROCEEDS")</f>
        <v>#NAME?</v>
      </c>
      <c r="M570" t="e">
        <f ca="1">BDP("254845VP Muni","GB_REPORTING")</f>
        <v>#NAME?</v>
      </c>
      <c r="N570" t="e">
        <f ca="1">BDP("254845VP Muni","GB_ASSURANCE_PROVIDERS")</f>
        <v>#NAME?</v>
      </c>
      <c r="O570" t="e">
        <f ca="1">BDP("254845VP Muni","GB_PROJECT_SELECTION_PROCESS")</f>
        <v>#NAME?</v>
      </c>
      <c r="P570" t="e">
        <f ca="1">BDP("254845VP Muni","ESG_FRAMEWORK_INDICATOR")</f>
        <v>#NAME?</v>
      </c>
      <c r="Q570" t="e">
        <f ca="1">BDP("254845VP Muni","BLOOMBERG_SECTOR_CODE")</f>
        <v>#NAME?</v>
      </c>
      <c r="R570" t="e">
        <f ca="1">BDP("254845VP Muni","ISSUER_TYPE")</f>
        <v>#NAME?</v>
      </c>
      <c r="S570" t="e">
        <f ca="1">BDS("254845VP Muni","ESG_PROJECT_CATEGORY", "aggregate=y")</f>
        <v>#NAME?</v>
      </c>
      <c r="T570" t="e">
        <f ca="1">BDS("254845VP Muni","ESG_PROJECT_SUBCATEGORY", "aggregate=y")</f>
        <v>#NAME?</v>
      </c>
    </row>
    <row r="571" spans="1:20" x14ac:dyDescent="0.25">
      <c r="A571" t="e">
        <f ca="1">BDP("254845VS Muni","ID_CUSIP")</f>
        <v>#NAME?</v>
      </c>
      <c r="B571" t="e">
        <f ca="1">BDP("254845VS Muni","STATE_CODE")</f>
        <v>#NAME?</v>
      </c>
      <c r="C571" t="s">
        <v>45</v>
      </c>
      <c r="D571" t="e">
        <f ca="1">BDP("254845VS Muni","YIELD_ON_ISSUE_DATE")</f>
        <v>#NAME?</v>
      </c>
      <c r="E571">
        <v>7145000</v>
      </c>
      <c r="F571" t="e">
        <f ca="1">BDP("254845VS Muni","ISSUE_DT")</f>
        <v>#NAME?</v>
      </c>
      <c r="G571" t="e">
        <f ca="1">BDP("254845VS Muni","MATURITY")</f>
        <v>#NAME?</v>
      </c>
      <c r="H571" t="e">
        <f ca="1">BDP("254845VS Muni","MUNI_TAX_PROV")</f>
        <v>#NAME?</v>
      </c>
      <c r="I571" t="e">
        <f ca="1">BDP("254845VS Muni","FINANCING_TYPE")</f>
        <v>#NAME?</v>
      </c>
      <c r="J571" t="e">
        <f ca="1">BDP("254845VS Muni","BICS_LEVEL_2_INDUSTRY_GROUP_NAME")</f>
        <v>#NAME?</v>
      </c>
      <c r="K571" t="e">
        <f ca="1">BDP("254845VS Muni","SELF_REPRTD_GREEN_INSTR_INDCTR")</f>
        <v>#NAME?</v>
      </c>
      <c r="L571" t="e">
        <f ca="1">BDP("254845VS Muni","GB_MANAGEMENT_PROCEEDS")</f>
        <v>#NAME?</v>
      </c>
      <c r="M571" t="e">
        <f ca="1">BDP("254845VS Muni","GB_REPORTING")</f>
        <v>#NAME?</v>
      </c>
      <c r="N571" t="e">
        <f ca="1">BDP("254845VS Muni","GB_ASSURANCE_PROVIDERS")</f>
        <v>#NAME?</v>
      </c>
      <c r="O571" t="e">
        <f ca="1">BDP("254845VS Muni","GB_PROJECT_SELECTION_PROCESS")</f>
        <v>#NAME?</v>
      </c>
      <c r="P571" t="e">
        <f ca="1">BDP("254845VS Muni","ESG_FRAMEWORK_INDICATOR")</f>
        <v>#NAME?</v>
      </c>
      <c r="Q571" t="e">
        <f ca="1">BDP("254845VS Muni","BLOOMBERG_SECTOR_CODE")</f>
        <v>#NAME?</v>
      </c>
      <c r="R571" t="e">
        <f ca="1">BDP("254845VS Muni","ISSUER_TYPE")</f>
        <v>#NAME?</v>
      </c>
      <c r="S571" t="e">
        <f ca="1">BDS("254845VS Muni","ESG_PROJECT_CATEGORY", "aggregate=y")</f>
        <v>#NAME?</v>
      </c>
      <c r="T571" t="e">
        <f ca="1">BDS("254845VS Muni","ESG_PROJECT_SUBCATEGORY", "aggregate=y")</f>
        <v>#NAME?</v>
      </c>
    </row>
    <row r="572" spans="1:20" x14ac:dyDescent="0.25">
      <c r="A572" t="e">
        <f ca="1">BDP("254845VD Muni","ID_CUSIP")</f>
        <v>#NAME?</v>
      </c>
      <c r="B572" t="e">
        <f ca="1">BDP("254845VD Muni","STATE_CODE")</f>
        <v>#NAME?</v>
      </c>
      <c r="C572" t="s">
        <v>45</v>
      </c>
      <c r="D572" t="e">
        <f ca="1">BDP("254845VD Muni","YIELD_ON_ISSUE_DATE")</f>
        <v>#NAME?</v>
      </c>
      <c r="E572">
        <v>2230000</v>
      </c>
      <c r="F572" t="e">
        <f ca="1">BDP("254845VD Muni","ISSUE_DT")</f>
        <v>#NAME?</v>
      </c>
      <c r="G572" t="e">
        <f ca="1">BDP("254845VD Muni","MATURITY")</f>
        <v>#NAME?</v>
      </c>
      <c r="H572" t="e">
        <f ca="1">BDP("254845VD Muni","MUNI_TAX_PROV")</f>
        <v>#NAME?</v>
      </c>
      <c r="I572" t="e">
        <f ca="1">BDP("254845VD Muni","FINANCING_TYPE")</f>
        <v>#NAME?</v>
      </c>
      <c r="J572" t="e">
        <f ca="1">BDP("254845VD Muni","BICS_LEVEL_2_INDUSTRY_GROUP_NAME")</f>
        <v>#NAME?</v>
      </c>
      <c r="K572" t="e">
        <f ca="1">BDP("254845VD Muni","SELF_REPRTD_GREEN_INSTR_INDCTR")</f>
        <v>#NAME?</v>
      </c>
      <c r="L572" t="e">
        <f ca="1">BDP("254845VD Muni","GB_MANAGEMENT_PROCEEDS")</f>
        <v>#NAME?</v>
      </c>
      <c r="M572" t="e">
        <f ca="1">BDP("254845VD Muni","GB_REPORTING")</f>
        <v>#NAME?</v>
      </c>
      <c r="N572" t="e">
        <f ca="1">BDP("254845VD Muni","GB_ASSURANCE_PROVIDERS")</f>
        <v>#NAME?</v>
      </c>
      <c r="O572" t="e">
        <f ca="1">BDP("254845VD Muni","GB_PROJECT_SELECTION_PROCESS")</f>
        <v>#NAME?</v>
      </c>
      <c r="P572" t="e">
        <f ca="1">BDP("254845VD Muni","ESG_FRAMEWORK_INDICATOR")</f>
        <v>#NAME?</v>
      </c>
      <c r="Q572" t="e">
        <f ca="1">BDP("254845VD Muni","BLOOMBERG_SECTOR_CODE")</f>
        <v>#NAME?</v>
      </c>
      <c r="R572" t="e">
        <f ca="1">BDP("254845VD Muni","ISSUER_TYPE")</f>
        <v>#NAME?</v>
      </c>
      <c r="S572" t="e">
        <f ca="1">BDS("254845VD Muni","ESG_PROJECT_CATEGORY", "aggregate=y")</f>
        <v>#NAME?</v>
      </c>
      <c r="T572" t="e">
        <f ca="1">BDS("254845VD Muni","ESG_PROJECT_SUBCATEGORY", "aggregate=y")</f>
        <v>#NAME?</v>
      </c>
    </row>
    <row r="573" spans="1:20" x14ac:dyDescent="0.25">
      <c r="A573" t="e">
        <f ca="1">BDP("254845VE Muni","ID_CUSIP")</f>
        <v>#NAME?</v>
      </c>
      <c r="B573" t="e">
        <f ca="1">BDP("254845VE Muni","STATE_CODE")</f>
        <v>#NAME?</v>
      </c>
      <c r="C573" t="s">
        <v>45</v>
      </c>
      <c r="D573" t="e">
        <f ca="1">BDP("254845VE Muni","YIELD_ON_ISSUE_DATE")</f>
        <v>#NAME?</v>
      </c>
      <c r="E573">
        <v>2210000</v>
      </c>
      <c r="F573" t="e">
        <f ca="1">BDP("254845VE Muni","ISSUE_DT")</f>
        <v>#NAME?</v>
      </c>
      <c r="G573" t="e">
        <f ca="1">BDP("254845VE Muni","MATURITY")</f>
        <v>#NAME?</v>
      </c>
      <c r="H573" t="e">
        <f ca="1">BDP("254845VE Muni","MUNI_TAX_PROV")</f>
        <v>#NAME?</v>
      </c>
      <c r="I573" t="e">
        <f ca="1">BDP("254845VE Muni","FINANCING_TYPE")</f>
        <v>#NAME?</v>
      </c>
      <c r="J573" t="e">
        <f ca="1">BDP("254845VE Muni","BICS_LEVEL_2_INDUSTRY_GROUP_NAME")</f>
        <v>#NAME?</v>
      </c>
      <c r="K573" t="e">
        <f ca="1">BDP("254845VE Muni","SELF_REPRTD_GREEN_INSTR_INDCTR")</f>
        <v>#NAME?</v>
      </c>
      <c r="L573" t="e">
        <f ca="1">BDP("254845VE Muni","GB_MANAGEMENT_PROCEEDS")</f>
        <v>#NAME?</v>
      </c>
      <c r="M573" t="e">
        <f ca="1">BDP("254845VE Muni","GB_REPORTING")</f>
        <v>#NAME?</v>
      </c>
      <c r="N573" t="e">
        <f ca="1">BDP("254845VE Muni","GB_ASSURANCE_PROVIDERS")</f>
        <v>#NAME?</v>
      </c>
      <c r="O573" t="e">
        <f ca="1">BDP("254845VE Muni","GB_PROJECT_SELECTION_PROCESS")</f>
        <v>#NAME?</v>
      </c>
      <c r="P573" t="e">
        <f ca="1">BDP("254845VE Muni","ESG_FRAMEWORK_INDICATOR")</f>
        <v>#NAME?</v>
      </c>
      <c r="Q573" t="e">
        <f ca="1">BDP("254845VE Muni","BLOOMBERG_SECTOR_CODE")</f>
        <v>#NAME?</v>
      </c>
      <c r="R573" t="e">
        <f ca="1">BDP("254845VE Muni","ISSUER_TYPE")</f>
        <v>#NAME?</v>
      </c>
      <c r="S573" t="e">
        <f ca="1">BDS("254845VE Muni","ESG_PROJECT_CATEGORY", "aggregate=y")</f>
        <v>#NAME?</v>
      </c>
      <c r="T573" t="e">
        <f ca="1">BDS("254845VE Muni","ESG_PROJECT_SUBCATEGORY", "aggregate=y")</f>
        <v>#NAME?</v>
      </c>
    </row>
    <row r="574" spans="1:20" x14ac:dyDescent="0.25">
      <c r="A574" t="e">
        <f ca="1">BDP("254845VG Muni","ID_CUSIP")</f>
        <v>#NAME?</v>
      </c>
      <c r="B574" t="e">
        <f ca="1">BDP("254845VG Muni","STATE_CODE")</f>
        <v>#NAME?</v>
      </c>
      <c r="C574" t="s">
        <v>45</v>
      </c>
      <c r="D574" t="e">
        <f ca="1">BDP("254845VG Muni","YIELD_ON_ISSUE_DATE")</f>
        <v>#NAME?</v>
      </c>
      <c r="E574">
        <v>8370000</v>
      </c>
      <c r="F574" t="e">
        <f ca="1">BDP("254845VG Muni","ISSUE_DT")</f>
        <v>#NAME?</v>
      </c>
      <c r="G574" t="e">
        <f ca="1">BDP("254845VG Muni","MATURITY")</f>
        <v>#NAME?</v>
      </c>
      <c r="H574" t="e">
        <f ca="1">BDP("254845VG Muni","MUNI_TAX_PROV")</f>
        <v>#NAME?</v>
      </c>
      <c r="I574" t="e">
        <f ca="1">BDP("254845VG Muni","FINANCING_TYPE")</f>
        <v>#NAME?</v>
      </c>
      <c r="J574" t="e">
        <f ca="1">BDP("254845VG Muni","BICS_LEVEL_2_INDUSTRY_GROUP_NAME")</f>
        <v>#NAME?</v>
      </c>
      <c r="K574" t="e">
        <f ca="1">BDP("254845VG Muni","SELF_REPRTD_GREEN_INSTR_INDCTR")</f>
        <v>#NAME?</v>
      </c>
      <c r="L574" t="e">
        <f ca="1">BDP("254845VG Muni","GB_MANAGEMENT_PROCEEDS")</f>
        <v>#NAME?</v>
      </c>
      <c r="M574" t="e">
        <f ca="1">BDP("254845VG Muni","GB_REPORTING")</f>
        <v>#NAME?</v>
      </c>
      <c r="N574" t="e">
        <f ca="1">BDP("254845VG Muni","GB_ASSURANCE_PROVIDERS")</f>
        <v>#NAME?</v>
      </c>
      <c r="O574" t="e">
        <f ca="1">BDP("254845VG Muni","GB_PROJECT_SELECTION_PROCESS")</f>
        <v>#NAME?</v>
      </c>
      <c r="P574" t="e">
        <f ca="1">BDP("254845VG Muni","ESG_FRAMEWORK_INDICATOR")</f>
        <v>#NAME?</v>
      </c>
      <c r="Q574" t="e">
        <f ca="1">BDP("254845VG Muni","BLOOMBERG_SECTOR_CODE")</f>
        <v>#NAME?</v>
      </c>
      <c r="R574" t="e">
        <f ca="1">BDP("254845VG Muni","ISSUER_TYPE")</f>
        <v>#NAME?</v>
      </c>
      <c r="S574" t="e">
        <f ca="1">BDS("254845VG Muni","ESG_PROJECT_CATEGORY", "aggregate=y")</f>
        <v>#NAME?</v>
      </c>
      <c r="T574" t="e">
        <f ca="1">BDS("254845VG Muni","ESG_PROJECT_SUBCATEGORY", "aggregate=y")</f>
        <v>#NAME?</v>
      </c>
    </row>
    <row r="575" spans="1:20" x14ac:dyDescent="0.25">
      <c r="A575" t="e">
        <f ca="1">BDP("254845VH Muni","ID_CUSIP")</f>
        <v>#NAME?</v>
      </c>
      <c r="B575" t="e">
        <f ca="1">BDP("254845VH Muni","STATE_CODE")</f>
        <v>#NAME?</v>
      </c>
      <c r="C575" t="s">
        <v>45</v>
      </c>
      <c r="D575" t="e">
        <f ca="1">BDP("254845VH Muni","YIELD_ON_ISSUE_DATE")</f>
        <v>#NAME?</v>
      </c>
      <c r="E575">
        <v>7280000</v>
      </c>
      <c r="F575" t="e">
        <f ca="1">BDP("254845VH Muni","ISSUE_DT")</f>
        <v>#NAME?</v>
      </c>
      <c r="G575" t="e">
        <f ca="1">BDP("254845VH Muni","MATURITY")</f>
        <v>#NAME?</v>
      </c>
      <c r="H575" t="e">
        <f ca="1">BDP("254845VH Muni","MUNI_TAX_PROV")</f>
        <v>#NAME?</v>
      </c>
      <c r="I575" t="e">
        <f ca="1">BDP("254845VH Muni","FINANCING_TYPE")</f>
        <v>#NAME?</v>
      </c>
      <c r="J575" t="e">
        <f ca="1">BDP("254845VH Muni","BICS_LEVEL_2_INDUSTRY_GROUP_NAME")</f>
        <v>#NAME?</v>
      </c>
      <c r="K575" t="e">
        <f ca="1">BDP("254845VH Muni","SELF_REPRTD_GREEN_INSTR_INDCTR")</f>
        <v>#NAME?</v>
      </c>
      <c r="L575" t="e">
        <f ca="1">BDP("254845VH Muni","GB_MANAGEMENT_PROCEEDS")</f>
        <v>#NAME?</v>
      </c>
      <c r="M575" t="e">
        <f ca="1">BDP("254845VH Muni","GB_REPORTING")</f>
        <v>#NAME?</v>
      </c>
      <c r="N575" t="e">
        <f ca="1">BDP("254845VH Muni","GB_ASSURANCE_PROVIDERS")</f>
        <v>#NAME?</v>
      </c>
      <c r="O575" t="e">
        <f ca="1">BDP("254845VH Muni","GB_PROJECT_SELECTION_PROCESS")</f>
        <v>#NAME?</v>
      </c>
      <c r="P575" t="e">
        <f ca="1">BDP("254845VH Muni","ESG_FRAMEWORK_INDICATOR")</f>
        <v>#NAME?</v>
      </c>
      <c r="Q575" t="e">
        <f ca="1">BDP("254845VH Muni","BLOOMBERG_SECTOR_CODE")</f>
        <v>#NAME?</v>
      </c>
      <c r="R575" t="e">
        <f ca="1">BDP("254845VH Muni","ISSUER_TYPE")</f>
        <v>#NAME?</v>
      </c>
      <c r="S575" t="e">
        <f ca="1">BDS("254845VH Muni","ESG_PROJECT_CATEGORY", "aggregate=y")</f>
        <v>#NAME?</v>
      </c>
      <c r="T575" t="e">
        <f ca="1">BDS("254845VH Muni","ESG_PROJECT_SUBCATEGORY", "aggregate=y")</f>
        <v>#NAME?</v>
      </c>
    </row>
    <row r="576" spans="1:20" x14ac:dyDescent="0.25">
      <c r="A576" t="e">
        <f ca="1">BDP("88035RBF Muni","ID_CUSIP")</f>
        <v>#NAME?</v>
      </c>
      <c r="B576" t="e">
        <f ca="1">BDP("88035RBF Muni","STATE_CODE")</f>
        <v>#NAME?</v>
      </c>
      <c r="C576" t="s">
        <v>25</v>
      </c>
      <c r="D576" t="e">
        <f ca="1">BDP("88035RBF Muni","YIELD_ON_ISSUE_DATE")</f>
        <v>#NAME?</v>
      </c>
      <c r="E576">
        <v>880000</v>
      </c>
      <c r="F576" t="e">
        <f ca="1">BDP("88035RBF Muni","ISSUE_DT")</f>
        <v>#NAME?</v>
      </c>
      <c r="G576" t="e">
        <f ca="1">BDP("88035RBF Muni","MATURITY")</f>
        <v>#NAME?</v>
      </c>
      <c r="H576" t="e">
        <f ca="1">BDP("88035RBF Muni","MUNI_TAX_PROV")</f>
        <v>#NAME?</v>
      </c>
      <c r="I576" t="e">
        <f ca="1">BDP("88035RBF Muni","FINANCING_TYPE")</f>
        <v>#NAME?</v>
      </c>
      <c r="J576" t="e">
        <f ca="1">BDP("88035RBF Muni","BICS_LEVEL_2_INDUSTRY_GROUP_NAME")</f>
        <v>#NAME?</v>
      </c>
      <c r="K576" t="e">
        <f ca="1">BDP("88035RBF Muni","SELF_REPRTD_GREEN_INSTR_INDCTR")</f>
        <v>#NAME?</v>
      </c>
      <c r="L576" t="e">
        <f ca="1">BDP("88035RBF Muni","GB_MANAGEMENT_PROCEEDS")</f>
        <v>#NAME?</v>
      </c>
      <c r="M576" t="e">
        <f ca="1">BDP("88035RBF Muni","GB_REPORTING")</f>
        <v>#NAME?</v>
      </c>
      <c r="N576" t="e">
        <f ca="1">BDP("88035RBF Muni","GB_ASSURANCE_PROVIDERS")</f>
        <v>#NAME?</v>
      </c>
      <c r="O576" t="e">
        <f ca="1">BDP("88035RBF Muni","GB_PROJECT_SELECTION_PROCESS")</f>
        <v>#NAME?</v>
      </c>
      <c r="P576" t="e">
        <f ca="1">BDP("88035RBF Muni","ESG_FRAMEWORK_INDICATOR")</f>
        <v>#NAME?</v>
      </c>
      <c r="Q576" t="e">
        <f ca="1">BDP("88035RBF Muni","BLOOMBERG_SECTOR_CODE")</f>
        <v>#NAME?</v>
      </c>
      <c r="R576" t="e">
        <f ca="1">BDP("88035RBF Muni","ISSUER_TYPE")</f>
        <v>#NAME?</v>
      </c>
      <c r="S576" t="e">
        <f ca="1">BDS("88035RBF Muni","ESG_PROJECT_CATEGORY", "aggregate=y")</f>
        <v>#NAME?</v>
      </c>
      <c r="T576" t="e">
        <f ca="1">BDS("88035RBF Muni","ESG_PROJECT_SUBCATEGORY", "aggregate=y")</f>
        <v>#NAME?</v>
      </c>
    </row>
    <row r="577" spans="1:20" x14ac:dyDescent="0.25">
      <c r="A577" t="e">
        <f ca="1">BDP("254845VL Muni","ID_CUSIP")</f>
        <v>#NAME?</v>
      </c>
      <c r="B577" t="e">
        <f ca="1">BDP("254845VL Muni","STATE_CODE")</f>
        <v>#NAME?</v>
      </c>
      <c r="C577" t="s">
        <v>45</v>
      </c>
      <c r="D577" t="e">
        <f ca="1">BDP("254845VL Muni","YIELD_ON_ISSUE_DATE")</f>
        <v>#NAME?</v>
      </c>
      <c r="E577">
        <v>4625000</v>
      </c>
      <c r="F577" t="e">
        <f ca="1">BDP("254845VL Muni","ISSUE_DT")</f>
        <v>#NAME?</v>
      </c>
      <c r="G577" t="e">
        <f ca="1">BDP("254845VL Muni","MATURITY")</f>
        <v>#NAME?</v>
      </c>
      <c r="H577" t="e">
        <f ca="1">BDP("254845VL Muni","MUNI_TAX_PROV")</f>
        <v>#NAME?</v>
      </c>
      <c r="I577" t="e">
        <f ca="1">BDP("254845VL Muni","FINANCING_TYPE")</f>
        <v>#NAME?</v>
      </c>
      <c r="J577" t="e">
        <f ca="1">BDP("254845VL Muni","BICS_LEVEL_2_INDUSTRY_GROUP_NAME")</f>
        <v>#NAME?</v>
      </c>
      <c r="K577" t="e">
        <f ca="1">BDP("254845VL Muni","SELF_REPRTD_GREEN_INSTR_INDCTR")</f>
        <v>#NAME?</v>
      </c>
      <c r="L577" t="e">
        <f ca="1">BDP("254845VL Muni","GB_MANAGEMENT_PROCEEDS")</f>
        <v>#NAME?</v>
      </c>
      <c r="M577" t="e">
        <f ca="1">BDP("254845VL Muni","GB_REPORTING")</f>
        <v>#NAME?</v>
      </c>
      <c r="N577" t="e">
        <f ca="1">BDP("254845VL Muni","GB_ASSURANCE_PROVIDERS")</f>
        <v>#NAME?</v>
      </c>
      <c r="O577" t="e">
        <f ca="1">BDP("254845VL Muni","GB_PROJECT_SELECTION_PROCESS")</f>
        <v>#NAME?</v>
      </c>
      <c r="P577" t="e">
        <f ca="1">BDP("254845VL Muni","ESG_FRAMEWORK_INDICATOR")</f>
        <v>#NAME?</v>
      </c>
      <c r="Q577" t="e">
        <f ca="1">BDP("254845VL Muni","BLOOMBERG_SECTOR_CODE")</f>
        <v>#NAME?</v>
      </c>
      <c r="R577" t="e">
        <f ca="1">BDP("254845VL Muni","ISSUER_TYPE")</f>
        <v>#NAME?</v>
      </c>
      <c r="S577" t="e">
        <f ca="1">BDS("254845VL Muni","ESG_PROJECT_CATEGORY", "aggregate=y")</f>
        <v>#NAME?</v>
      </c>
      <c r="T577" t="e">
        <f ca="1">BDS("254845VL Muni","ESG_PROJECT_SUBCATEGORY", "aggregate=y")</f>
        <v>#NAME?</v>
      </c>
    </row>
    <row r="578" spans="1:20" x14ac:dyDescent="0.25">
      <c r="A578" t="e">
        <f ca="1">BDP("254845VM Muni","ID_CUSIP")</f>
        <v>#NAME?</v>
      </c>
      <c r="B578" t="e">
        <f ca="1">BDP("254845VM Muni","STATE_CODE")</f>
        <v>#NAME?</v>
      </c>
      <c r="C578" t="s">
        <v>45</v>
      </c>
      <c r="D578" t="e">
        <f ca="1">BDP("254845VM Muni","YIELD_ON_ISSUE_DATE")</f>
        <v>#NAME?</v>
      </c>
      <c r="E578">
        <v>2725000</v>
      </c>
      <c r="F578" t="e">
        <f ca="1">BDP("254845VM Muni","ISSUE_DT")</f>
        <v>#NAME?</v>
      </c>
      <c r="G578" t="e">
        <f ca="1">BDP("254845VM Muni","MATURITY")</f>
        <v>#NAME?</v>
      </c>
      <c r="H578" t="e">
        <f ca="1">BDP("254845VM Muni","MUNI_TAX_PROV")</f>
        <v>#NAME?</v>
      </c>
      <c r="I578" t="e">
        <f ca="1">BDP("254845VM Muni","FINANCING_TYPE")</f>
        <v>#NAME?</v>
      </c>
      <c r="J578" t="e">
        <f ca="1">BDP("254845VM Muni","BICS_LEVEL_2_INDUSTRY_GROUP_NAME")</f>
        <v>#NAME?</v>
      </c>
      <c r="K578" t="e">
        <f ca="1">BDP("254845VM Muni","SELF_REPRTD_GREEN_INSTR_INDCTR")</f>
        <v>#NAME?</v>
      </c>
      <c r="L578" t="e">
        <f ca="1">BDP("254845VM Muni","GB_MANAGEMENT_PROCEEDS")</f>
        <v>#NAME?</v>
      </c>
      <c r="M578" t="e">
        <f ca="1">BDP("254845VM Muni","GB_REPORTING")</f>
        <v>#NAME?</v>
      </c>
      <c r="N578" t="e">
        <f ca="1">BDP("254845VM Muni","GB_ASSURANCE_PROVIDERS")</f>
        <v>#NAME?</v>
      </c>
      <c r="O578" t="e">
        <f ca="1">BDP("254845VM Muni","GB_PROJECT_SELECTION_PROCESS")</f>
        <v>#NAME?</v>
      </c>
      <c r="P578" t="e">
        <f ca="1">BDP("254845VM Muni","ESG_FRAMEWORK_INDICATOR")</f>
        <v>#NAME?</v>
      </c>
      <c r="Q578" t="e">
        <f ca="1">BDP("254845VM Muni","BLOOMBERG_SECTOR_CODE")</f>
        <v>#NAME?</v>
      </c>
      <c r="R578" t="e">
        <f ca="1">BDP("254845VM Muni","ISSUER_TYPE")</f>
        <v>#NAME?</v>
      </c>
      <c r="S578" t="e">
        <f ca="1">BDS("254845VM Muni","ESG_PROJECT_CATEGORY", "aggregate=y")</f>
        <v>#NAME?</v>
      </c>
      <c r="T578" t="e">
        <f ca="1">BDS("254845VM Muni","ESG_PROJECT_SUBCATEGORY", "aggregate=y")</f>
        <v>#NAME?</v>
      </c>
    </row>
    <row r="579" spans="1:20" x14ac:dyDescent="0.25">
      <c r="A579" t="e">
        <f ca="1">BDP("88035RBE Muni","ID_CUSIP")</f>
        <v>#NAME?</v>
      </c>
      <c r="B579" t="e">
        <f ca="1">BDP("88035RBE Muni","STATE_CODE")</f>
        <v>#NAME?</v>
      </c>
      <c r="C579" t="s">
        <v>25</v>
      </c>
      <c r="D579" t="e">
        <f ca="1">BDP("88035RBE Muni","YIELD_ON_ISSUE_DATE")</f>
        <v>#NAME?</v>
      </c>
      <c r="E579">
        <v>7235000</v>
      </c>
      <c r="F579" t="e">
        <f ca="1">BDP("88035RBE Muni","ISSUE_DT")</f>
        <v>#NAME?</v>
      </c>
      <c r="G579" t="e">
        <f ca="1">BDP("88035RBE Muni","MATURITY")</f>
        <v>#NAME?</v>
      </c>
      <c r="H579" t="e">
        <f ca="1">BDP("88035RBE Muni","MUNI_TAX_PROV")</f>
        <v>#NAME?</v>
      </c>
      <c r="I579" t="e">
        <f ca="1">BDP("88035RBE Muni","FINANCING_TYPE")</f>
        <v>#NAME?</v>
      </c>
      <c r="J579" t="e">
        <f ca="1">BDP("88035RBE Muni","BICS_LEVEL_2_INDUSTRY_GROUP_NAME")</f>
        <v>#NAME?</v>
      </c>
      <c r="K579" t="e">
        <f ca="1">BDP("88035RBE Muni","SELF_REPRTD_GREEN_INSTR_INDCTR")</f>
        <v>#NAME?</v>
      </c>
      <c r="L579" t="e">
        <f ca="1">BDP("88035RBE Muni","GB_MANAGEMENT_PROCEEDS")</f>
        <v>#NAME?</v>
      </c>
      <c r="M579" t="e">
        <f ca="1">BDP("88035RBE Muni","GB_REPORTING")</f>
        <v>#NAME?</v>
      </c>
      <c r="N579" t="e">
        <f ca="1">BDP("88035RBE Muni","GB_ASSURANCE_PROVIDERS")</f>
        <v>#NAME?</v>
      </c>
      <c r="O579" t="e">
        <f ca="1">BDP("88035RBE Muni","GB_PROJECT_SELECTION_PROCESS")</f>
        <v>#NAME?</v>
      </c>
      <c r="P579" t="e">
        <f ca="1">BDP("88035RBE Muni","ESG_FRAMEWORK_INDICATOR")</f>
        <v>#NAME?</v>
      </c>
      <c r="Q579" t="e">
        <f ca="1">BDP("88035RBE Muni","BLOOMBERG_SECTOR_CODE")</f>
        <v>#NAME?</v>
      </c>
      <c r="R579" t="e">
        <f ca="1">BDP("88035RBE Muni","ISSUER_TYPE")</f>
        <v>#NAME?</v>
      </c>
      <c r="S579" t="e">
        <f ca="1">BDS("88035RBE Muni","ESG_PROJECT_CATEGORY", "aggregate=y")</f>
        <v>#NAME?</v>
      </c>
      <c r="T579" t="e">
        <f ca="1">BDS("88035RBE Muni","ESG_PROJECT_SUBCATEGORY", "aggregate=y")</f>
        <v>#NAME?</v>
      </c>
    </row>
    <row r="580" spans="1:20" x14ac:dyDescent="0.25">
      <c r="A580" t="e">
        <f ca="1">BDP("88035RBG Muni","ID_CUSIP")</f>
        <v>#NAME?</v>
      </c>
      <c r="B580" t="e">
        <f ca="1">BDP("88035RBG Muni","STATE_CODE")</f>
        <v>#NAME?</v>
      </c>
      <c r="C580" t="s">
        <v>25</v>
      </c>
      <c r="D580" t="e">
        <f ca="1">BDP("88035RBG Muni","YIELD_ON_ISSUE_DATE")</f>
        <v>#NAME?</v>
      </c>
      <c r="E580">
        <v>930000</v>
      </c>
      <c r="F580" t="e">
        <f ca="1">BDP("88035RBG Muni","ISSUE_DT")</f>
        <v>#NAME?</v>
      </c>
      <c r="G580" t="e">
        <f ca="1">BDP("88035RBG Muni","MATURITY")</f>
        <v>#NAME?</v>
      </c>
      <c r="H580" t="e">
        <f ca="1">BDP("88035RBG Muni","MUNI_TAX_PROV")</f>
        <v>#NAME?</v>
      </c>
      <c r="I580" t="e">
        <f ca="1">BDP("88035RBG Muni","FINANCING_TYPE")</f>
        <v>#NAME?</v>
      </c>
      <c r="J580" t="e">
        <f ca="1">BDP("88035RBG Muni","BICS_LEVEL_2_INDUSTRY_GROUP_NAME")</f>
        <v>#NAME?</v>
      </c>
      <c r="K580" t="e">
        <f ca="1">BDP("88035RBG Muni","SELF_REPRTD_GREEN_INSTR_INDCTR")</f>
        <v>#NAME?</v>
      </c>
      <c r="L580" t="e">
        <f ca="1">BDP("88035RBG Muni","GB_MANAGEMENT_PROCEEDS")</f>
        <v>#NAME?</v>
      </c>
      <c r="M580" t="e">
        <f ca="1">BDP("88035RBG Muni","GB_REPORTING")</f>
        <v>#NAME?</v>
      </c>
      <c r="N580" t="e">
        <f ca="1">BDP("88035RBG Muni","GB_ASSURANCE_PROVIDERS")</f>
        <v>#NAME?</v>
      </c>
      <c r="O580" t="e">
        <f ca="1">BDP("88035RBG Muni","GB_PROJECT_SELECTION_PROCESS")</f>
        <v>#NAME?</v>
      </c>
      <c r="P580" t="e">
        <f ca="1">BDP("88035RBG Muni","ESG_FRAMEWORK_INDICATOR")</f>
        <v>#NAME?</v>
      </c>
      <c r="Q580" t="e">
        <f ca="1">BDP("88035RBG Muni","BLOOMBERG_SECTOR_CODE")</f>
        <v>#NAME?</v>
      </c>
      <c r="R580" t="e">
        <f ca="1">BDP("88035RBG Muni","ISSUER_TYPE")</f>
        <v>#NAME?</v>
      </c>
      <c r="S580" t="e">
        <f ca="1">BDS("88035RBG Muni","ESG_PROJECT_CATEGORY", "aggregate=y")</f>
        <v>#NAME?</v>
      </c>
      <c r="T580" t="e">
        <f ca="1">BDS("88035RBG Muni","ESG_PROJECT_SUBCATEGORY", "aggregate=y")</f>
        <v>#NAME?</v>
      </c>
    </row>
    <row r="581" spans="1:20" x14ac:dyDescent="0.25">
      <c r="A581" t="e">
        <f ca="1">BDP("254845VB Muni","ID_CUSIP")</f>
        <v>#NAME?</v>
      </c>
      <c r="B581" t="e">
        <f ca="1">BDP("254845VB Muni","STATE_CODE")</f>
        <v>#NAME?</v>
      </c>
      <c r="C581" t="s">
        <v>45</v>
      </c>
      <c r="D581" t="e">
        <f ca="1">BDP("254845VB Muni","YIELD_ON_ISSUE_DATE")</f>
        <v>#NAME?</v>
      </c>
      <c r="E581">
        <v>2355000</v>
      </c>
      <c r="F581" t="e">
        <f ca="1">BDP("254845VB Muni","ISSUE_DT")</f>
        <v>#NAME?</v>
      </c>
      <c r="G581" t="e">
        <f ca="1">BDP("254845VB Muni","MATURITY")</f>
        <v>#NAME?</v>
      </c>
      <c r="H581" t="e">
        <f ca="1">BDP("254845VB Muni","MUNI_TAX_PROV")</f>
        <v>#NAME?</v>
      </c>
      <c r="I581" t="e">
        <f ca="1">BDP("254845VB Muni","FINANCING_TYPE")</f>
        <v>#NAME?</v>
      </c>
      <c r="J581" t="e">
        <f ca="1">BDP("254845VB Muni","BICS_LEVEL_2_INDUSTRY_GROUP_NAME")</f>
        <v>#NAME?</v>
      </c>
      <c r="K581" t="e">
        <f ca="1">BDP("254845VB Muni","SELF_REPRTD_GREEN_INSTR_INDCTR")</f>
        <v>#NAME?</v>
      </c>
      <c r="L581" t="e">
        <f ca="1">BDP("254845VB Muni","GB_MANAGEMENT_PROCEEDS")</f>
        <v>#NAME?</v>
      </c>
      <c r="M581" t="e">
        <f ca="1">BDP("254845VB Muni","GB_REPORTING")</f>
        <v>#NAME?</v>
      </c>
      <c r="N581" t="e">
        <f ca="1">BDP("254845VB Muni","GB_ASSURANCE_PROVIDERS")</f>
        <v>#NAME?</v>
      </c>
      <c r="O581" t="e">
        <f ca="1">BDP("254845VB Muni","GB_PROJECT_SELECTION_PROCESS")</f>
        <v>#NAME?</v>
      </c>
      <c r="P581" t="e">
        <f ca="1">BDP("254845VB Muni","ESG_FRAMEWORK_INDICATOR")</f>
        <v>#NAME?</v>
      </c>
      <c r="Q581" t="e">
        <f ca="1">BDP("254845VB Muni","BLOOMBERG_SECTOR_CODE")</f>
        <v>#NAME?</v>
      </c>
      <c r="R581" t="e">
        <f ca="1">BDP("254845VB Muni","ISSUER_TYPE")</f>
        <v>#NAME?</v>
      </c>
      <c r="S581" t="e">
        <f ca="1">BDS("254845VB Muni","ESG_PROJECT_CATEGORY", "aggregate=y")</f>
        <v>#NAME?</v>
      </c>
      <c r="T581" t="e">
        <f ca="1">BDS("254845VB Muni","ESG_PROJECT_SUBCATEGORY", "aggregate=y")</f>
        <v>#NAME?</v>
      </c>
    </row>
    <row r="582" spans="1:20" x14ac:dyDescent="0.25">
      <c r="A582" t="e">
        <f ca="1">BDP("254845VJ Muni","ID_CUSIP")</f>
        <v>#NAME?</v>
      </c>
      <c r="B582" t="e">
        <f ca="1">BDP("254845VJ Muni","STATE_CODE")</f>
        <v>#NAME?</v>
      </c>
      <c r="C582" t="s">
        <v>45</v>
      </c>
      <c r="D582" t="e">
        <f ca="1">BDP("254845VJ Muni","YIELD_ON_ISSUE_DATE")</f>
        <v>#NAME?</v>
      </c>
      <c r="E582">
        <v>10330000</v>
      </c>
      <c r="F582" t="e">
        <f ca="1">BDP("254845VJ Muni","ISSUE_DT")</f>
        <v>#NAME?</v>
      </c>
      <c r="G582" t="e">
        <f ca="1">BDP("254845VJ Muni","MATURITY")</f>
        <v>#NAME?</v>
      </c>
      <c r="H582" t="e">
        <f ca="1">BDP("254845VJ Muni","MUNI_TAX_PROV")</f>
        <v>#NAME?</v>
      </c>
      <c r="I582" t="e">
        <f ca="1">BDP("254845VJ Muni","FINANCING_TYPE")</f>
        <v>#NAME?</v>
      </c>
      <c r="J582" t="e">
        <f ca="1">BDP("254845VJ Muni","BICS_LEVEL_2_INDUSTRY_GROUP_NAME")</f>
        <v>#NAME?</v>
      </c>
      <c r="K582" t="e">
        <f ca="1">BDP("254845VJ Muni","SELF_REPRTD_GREEN_INSTR_INDCTR")</f>
        <v>#NAME?</v>
      </c>
      <c r="L582" t="e">
        <f ca="1">BDP("254845VJ Muni","GB_MANAGEMENT_PROCEEDS")</f>
        <v>#NAME?</v>
      </c>
      <c r="M582" t="e">
        <f ca="1">BDP("254845VJ Muni","GB_REPORTING")</f>
        <v>#NAME?</v>
      </c>
      <c r="N582" t="e">
        <f ca="1">BDP("254845VJ Muni","GB_ASSURANCE_PROVIDERS")</f>
        <v>#NAME?</v>
      </c>
      <c r="O582" t="e">
        <f ca="1">BDP("254845VJ Muni","GB_PROJECT_SELECTION_PROCESS")</f>
        <v>#NAME?</v>
      </c>
      <c r="P582" t="e">
        <f ca="1">BDP("254845VJ Muni","ESG_FRAMEWORK_INDICATOR")</f>
        <v>#NAME?</v>
      </c>
      <c r="Q582" t="e">
        <f ca="1">BDP("254845VJ Muni","BLOOMBERG_SECTOR_CODE")</f>
        <v>#NAME?</v>
      </c>
      <c r="R582" t="e">
        <f ca="1">BDP("254845VJ Muni","ISSUER_TYPE")</f>
        <v>#NAME?</v>
      </c>
      <c r="S582" t="e">
        <f ca="1">BDS("254845VJ Muni","ESG_PROJECT_CATEGORY", "aggregate=y")</f>
        <v>#NAME?</v>
      </c>
      <c r="T582" t="e">
        <f ca="1">BDS("254845VJ Muni","ESG_PROJECT_SUBCATEGORY", "aggregate=y")</f>
        <v>#NAME?</v>
      </c>
    </row>
    <row r="583" spans="1:20" x14ac:dyDescent="0.25">
      <c r="A583" t="e">
        <f ca="1">BDP("254845VN Muni","ID_CUSIP")</f>
        <v>#NAME?</v>
      </c>
      <c r="B583" t="e">
        <f ca="1">BDP("254845VN Muni","STATE_CODE")</f>
        <v>#NAME?</v>
      </c>
      <c r="C583" t="s">
        <v>45</v>
      </c>
      <c r="D583" t="e">
        <f ca="1">BDP("254845VN Muni","YIELD_ON_ISSUE_DATE")</f>
        <v>#NAME?</v>
      </c>
      <c r="E583">
        <v>2945000</v>
      </c>
      <c r="F583" t="e">
        <f ca="1">BDP("254845VN Muni","ISSUE_DT")</f>
        <v>#NAME?</v>
      </c>
      <c r="G583" t="e">
        <f ca="1">BDP("254845VN Muni","MATURITY")</f>
        <v>#NAME?</v>
      </c>
      <c r="H583" t="e">
        <f ca="1">BDP("254845VN Muni","MUNI_TAX_PROV")</f>
        <v>#NAME?</v>
      </c>
      <c r="I583" t="e">
        <f ca="1">BDP("254845VN Muni","FINANCING_TYPE")</f>
        <v>#NAME?</v>
      </c>
      <c r="J583" t="e">
        <f ca="1">BDP("254845VN Muni","BICS_LEVEL_2_INDUSTRY_GROUP_NAME")</f>
        <v>#NAME?</v>
      </c>
      <c r="K583" t="e">
        <f ca="1">BDP("254845VN Muni","SELF_REPRTD_GREEN_INSTR_INDCTR")</f>
        <v>#NAME?</v>
      </c>
      <c r="L583" t="e">
        <f ca="1">BDP("254845VN Muni","GB_MANAGEMENT_PROCEEDS")</f>
        <v>#NAME?</v>
      </c>
      <c r="M583" t="e">
        <f ca="1">BDP("254845VN Muni","GB_REPORTING")</f>
        <v>#NAME?</v>
      </c>
      <c r="N583" t="e">
        <f ca="1">BDP("254845VN Muni","GB_ASSURANCE_PROVIDERS")</f>
        <v>#NAME?</v>
      </c>
      <c r="O583" t="e">
        <f ca="1">BDP("254845VN Muni","GB_PROJECT_SELECTION_PROCESS")</f>
        <v>#NAME?</v>
      </c>
      <c r="P583" t="e">
        <f ca="1">BDP("254845VN Muni","ESG_FRAMEWORK_INDICATOR")</f>
        <v>#NAME?</v>
      </c>
      <c r="Q583" t="e">
        <f ca="1">BDP("254845VN Muni","BLOOMBERG_SECTOR_CODE")</f>
        <v>#NAME?</v>
      </c>
      <c r="R583" t="e">
        <f ca="1">BDP("254845VN Muni","ISSUER_TYPE")</f>
        <v>#NAME?</v>
      </c>
      <c r="S583" t="e">
        <f ca="1">BDS("254845VN Muni","ESG_PROJECT_CATEGORY", "aggregate=y")</f>
        <v>#NAME?</v>
      </c>
      <c r="T583" t="e">
        <f ca="1">BDS("254845VN Muni","ESG_PROJECT_SUBCATEGORY", "aggregate=y")</f>
        <v>#NAME?</v>
      </c>
    </row>
    <row r="584" spans="1:20" x14ac:dyDescent="0.25">
      <c r="A584" t="e">
        <f ca="1">BDP("88035PF6 Muni","ID_CUSIP")</f>
        <v>#NAME?</v>
      </c>
      <c r="B584" t="e">
        <f ca="1">BDP("88035PF6 Muni","STATE_CODE")</f>
        <v>#NAME?</v>
      </c>
      <c r="C584" t="s">
        <v>25</v>
      </c>
      <c r="D584" t="e">
        <f ca="1">BDP("88035PF6 Muni","YIELD_ON_ISSUE_DATE")</f>
        <v>#NAME?</v>
      </c>
      <c r="E584">
        <v>8000000</v>
      </c>
      <c r="F584" t="e">
        <f ca="1">BDP("88035PF6 Muni","ISSUE_DT")</f>
        <v>#NAME?</v>
      </c>
      <c r="G584" t="e">
        <f ca="1">BDP("88035PF6 Muni","MATURITY")</f>
        <v>#NAME?</v>
      </c>
      <c r="H584" t="e">
        <f ca="1">BDP("88035PF6 Muni","MUNI_TAX_PROV")</f>
        <v>#NAME?</v>
      </c>
      <c r="I584" t="e">
        <f ca="1">BDP("88035PF6 Muni","FINANCING_TYPE")</f>
        <v>#NAME?</v>
      </c>
      <c r="J584" t="e">
        <f ca="1">BDP("88035PF6 Muni","BICS_LEVEL_2_INDUSTRY_GROUP_NAME")</f>
        <v>#NAME?</v>
      </c>
      <c r="K584" t="e">
        <f ca="1">BDP("88035PF6 Muni","SELF_REPRTD_GREEN_INSTR_INDCTR")</f>
        <v>#NAME?</v>
      </c>
      <c r="L584" t="e">
        <f ca="1">BDP("88035PF6 Muni","GB_MANAGEMENT_PROCEEDS")</f>
        <v>#NAME?</v>
      </c>
      <c r="M584" t="e">
        <f ca="1">BDP("88035PF6 Muni","GB_REPORTING")</f>
        <v>#NAME?</v>
      </c>
      <c r="N584" t="e">
        <f ca="1">BDP("88035PF6 Muni","GB_ASSURANCE_PROVIDERS")</f>
        <v>#NAME?</v>
      </c>
      <c r="O584" t="e">
        <f ca="1">BDP("88035PF6 Muni","GB_PROJECT_SELECTION_PROCESS")</f>
        <v>#NAME?</v>
      </c>
      <c r="P584" t="e">
        <f ca="1">BDP("88035PF6 Muni","ESG_FRAMEWORK_INDICATOR")</f>
        <v>#NAME?</v>
      </c>
      <c r="Q584" t="e">
        <f ca="1">BDP("88035PF6 Muni","BLOOMBERG_SECTOR_CODE")</f>
        <v>#NAME?</v>
      </c>
      <c r="R584" t="e">
        <f ca="1">BDP("88035PF6 Muni","ISSUER_TYPE")</f>
        <v>#NAME?</v>
      </c>
      <c r="S584" t="e">
        <f ca="1">BDS("88035PF6 Muni","ESG_PROJECT_CATEGORY", "aggregate=y")</f>
        <v>#NAME?</v>
      </c>
      <c r="T584" t="e">
        <f ca="1">BDS("88035PF6 Muni","ESG_PROJECT_SUBCATEGORY", "aggregate=y")</f>
        <v>#NAME?</v>
      </c>
    </row>
    <row r="585" spans="1:20" x14ac:dyDescent="0.25">
      <c r="A585" t="e">
        <f ca="1">BDP("88035PF7 Muni","ID_CUSIP")</f>
        <v>#NAME?</v>
      </c>
      <c r="B585" t="e">
        <f ca="1">BDP("88035PF7 Muni","STATE_CODE")</f>
        <v>#NAME?</v>
      </c>
      <c r="C585" t="s">
        <v>25</v>
      </c>
      <c r="D585" t="e">
        <f ca="1">BDP("88035PF7 Muni","YIELD_ON_ISSUE_DATE")</f>
        <v>#NAME?</v>
      </c>
      <c r="E585">
        <v>2000000</v>
      </c>
      <c r="F585" t="e">
        <f ca="1">BDP("88035PF7 Muni","ISSUE_DT")</f>
        <v>#NAME?</v>
      </c>
      <c r="G585" t="e">
        <f ca="1">BDP("88035PF7 Muni","MATURITY")</f>
        <v>#NAME?</v>
      </c>
      <c r="H585" t="e">
        <f ca="1">BDP("88035PF7 Muni","MUNI_TAX_PROV")</f>
        <v>#NAME?</v>
      </c>
      <c r="I585" t="e">
        <f ca="1">BDP("88035PF7 Muni","FINANCING_TYPE")</f>
        <v>#NAME?</v>
      </c>
      <c r="J585" t="e">
        <f ca="1">BDP("88035PF7 Muni","BICS_LEVEL_2_INDUSTRY_GROUP_NAME")</f>
        <v>#NAME?</v>
      </c>
      <c r="K585" t="e">
        <f ca="1">BDP("88035PF7 Muni","SELF_REPRTD_GREEN_INSTR_INDCTR")</f>
        <v>#NAME?</v>
      </c>
      <c r="L585" t="e">
        <f ca="1">BDP("88035PF7 Muni","GB_MANAGEMENT_PROCEEDS")</f>
        <v>#NAME?</v>
      </c>
      <c r="M585" t="e">
        <f ca="1">BDP("88035PF7 Muni","GB_REPORTING")</f>
        <v>#NAME?</v>
      </c>
      <c r="N585" t="e">
        <f ca="1">BDP("88035PF7 Muni","GB_ASSURANCE_PROVIDERS")</f>
        <v>#NAME?</v>
      </c>
      <c r="O585" t="e">
        <f ca="1">BDP("88035PF7 Muni","GB_PROJECT_SELECTION_PROCESS")</f>
        <v>#NAME?</v>
      </c>
      <c r="P585" t="e">
        <f ca="1">BDP("88035PF7 Muni","ESG_FRAMEWORK_INDICATOR")</f>
        <v>#NAME?</v>
      </c>
      <c r="Q585" t="e">
        <f ca="1">BDP("88035PF7 Muni","BLOOMBERG_SECTOR_CODE")</f>
        <v>#NAME?</v>
      </c>
      <c r="R585" t="e">
        <f ca="1">BDP("88035PF7 Muni","ISSUER_TYPE")</f>
        <v>#NAME?</v>
      </c>
      <c r="S585" t="e">
        <f ca="1">BDS("88035PF7 Muni","ESG_PROJECT_CATEGORY", "aggregate=y")</f>
        <v>#NAME?</v>
      </c>
      <c r="T585" t="e">
        <f ca="1">BDS("88035PF7 Muni","ESG_PROJECT_SUBCATEGORY", "aggregate=y")</f>
        <v>#NAME?</v>
      </c>
    </row>
    <row r="586" spans="1:20" x14ac:dyDescent="0.25">
      <c r="A586" t="e">
        <f ca="1">BDP("88035R2P Muni","ID_CUSIP")</f>
        <v>#NAME?</v>
      </c>
      <c r="B586" t="e">
        <f ca="1">BDP("88035R2P Muni","STATE_CODE")</f>
        <v>#NAME?</v>
      </c>
      <c r="C586" t="s">
        <v>25</v>
      </c>
      <c r="D586" t="e">
        <f ca="1">BDP("88035R2P Muni","YIELD_ON_ISSUE_DATE")</f>
        <v>#NAME?</v>
      </c>
      <c r="E586">
        <v>2000000</v>
      </c>
      <c r="F586" t="e">
        <f ca="1">BDP("88035R2P Muni","ISSUE_DT")</f>
        <v>#NAME?</v>
      </c>
      <c r="G586" t="e">
        <f ca="1">BDP("88035R2P Muni","MATURITY")</f>
        <v>#NAME?</v>
      </c>
      <c r="H586" t="e">
        <f ca="1">BDP("88035R2P Muni","MUNI_TAX_PROV")</f>
        <v>#NAME?</v>
      </c>
      <c r="I586" t="e">
        <f ca="1">BDP("88035R2P Muni","FINANCING_TYPE")</f>
        <v>#NAME?</v>
      </c>
      <c r="J586" t="e">
        <f ca="1">BDP("88035R2P Muni","BICS_LEVEL_2_INDUSTRY_GROUP_NAME")</f>
        <v>#NAME?</v>
      </c>
      <c r="K586" t="e">
        <f ca="1">BDP("88035R2P Muni","SELF_REPRTD_GREEN_INSTR_INDCTR")</f>
        <v>#NAME?</v>
      </c>
      <c r="L586" t="e">
        <f ca="1">BDP("88035R2P Muni","GB_MANAGEMENT_PROCEEDS")</f>
        <v>#NAME?</v>
      </c>
      <c r="M586" t="e">
        <f ca="1">BDP("88035R2P Muni","GB_REPORTING")</f>
        <v>#NAME?</v>
      </c>
      <c r="N586" t="e">
        <f ca="1">BDP("88035R2P Muni","GB_ASSURANCE_PROVIDERS")</f>
        <v>#NAME?</v>
      </c>
      <c r="O586" t="e">
        <f ca="1">BDP("88035R2P Muni","GB_PROJECT_SELECTION_PROCESS")</f>
        <v>#NAME?</v>
      </c>
      <c r="P586" t="e">
        <f ca="1">BDP("88035R2P Muni","ESG_FRAMEWORK_INDICATOR")</f>
        <v>#NAME?</v>
      </c>
      <c r="Q586" t="e">
        <f ca="1">BDP("88035R2P Muni","BLOOMBERG_SECTOR_CODE")</f>
        <v>#NAME?</v>
      </c>
      <c r="R586" t="e">
        <f ca="1">BDP("88035R2P Muni","ISSUER_TYPE")</f>
        <v>#NAME?</v>
      </c>
      <c r="S586" t="e">
        <f ca="1">BDS("88035R2P Muni","ESG_PROJECT_CATEGORY", "aggregate=y")</f>
        <v>#NAME?</v>
      </c>
      <c r="T586" t="e">
        <f ca="1">BDS("88035R2P Muni","ESG_PROJECT_SUBCATEGORY", "aggregate=y")</f>
        <v>#NAME?</v>
      </c>
    </row>
    <row r="587" spans="1:20" x14ac:dyDescent="0.25">
      <c r="A587" t="e">
        <f ca="1">BDP("88035RA6 Muni","ID_CUSIP")</f>
        <v>#NAME?</v>
      </c>
      <c r="B587" t="e">
        <f ca="1">BDP("88035RA6 Muni","STATE_CODE")</f>
        <v>#NAME?</v>
      </c>
      <c r="C587" t="s">
        <v>25</v>
      </c>
      <c r="D587" t="e">
        <f ca="1">BDP("88035RA6 Muni","YIELD_ON_ISSUE_DATE")</f>
        <v>#NAME?</v>
      </c>
      <c r="E587">
        <v>2000000</v>
      </c>
      <c r="F587" t="e">
        <f ca="1">BDP("88035RA6 Muni","ISSUE_DT")</f>
        <v>#NAME?</v>
      </c>
      <c r="G587" t="e">
        <f ca="1">BDP("88035RA6 Muni","MATURITY")</f>
        <v>#NAME?</v>
      </c>
      <c r="H587" t="e">
        <f ca="1">BDP("88035RA6 Muni","MUNI_TAX_PROV")</f>
        <v>#NAME?</v>
      </c>
      <c r="I587" t="e">
        <f ca="1">BDP("88035RA6 Muni","FINANCING_TYPE")</f>
        <v>#NAME?</v>
      </c>
      <c r="J587" t="e">
        <f ca="1">BDP("88035RA6 Muni","BICS_LEVEL_2_INDUSTRY_GROUP_NAME")</f>
        <v>#NAME?</v>
      </c>
      <c r="K587" t="e">
        <f ca="1">BDP("88035RA6 Muni","SELF_REPRTD_GREEN_INSTR_INDCTR")</f>
        <v>#NAME?</v>
      </c>
      <c r="L587" t="e">
        <f ca="1">BDP("88035RA6 Muni","GB_MANAGEMENT_PROCEEDS")</f>
        <v>#NAME?</v>
      </c>
      <c r="M587" t="e">
        <f ca="1">BDP("88035RA6 Muni","GB_REPORTING")</f>
        <v>#NAME?</v>
      </c>
      <c r="N587" t="e">
        <f ca="1">BDP("88035RA6 Muni","GB_ASSURANCE_PROVIDERS")</f>
        <v>#NAME?</v>
      </c>
      <c r="O587" t="e">
        <f ca="1">BDP("88035RA6 Muni","GB_PROJECT_SELECTION_PROCESS")</f>
        <v>#NAME?</v>
      </c>
      <c r="P587" t="e">
        <f ca="1">BDP("88035RA6 Muni","ESG_FRAMEWORK_INDICATOR")</f>
        <v>#NAME?</v>
      </c>
      <c r="Q587" t="e">
        <f ca="1">BDP("88035RA6 Muni","BLOOMBERG_SECTOR_CODE")</f>
        <v>#NAME?</v>
      </c>
      <c r="R587" t="e">
        <f ca="1">BDP("88035RA6 Muni","ISSUER_TYPE")</f>
        <v>#NAME?</v>
      </c>
      <c r="S587" t="e">
        <f ca="1">BDS("88035RA6 Muni","ESG_PROJECT_CATEGORY", "aggregate=y")</f>
        <v>#NAME?</v>
      </c>
      <c r="T587" t="e">
        <f ca="1">BDS("88035RA6 Muni","ESG_PROJECT_SUBCATEGORY", "aggregate=y")</f>
        <v>#NAME?</v>
      </c>
    </row>
    <row r="588" spans="1:20" x14ac:dyDescent="0.25">
      <c r="A588" t="e">
        <f ca="1">BDP("88035RA7 Muni","ID_CUSIP")</f>
        <v>#NAME?</v>
      </c>
      <c r="B588" t="e">
        <f ca="1">BDP("88035RA7 Muni","STATE_CODE")</f>
        <v>#NAME?</v>
      </c>
      <c r="C588" t="s">
        <v>25</v>
      </c>
      <c r="D588" t="e">
        <f ca="1">BDP("88035RA7 Muni","YIELD_ON_ISSUE_DATE")</f>
        <v>#NAME?</v>
      </c>
      <c r="E588">
        <v>11625000</v>
      </c>
      <c r="F588" t="e">
        <f ca="1">BDP("88035RA7 Muni","ISSUE_DT")</f>
        <v>#NAME?</v>
      </c>
      <c r="G588" t="e">
        <f ca="1">BDP("88035RA7 Muni","MATURITY")</f>
        <v>#NAME?</v>
      </c>
      <c r="H588" t="e">
        <f ca="1">BDP("88035RA7 Muni","MUNI_TAX_PROV")</f>
        <v>#NAME?</v>
      </c>
      <c r="I588" t="e">
        <f ca="1">BDP("88035RA7 Muni","FINANCING_TYPE")</f>
        <v>#NAME?</v>
      </c>
      <c r="J588" t="e">
        <f ca="1">BDP("88035RA7 Muni","BICS_LEVEL_2_INDUSTRY_GROUP_NAME")</f>
        <v>#NAME?</v>
      </c>
      <c r="K588" t="e">
        <f ca="1">BDP("88035RA7 Muni","SELF_REPRTD_GREEN_INSTR_INDCTR")</f>
        <v>#NAME?</v>
      </c>
      <c r="L588" t="e">
        <f ca="1">BDP("88035RA7 Muni","GB_MANAGEMENT_PROCEEDS")</f>
        <v>#NAME?</v>
      </c>
      <c r="M588" t="e">
        <f ca="1">BDP("88035RA7 Muni","GB_REPORTING")</f>
        <v>#NAME?</v>
      </c>
      <c r="N588" t="e">
        <f ca="1">BDP("88035RA7 Muni","GB_ASSURANCE_PROVIDERS")</f>
        <v>#NAME?</v>
      </c>
      <c r="O588" t="e">
        <f ca="1">BDP("88035RA7 Muni","GB_PROJECT_SELECTION_PROCESS")</f>
        <v>#NAME?</v>
      </c>
      <c r="P588" t="e">
        <f ca="1">BDP("88035RA7 Muni","ESG_FRAMEWORK_INDICATOR")</f>
        <v>#NAME?</v>
      </c>
      <c r="Q588" t="e">
        <f ca="1">BDP("88035RA7 Muni","BLOOMBERG_SECTOR_CODE")</f>
        <v>#NAME?</v>
      </c>
      <c r="R588" t="e">
        <f ca="1">BDP("88035RA7 Muni","ISSUER_TYPE")</f>
        <v>#NAME?</v>
      </c>
      <c r="S588" t="e">
        <f ca="1">BDS("88035RA7 Muni","ESG_PROJECT_CATEGORY", "aggregate=y")</f>
        <v>#NAME?</v>
      </c>
      <c r="T588" t="e">
        <f ca="1">BDS("88035RA7 Muni","ESG_PROJECT_SUBCATEGORY", "aggregate=y")</f>
        <v>#NAME?</v>
      </c>
    </row>
    <row r="589" spans="1:20" x14ac:dyDescent="0.25">
      <c r="A589" t="e">
        <f ca="1">BDP("88035RA8 Muni","ID_CUSIP")</f>
        <v>#NAME?</v>
      </c>
      <c r="B589" t="e">
        <f ca="1">BDP("88035RA8 Muni","STATE_CODE")</f>
        <v>#NAME?</v>
      </c>
      <c r="C589" t="s">
        <v>25</v>
      </c>
      <c r="D589" t="e">
        <f ca="1">BDP("88035RA8 Muni","YIELD_ON_ISSUE_DATE")</f>
        <v>#NAME?</v>
      </c>
      <c r="E589">
        <v>3875000</v>
      </c>
      <c r="F589" t="e">
        <f ca="1">BDP("88035RA8 Muni","ISSUE_DT")</f>
        <v>#NAME?</v>
      </c>
      <c r="G589" t="e">
        <f ca="1">BDP("88035RA8 Muni","MATURITY")</f>
        <v>#NAME?</v>
      </c>
      <c r="H589" t="e">
        <f ca="1">BDP("88035RA8 Muni","MUNI_TAX_PROV")</f>
        <v>#NAME?</v>
      </c>
      <c r="I589" t="e">
        <f ca="1">BDP("88035RA8 Muni","FINANCING_TYPE")</f>
        <v>#NAME?</v>
      </c>
      <c r="J589" t="e">
        <f ca="1">BDP("88035RA8 Muni","BICS_LEVEL_2_INDUSTRY_GROUP_NAME")</f>
        <v>#NAME?</v>
      </c>
      <c r="K589" t="e">
        <f ca="1">BDP("88035RA8 Muni","SELF_REPRTD_GREEN_INSTR_INDCTR")</f>
        <v>#NAME?</v>
      </c>
      <c r="L589" t="e">
        <f ca="1">BDP("88035RA8 Muni","GB_MANAGEMENT_PROCEEDS")</f>
        <v>#NAME?</v>
      </c>
      <c r="M589" t="e">
        <f ca="1">BDP("88035RA8 Muni","GB_REPORTING")</f>
        <v>#NAME?</v>
      </c>
      <c r="N589" t="e">
        <f ca="1">BDP("88035RA8 Muni","GB_ASSURANCE_PROVIDERS")</f>
        <v>#NAME?</v>
      </c>
      <c r="O589" t="e">
        <f ca="1">BDP("88035RA8 Muni","GB_PROJECT_SELECTION_PROCESS")</f>
        <v>#NAME?</v>
      </c>
      <c r="P589" t="e">
        <f ca="1">BDP("88035RA8 Muni","ESG_FRAMEWORK_INDICATOR")</f>
        <v>#NAME?</v>
      </c>
      <c r="Q589" t="e">
        <f ca="1">BDP("88035RA8 Muni","BLOOMBERG_SECTOR_CODE")</f>
        <v>#NAME?</v>
      </c>
      <c r="R589" t="e">
        <f ca="1">BDP("88035RA8 Muni","ISSUER_TYPE")</f>
        <v>#NAME?</v>
      </c>
      <c r="S589" t="e">
        <f ca="1">BDS("88035RA8 Muni","ESG_PROJECT_CATEGORY", "aggregate=y")</f>
        <v>#NAME?</v>
      </c>
      <c r="T589" t="e">
        <f ca="1">BDS("88035RA8 Muni","ESG_PROJECT_SUBCATEGORY", "aggregate=y")</f>
        <v>#NAME?</v>
      </c>
    </row>
    <row r="590" spans="1:20" x14ac:dyDescent="0.25">
      <c r="A590" t="e">
        <f ca="1">BDP("88035RC2 Muni","ID_CUSIP")</f>
        <v>#NAME?</v>
      </c>
      <c r="B590" t="e">
        <f ca="1">BDP("88035RC2 Muni","STATE_CODE")</f>
        <v>#NAME?</v>
      </c>
      <c r="C590" t="s">
        <v>25</v>
      </c>
      <c r="D590" t="e">
        <f ca="1">BDP("88035RC2 Muni","YIELD_ON_ISSUE_DATE")</f>
        <v>#NAME?</v>
      </c>
      <c r="E590">
        <v>2745000</v>
      </c>
      <c r="F590" t="e">
        <f ca="1">BDP("88035RC2 Muni","ISSUE_DT")</f>
        <v>#NAME?</v>
      </c>
      <c r="G590" t="e">
        <f ca="1">BDP("88035RC2 Muni","MATURITY")</f>
        <v>#NAME?</v>
      </c>
      <c r="H590" t="e">
        <f ca="1">BDP("88035RC2 Muni","MUNI_TAX_PROV")</f>
        <v>#NAME?</v>
      </c>
      <c r="I590" t="e">
        <f ca="1">BDP("88035RC2 Muni","FINANCING_TYPE")</f>
        <v>#NAME?</v>
      </c>
      <c r="J590" t="e">
        <f ca="1">BDP("88035RC2 Muni","BICS_LEVEL_2_INDUSTRY_GROUP_NAME")</f>
        <v>#NAME?</v>
      </c>
      <c r="K590" t="e">
        <f ca="1">BDP("88035RC2 Muni","SELF_REPRTD_GREEN_INSTR_INDCTR")</f>
        <v>#NAME?</v>
      </c>
      <c r="L590" t="e">
        <f ca="1">BDP("88035RC2 Muni","GB_MANAGEMENT_PROCEEDS")</f>
        <v>#NAME?</v>
      </c>
      <c r="M590" t="e">
        <f ca="1">BDP("88035RC2 Muni","GB_REPORTING")</f>
        <v>#NAME?</v>
      </c>
      <c r="N590" t="e">
        <f ca="1">BDP("88035RC2 Muni","GB_ASSURANCE_PROVIDERS")</f>
        <v>#NAME?</v>
      </c>
      <c r="O590" t="e">
        <f ca="1">BDP("88035RC2 Muni","GB_PROJECT_SELECTION_PROCESS")</f>
        <v>#NAME?</v>
      </c>
      <c r="P590" t="e">
        <f ca="1">BDP("88035RC2 Muni","ESG_FRAMEWORK_INDICATOR")</f>
        <v>#NAME?</v>
      </c>
      <c r="Q590" t="e">
        <f ca="1">BDP("88035RC2 Muni","BLOOMBERG_SECTOR_CODE")</f>
        <v>#NAME?</v>
      </c>
      <c r="R590" t="e">
        <f ca="1">BDP("88035RC2 Muni","ISSUER_TYPE")</f>
        <v>#NAME?</v>
      </c>
      <c r="S590" t="e">
        <f ca="1">BDS("88035RC2 Muni","ESG_PROJECT_CATEGORY", "aggregate=y")</f>
        <v>#NAME?</v>
      </c>
      <c r="T590" t="e">
        <f ca="1">BDS("88035RC2 Muni","ESG_PROJECT_SUBCATEGORY", "aggregate=y")</f>
        <v>#NAME?</v>
      </c>
    </row>
    <row r="591" spans="1:20" x14ac:dyDescent="0.25">
      <c r="A591" t="e">
        <f ca="1">BDP("88035RC3 Muni","ID_CUSIP")</f>
        <v>#NAME?</v>
      </c>
      <c r="B591" t="e">
        <f ca="1">BDP("88035RC3 Muni","STATE_CODE")</f>
        <v>#NAME?</v>
      </c>
      <c r="C591" t="s">
        <v>25</v>
      </c>
      <c r="D591" t="e">
        <f ca="1">BDP("88035RC3 Muni","YIELD_ON_ISSUE_DATE")</f>
        <v>#NAME?</v>
      </c>
      <c r="E591">
        <v>2255000</v>
      </c>
      <c r="F591" t="e">
        <f ca="1">BDP("88035RC3 Muni","ISSUE_DT")</f>
        <v>#NAME?</v>
      </c>
      <c r="G591" t="e">
        <f ca="1">BDP("88035RC3 Muni","MATURITY")</f>
        <v>#NAME?</v>
      </c>
      <c r="H591" t="e">
        <f ca="1">BDP("88035RC3 Muni","MUNI_TAX_PROV")</f>
        <v>#NAME?</v>
      </c>
      <c r="I591" t="e">
        <f ca="1">BDP("88035RC3 Muni","FINANCING_TYPE")</f>
        <v>#NAME?</v>
      </c>
      <c r="J591" t="e">
        <f ca="1">BDP("88035RC3 Muni","BICS_LEVEL_2_INDUSTRY_GROUP_NAME")</f>
        <v>#NAME?</v>
      </c>
      <c r="K591" t="e">
        <f ca="1">BDP("88035RC3 Muni","SELF_REPRTD_GREEN_INSTR_INDCTR")</f>
        <v>#NAME?</v>
      </c>
      <c r="L591" t="e">
        <f ca="1">BDP("88035RC3 Muni","GB_MANAGEMENT_PROCEEDS")</f>
        <v>#NAME?</v>
      </c>
      <c r="M591" t="e">
        <f ca="1">BDP("88035RC3 Muni","GB_REPORTING")</f>
        <v>#NAME?</v>
      </c>
      <c r="N591" t="e">
        <f ca="1">BDP("88035RC3 Muni","GB_ASSURANCE_PROVIDERS")</f>
        <v>#NAME?</v>
      </c>
      <c r="O591" t="e">
        <f ca="1">BDP("88035RC3 Muni","GB_PROJECT_SELECTION_PROCESS")</f>
        <v>#NAME?</v>
      </c>
      <c r="P591" t="e">
        <f ca="1">BDP("88035RC3 Muni","ESG_FRAMEWORK_INDICATOR")</f>
        <v>#NAME?</v>
      </c>
      <c r="Q591" t="e">
        <f ca="1">BDP("88035RC3 Muni","BLOOMBERG_SECTOR_CODE")</f>
        <v>#NAME?</v>
      </c>
      <c r="R591" t="e">
        <f ca="1">BDP("88035RC3 Muni","ISSUER_TYPE")</f>
        <v>#NAME?</v>
      </c>
      <c r="S591" t="e">
        <f ca="1">BDS("88035RC3 Muni","ESG_PROJECT_CATEGORY", "aggregate=y")</f>
        <v>#NAME?</v>
      </c>
      <c r="T591" t="e">
        <f ca="1">BDS("88035RC3 Muni","ESG_PROJECT_SUBCATEGORY", "aggregate=y")</f>
        <v>#NAME?</v>
      </c>
    </row>
    <row r="592" spans="1:20" x14ac:dyDescent="0.25">
      <c r="A592" t="e">
        <f ca="1">BDP("88035RR9 Muni","ID_CUSIP")</f>
        <v>#NAME?</v>
      </c>
      <c r="B592" t="e">
        <f ca="1">BDP("88035RR9 Muni","STATE_CODE")</f>
        <v>#NAME?</v>
      </c>
      <c r="C592" t="s">
        <v>25</v>
      </c>
      <c r="D592" t="e">
        <f ca="1">BDP("88035RR9 Muni","YIELD_ON_ISSUE_DATE")</f>
        <v>#NAME?</v>
      </c>
      <c r="E592">
        <v>22500000</v>
      </c>
      <c r="F592" t="e">
        <f ca="1">BDP("88035RR9 Muni","ISSUE_DT")</f>
        <v>#NAME?</v>
      </c>
      <c r="G592" t="e">
        <f ca="1">BDP("88035RR9 Muni","MATURITY")</f>
        <v>#NAME?</v>
      </c>
      <c r="H592" t="e">
        <f ca="1">BDP("88035RR9 Muni","MUNI_TAX_PROV")</f>
        <v>#NAME?</v>
      </c>
      <c r="I592" t="e">
        <f ca="1">BDP("88035RR9 Muni","FINANCING_TYPE")</f>
        <v>#NAME?</v>
      </c>
      <c r="J592" t="e">
        <f ca="1">BDP("88035RR9 Muni","BICS_LEVEL_2_INDUSTRY_GROUP_NAME")</f>
        <v>#NAME?</v>
      </c>
      <c r="K592" t="e">
        <f ca="1">BDP("88035RR9 Muni","SELF_REPRTD_GREEN_INSTR_INDCTR")</f>
        <v>#NAME?</v>
      </c>
      <c r="L592" t="e">
        <f ca="1">BDP("88035RR9 Muni","GB_MANAGEMENT_PROCEEDS")</f>
        <v>#NAME?</v>
      </c>
      <c r="M592" t="e">
        <f ca="1">BDP("88035RR9 Muni","GB_REPORTING")</f>
        <v>#NAME?</v>
      </c>
      <c r="N592" t="e">
        <f ca="1">BDP("88035RR9 Muni","GB_ASSURANCE_PROVIDERS")</f>
        <v>#NAME?</v>
      </c>
      <c r="O592" t="e">
        <f ca="1">BDP("88035RR9 Muni","GB_PROJECT_SELECTION_PROCESS")</f>
        <v>#NAME?</v>
      </c>
      <c r="P592" t="e">
        <f ca="1">BDP("88035RR9 Muni","ESG_FRAMEWORK_INDICATOR")</f>
        <v>#NAME?</v>
      </c>
      <c r="Q592" t="e">
        <f ca="1">BDP("88035RR9 Muni","BLOOMBERG_SECTOR_CODE")</f>
        <v>#NAME?</v>
      </c>
      <c r="R592" t="e">
        <f ca="1">BDP("88035RR9 Muni","ISSUER_TYPE")</f>
        <v>#NAME?</v>
      </c>
      <c r="S592" t="e">
        <f ca="1">BDS("88035RR9 Muni","ESG_PROJECT_CATEGORY", "aggregate=y")</f>
        <v>#NAME?</v>
      </c>
      <c r="T592" t="e">
        <f ca="1">BDS("88035RR9 Muni","ESG_PROJECT_SUBCATEGORY", "aggregate=y")</f>
        <v>#NAME?</v>
      </c>
    </row>
    <row r="593" spans="1:20" x14ac:dyDescent="0.25">
      <c r="A593" t="e">
        <f ca="1">BDP("88035RS2 Muni","ID_CUSIP")</f>
        <v>#NAME?</v>
      </c>
      <c r="B593" t="e">
        <f ca="1">BDP("88035RS2 Muni","STATE_CODE")</f>
        <v>#NAME?</v>
      </c>
      <c r="C593" t="s">
        <v>25</v>
      </c>
      <c r="D593" t="e">
        <f ca="1">BDP("88035RS2 Muni","YIELD_ON_ISSUE_DATE")</f>
        <v>#NAME?</v>
      </c>
      <c r="E593">
        <v>7500000</v>
      </c>
      <c r="F593" t="e">
        <f ca="1">BDP("88035RS2 Muni","ISSUE_DT")</f>
        <v>#NAME?</v>
      </c>
      <c r="G593" t="e">
        <f ca="1">BDP("88035RS2 Muni","MATURITY")</f>
        <v>#NAME?</v>
      </c>
      <c r="H593" t="e">
        <f ca="1">BDP("88035RS2 Muni","MUNI_TAX_PROV")</f>
        <v>#NAME?</v>
      </c>
      <c r="I593" t="e">
        <f ca="1">BDP("88035RS2 Muni","FINANCING_TYPE")</f>
        <v>#NAME?</v>
      </c>
      <c r="J593" t="e">
        <f ca="1">BDP("88035RS2 Muni","BICS_LEVEL_2_INDUSTRY_GROUP_NAME")</f>
        <v>#NAME?</v>
      </c>
      <c r="K593" t="e">
        <f ca="1">BDP("88035RS2 Muni","SELF_REPRTD_GREEN_INSTR_INDCTR")</f>
        <v>#NAME?</v>
      </c>
      <c r="L593" t="e">
        <f ca="1">BDP("88035RS2 Muni","GB_MANAGEMENT_PROCEEDS")</f>
        <v>#NAME?</v>
      </c>
      <c r="M593" t="e">
        <f ca="1">BDP("88035RS2 Muni","GB_REPORTING")</f>
        <v>#NAME?</v>
      </c>
      <c r="N593" t="e">
        <f ca="1">BDP("88035RS2 Muni","GB_ASSURANCE_PROVIDERS")</f>
        <v>#NAME?</v>
      </c>
      <c r="O593" t="e">
        <f ca="1">BDP("88035RS2 Muni","GB_PROJECT_SELECTION_PROCESS")</f>
        <v>#NAME?</v>
      </c>
      <c r="P593" t="e">
        <f ca="1">BDP("88035RS2 Muni","ESG_FRAMEWORK_INDICATOR")</f>
        <v>#NAME?</v>
      </c>
      <c r="Q593" t="e">
        <f ca="1">BDP("88035RS2 Muni","BLOOMBERG_SECTOR_CODE")</f>
        <v>#NAME?</v>
      </c>
      <c r="R593" t="e">
        <f ca="1">BDP("88035RS2 Muni","ISSUER_TYPE")</f>
        <v>#NAME?</v>
      </c>
      <c r="S593" t="e">
        <f ca="1">BDS("88035RS2 Muni","ESG_PROJECT_CATEGORY", "aggregate=y")</f>
        <v>#NAME?</v>
      </c>
      <c r="T593" t="e">
        <f ca="1">BDS("88035RS2 Muni","ESG_PROJECT_SUBCATEGORY", "aggregate=y")</f>
        <v>#NAME?</v>
      </c>
    </row>
    <row r="594" spans="1:20" x14ac:dyDescent="0.25">
      <c r="A594" t="e">
        <f ca="1">BDP("88035RZL Muni","ID_CUSIP")</f>
        <v>#NAME?</v>
      </c>
      <c r="B594" t="e">
        <f ca="1">BDP("88035RZL Muni","STATE_CODE")</f>
        <v>#NAME?</v>
      </c>
      <c r="C594" t="s">
        <v>25</v>
      </c>
      <c r="D594" t="e">
        <f ca="1">BDP("88035RZL Muni","YIELD_ON_ISSUE_DATE")</f>
        <v>#NAME?</v>
      </c>
      <c r="E594">
        <v>7500000</v>
      </c>
      <c r="F594" t="e">
        <f ca="1">BDP("88035RZL Muni","ISSUE_DT")</f>
        <v>#NAME?</v>
      </c>
      <c r="G594" t="e">
        <f ca="1">BDP("88035RZL Muni","MATURITY")</f>
        <v>#NAME?</v>
      </c>
      <c r="H594" t="e">
        <f ca="1">BDP("88035RZL Muni","MUNI_TAX_PROV")</f>
        <v>#NAME?</v>
      </c>
      <c r="I594" t="e">
        <f ca="1">BDP("88035RZL Muni","FINANCING_TYPE")</f>
        <v>#NAME?</v>
      </c>
      <c r="J594" t="e">
        <f ca="1">BDP("88035RZL Muni","BICS_LEVEL_2_INDUSTRY_GROUP_NAME")</f>
        <v>#NAME?</v>
      </c>
      <c r="K594" t="e">
        <f ca="1">BDP("88035RZL Muni","SELF_REPRTD_GREEN_INSTR_INDCTR")</f>
        <v>#NAME?</v>
      </c>
      <c r="L594" t="e">
        <f ca="1">BDP("88035RZL Muni","GB_MANAGEMENT_PROCEEDS")</f>
        <v>#NAME?</v>
      </c>
      <c r="M594" t="e">
        <f ca="1">BDP("88035RZL Muni","GB_REPORTING")</f>
        <v>#NAME?</v>
      </c>
      <c r="N594" t="e">
        <f ca="1">BDP("88035RZL Muni","GB_ASSURANCE_PROVIDERS")</f>
        <v>#NAME?</v>
      </c>
      <c r="O594" t="e">
        <f ca="1">BDP("88035RZL Muni","GB_PROJECT_SELECTION_PROCESS")</f>
        <v>#NAME?</v>
      </c>
      <c r="P594" t="e">
        <f ca="1">BDP("88035RZL Muni","ESG_FRAMEWORK_INDICATOR")</f>
        <v>#NAME?</v>
      </c>
      <c r="Q594" t="e">
        <f ca="1">BDP("88035RZL Muni","BLOOMBERG_SECTOR_CODE")</f>
        <v>#NAME?</v>
      </c>
      <c r="R594" t="e">
        <f ca="1">BDP("88035RZL Muni","ISSUER_TYPE")</f>
        <v>#NAME?</v>
      </c>
      <c r="S594" t="e">
        <f ca="1">BDS("88035RZL Muni","ESG_PROJECT_CATEGORY", "aggregate=y")</f>
        <v>#NAME?</v>
      </c>
      <c r="T594" t="e">
        <f ca="1">BDS("88035RZL Muni","ESG_PROJECT_SUBCATEGORY", "aggregate=y")</f>
        <v>#NAME?</v>
      </c>
    </row>
    <row r="595" spans="1:20" x14ac:dyDescent="0.25">
      <c r="A595" t="e">
        <f ca="1">BDP("88035RZN Muni","ID_CUSIP")</f>
        <v>#NAME?</v>
      </c>
      <c r="B595" t="e">
        <f ca="1">BDP("88035RZN Muni","STATE_CODE")</f>
        <v>#NAME?</v>
      </c>
      <c r="C595" t="s">
        <v>25</v>
      </c>
      <c r="D595" t="e">
        <f ca="1">BDP("88035RZN Muni","YIELD_ON_ISSUE_DATE")</f>
        <v>#NAME?</v>
      </c>
      <c r="E595">
        <v>9185000</v>
      </c>
      <c r="F595" t="e">
        <f ca="1">BDP("88035RZN Muni","ISSUE_DT")</f>
        <v>#NAME?</v>
      </c>
      <c r="G595" t="e">
        <f ca="1">BDP("88035RZN Muni","MATURITY")</f>
        <v>#NAME?</v>
      </c>
      <c r="H595" t="e">
        <f ca="1">BDP("88035RZN Muni","MUNI_TAX_PROV")</f>
        <v>#NAME?</v>
      </c>
      <c r="I595" t="e">
        <f ca="1">BDP("88035RZN Muni","FINANCING_TYPE")</f>
        <v>#NAME?</v>
      </c>
      <c r="J595" t="e">
        <f ca="1">BDP("88035RZN Muni","BICS_LEVEL_2_INDUSTRY_GROUP_NAME")</f>
        <v>#NAME?</v>
      </c>
      <c r="K595" t="e">
        <f ca="1">BDP("88035RZN Muni","SELF_REPRTD_GREEN_INSTR_INDCTR")</f>
        <v>#NAME?</v>
      </c>
      <c r="L595" t="e">
        <f ca="1">BDP("88035RZN Muni","GB_MANAGEMENT_PROCEEDS")</f>
        <v>#NAME?</v>
      </c>
      <c r="M595" t="e">
        <f ca="1">BDP("88035RZN Muni","GB_REPORTING")</f>
        <v>#NAME?</v>
      </c>
      <c r="N595" t="e">
        <f ca="1">BDP("88035RZN Muni","GB_ASSURANCE_PROVIDERS")</f>
        <v>#NAME?</v>
      </c>
      <c r="O595" t="e">
        <f ca="1">BDP("88035RZN Muni","GB_PROJECT_SELECTION_PROCESS")</f>
        <v>#NAME?</v>
      </c>
      <c r="P595" t="e">
        <f ca="1">BDP("88035RZN Muni","ESG_FRAMEWORK_INDICATOR")</f>
        <v>#NAME?</v>
      </c>
      <c r="Q595" t="e">
        <f ca="1">BDP("88035RZN Muni","BLOOMBERG_SECTOR_CODE")</f>
        <v>#NAME?</v>
      </c>
      <c r="R595" t="e">
        <f ca="1">BDP("88035RZN Muni","ISSUER_TYPE")</f>
        <v>#NAME?</v>
      </c>
      <c r="S595" t="e">
        <f ca="1">BDS("88035RZN Muni","ESG_PROJECT_CATEGORY", "aggregate=y")</f>
        <v>#NAME?</v>
      </c>
      <c r="T595" t="e">
        <f ca="1">BDS("88035RZN Muni","ESG_PROJECT_SUBCATEGORY", "aggregate=y")</f>
        <v>#NAME?</v>
      </c>
    </row>
    <row r="596" spans="1:20" x14ac:dyDescent="0.25">
      <c r="A596" t="e">
        <f ca="1">BDP("88035RZP Muni","ID_CUSIP")</f>
        <v>#NAME?</v>
      </c>
      <c r="B596" t="e">
        <f ca="1">BDP("88035RZP Muni","STATE_CODE")</f>
        <v>#NAME?</v>
      </c>
      <c r="C596" t="s">
        <v>25</v>
      </c>
      <c r="D596" t="e">
        <f ca="1">BDP("88035RZP Muni","YIELD_ON_ISSUE_DATE")</f>
        <v>#NAME?</v>
      </c>
      <c r="E596">
        <v>3065000</v>
      </c>
      <c r="F596" t="e">
        <f ca="1">BDP("88035RZP Muni","ISSUE_DT")</f>
        <v>#NAME?</v>
      </c>
      <c r="G596" t="e">
        <f ca="1">BDP("88035RZP Muni","MATURITY")</f>
        <v>#NAME?</v>
      </c>
      <c r="H596" t="e">
        <f ca="1">BDP("88035RZP Muni","MUNI_TAX_PROV")</f>
        <v>#NAME?</v>
      </c>
      <c r="I596" t="e">
        <f ca="1">BDP("88035RZP Muni","FINANCING_TYPE")</f>
        <v>#NAME?</v>
      </c>
      <c r="J596" t="e">
        <f ca="1">BDP("88035RZP Muni","BICS_LEVEL_2_INDUSTRY_GROUP_NAME")</f>
        <v>#NAME?</v>
      </c>
      <c r="K596" t="e">
        <f ca="1">BDP("88035RZP Muni","SELF_REPRTD_GREEN_INSTR_INDCTR")</f>
        <v>#NAME?</v>
      </c>
      <c r="L596" t="e">
        <f ca="1">BDP("88035RZP Muni","GB_MANAGEMENT_PROCEEDS")</f>
        <v>#NAME?</v>
      </c>
      <c r="M596" t="e">
        <f ca="1">BDP("88035RZP Muni","GB_REPORTING")</f>
        <v>#NAME?</v>
      </c>
      <c r="N596" t="e">
        <f ca="1">BDP("88035RZP Muni","GB_ASSURANCE_PROVIDERS")</f>
        <v>#NAME?</v>
      </c>
      <c r="O596" t="e">
        <f ca="1">BDP("88035RZP Muni","GB_PROJECT_SELECTION_PROCESS")</f>
        <v>#NAME?</v>
      </c>
      <c r="P596" t="e">
        <f ca="1">BDP("88035RZP Muni","ESG_FRAMEWORK_INDICATOR")</f>
        <v>#NAME?</v>
      </c>
      <c r="Q596" t="e">
        <f ca="1">BDP("88035RZP Muni","BLOOMBERG_SECTOR_CODE")</f>
        <v>#NAME?</v>
      </c>
      <c r="R596" t="e">
        <f ca="1">BDP("88035RZP Muni","ISSUER_TYPE")</f>
        <v>#NAME?</v>
      </c>
      <c r="S596" t="e">
        <f ca="1">BDS("88035RZP Muni","ESG_PROJECT_CATEGORY", "aggregate=y")</f>
        <v>#NAME?</v>
      </c>
      <c r="T596" t="e">
        <f ca="1">BDS("88035RZP Muni","ESG_PROJECT_SUBCATEGORY", "aggregate=y")</f>
        <v>#NAME?</v>
      </c>
    </row>
    <row r="597" spans="1:20" x14ac:dyDescent="0.25">
      <c r="A597" t="e">
        <f ca="1">BDP("88035TDD Muni","ID_CUSIP")</f>
        <v>#NAME?</v>
      </c>
      <c r="B597" t="e">
        <f ca="1">BDP("88035TDD Muni","STATE_CODE")</f>
        <v>#NAME?</v>
      </c>
      <c r="C597" t="s">
        <v>25</v>
      </c>
      <c r="D597" t="e">
        <f ca="1">BDP("88035TDD Muni","YIELD_ON_ISSUE_DATE")</f>
        <v>#NAME?</v>
      </c>
      <c r="E597">
        <v>2000000</v>
      </c>
      <c r="F597" t="e">
        <f ca="1">BDP("88035TDD Muni","ISSUE_DT")</f>
        <v>#NAME?</v>
      </c>
      <c r="G597" t="e">
        <f ca="1">BDP("88035TDD Muni","MATURITY")</f>
        <v>#NAME?</v>
      </c>
      <c r="H597" t="e">
        <f ca="1">BDP("88035TDD Muni","MUNI_TAX_PROV")</f>
        <v>#NAME?</v>
      </c>
      <c r="I597" t="e">
        <f ca="1">BDP("88035TDD Muni","FINANCING_TYPE")</f>
        <v>#NAME?</v>
      </c>
      <c r="J597" t="e">
        <f ca="1">BDP("88035TDD Muni","BICS_LEVEL_2_INDUSTRY_GROUP_NAME")</f>
        <v>#NAME?</v>
      </c>
      <c r="K597" t="e">
        <f ca="1">BDP("88035TDD Muni","SELF_REPRTD_GREEN_INSTR_INDCTR")</f>
        <v>#NAME?</v>
      </c>
      <c r="L597" t="e">
        <f ca="1">BDP("88035TDD Muni","GB_MANAGEMENT_PROCEEDS")</f>
        <v>#NAME?</v>
      </c>
      <c r="M597" t="e">
        <f ca="1">BDP("88035TDD Muni","GB_REPORTING")</f>
        <v>#NAME?</v>
      </c>
      <c r="N597" t="e">
        <f ca="1">BDP("88035TDD Muni","GB_ASSURANCE_PROVIDERS")</f>
        <v>#NAME?</v>
      </c>
      <c r="O597" t="e">
        <f ca="1">BDP("88035TDD Muni","GB_PROJECT_SELECTION_PROCESS")</f>
        <v>#NAME?</v>
      </c>
      <c r="P597" t="e">
        <f ca="1">BDP("88035TDD Muni","ESG_FRAMEWORK_INDICATOR")</f>
        <v>#NAME?</v>
      </c>
      <c r="Q597" t="e">
        <f ca="1">BDP("88035TDD Muni","BLOOMBERG_SECTOR_CODE")</f>
        <v>#NAME?</v>
      </c>
      <c r="R597" t="e">
        <f ca="1">BDP("88035TDD Muni","ISSUER_TYPE")</f>
        <v>#NAME?</v>
      </c>
      <c r="S597" t="e">
        <f ca="1">BDS("88035TDD Muni","ESG_PROJECT_CATEGORY", "aggregate=y")</f>
        <v>#NAME?</v>
      </c>
      <c r="T597" t="e">
        <f ca="1">BDS("88035TDD Muni","ESG_PROJECT_SUBCATEGORY", "aggregate=y")</f>
        <v>#NAME?</v>
      </c>
    </row>
    <row r="598" spans="1:20" x14ac:dyDescent="0.25">
      <c r="A598" t="e">
        <f ca="1">BDP("25156SJB Muni","ID_CUSIP")</f>
        <v>#NAME?</v>
      </c>
      <c r="B598" t="e">
        <f ca="1">BDP("25156SJB Muni","STATE_CODE")</f>
        <v>#NAME?</v>
      </c>
      <c r="C598" t="s">
        <v>31</v>
      </c>
      <c r="D598" t="e">
        <f ca="1">BDP("25156SJB Muni","YIELD_ON_ISSUE_DATE")</f>
        <v>#NAME?</v>
      </c>
      <c r="E598">
        <v>5000</v>
      </c>
      <c r="F598" t="e">
        <f ca="1">BDP("25156SJB Muni","ISSUE_DT")</f>
        <v>#NAME?</v>
      </c>
      <c r="G598" t="e">
        <f ca="1">BDP("25156SJB Muni","MATURITY")</f>
        <v>#NAME?</v>
      </c>
      <c r="H598" t="e">
        <f ca="1">BDP("25156SJB Muni","MUNI_TAX_PROV")</f>
        <v>#NAME?</v>
      </c>
      <c r="I598" t="e">
        <f ca="1">BDP("25156SJB Muni","FINANCING_TYPE")</f>
        <v>#NAME?</v>
      </c>
      <c r="J598" t="e">
        <f ca="1">BDP("25156SJB Muni","BICS_LEVEL_2_INDUSTRY_GROUP_NAME")</f>
        <v>#NAME?</v>
      </c>
      <c r="K598" t="e">
        <f ca="1">BDP("25156SJB Muni","SELF_REPRTD_GREEN_INSTR_INDCTR")</f>
        <v>#NAME?</v>
      </c>
      <c r="L598" t="e">
        <f ca="1">BDP("25156SJB Muni","GB_MANAGEMENT_PROCEEDS")</f>
        <v>#NAME?</v>
      </c>
      <c r="M598" t="e">
        <f ca="1">BDP("25156SJB Muni","GB_REPORTING")</f>
        <v>#NAME?</v>
      </c>
      <c r="N598" t="e">
        <f ca="1">BDP("25156SJB Muni","GB_ASSURANCE_PROVIDERS")</f>
        <v>#NAME?</v>
      </c>
      <c r="O598" t="e">
        <f ca="1">BDP("25156SJB Muni","GB_PROJECT_SELECTION_PROCESS")</f>
        <v>#NAME?</v>
      </c>
      <c r="P598" t="e">
        <f ca="1">BDP("25156SJB Muni","ESG_FRAMEWORK_INDICATOR")</f>
        <v>#NAME?</v>
      </c>
      <c r="Q598" t="e">
        <f ca="1">BDP("25156SJB Muni","BLOOMBERG_SECTOR_CODE")</f>
        <v>#NAME?</v>
      </c>
      <c r="R598" t="e">
        <f ca="1">BDP("25156SJB Muni","ISSUER_TYPE")</f>
        <v>#NAME?</v>
      </c>
      <c r="S598" t="e">
        <f ca="1">BDS("25156SJB Muni","ESG_PROJECT_CATEGORY", "aggregate=y")</f>
        <v>#NAME?</v>
      </c>
      <c r="T598" t="e">
        <f ca="1">BDS("25156SJB Muni","ESG_PROJECT_SUBCATEGORY", "aggregate=y")</f>
        <v>#NAME?</v>
      </c>
    </row>
    <row r="599" spans="1:20" x14ac:dyDescent="0.25">
      <c r="A599" t="e">
        <f ca="1">BDP("46640KX9 Muni","ID_CUSIP")</f>
        <v>#NAME?</v>
      </c>
      <c r="B599" t="e">
        <f ca="1">BDP("46640KX9 Muni","STATE_CODE")</f>
        <v>#NAME?</v>
      </c>
      <c r="C599" t="s">
        <v>46</v>
      </c>
      <c r="D599" t="e">
        <f ca="1">BDP("46640KX9 Muni","YIELD_ON_ISSUE_DATE")</f>
        <v>#NAME?</v>
      </c>
      <c r="E599">
        <v>5000</v>
      </c>
      <c r="F599" t="e">
        <f ca="1">BDP("46640KX9 Muni","ISSUE_DT")</f>
        <v>#NAME?</v>
      </c>
      <c r="G599" t="e">
        <f ca="1">BDP("46640KX9 Muni","MATURITY")</f>
        <v>#NAME?</v>
      </c>
      <c r="H599" t="e">
        <f ca="1">BDP("46640KX9 Muni","MUNI_TAX_PROV")</f>
        <v>#NAME?</v>
      </c>
      <c r="I599" t="e">
        <f ca="1">BDP("46640KX9 Muni","FINANCING_TYPE")</f>
        <v>#NAME?</v>
      </c>
      <c r="J599" t="e">
        <f ca="1">BDP("46640KX9 Muni","BICS_LEVEL_2_INDUSTRY_GROUP_NAME")</f>
        <v>#NAME?</v>
      </c>
      <c r="K599" t="e">
        <f ca="1">BDP("46640KX9 Muni","SELF_REPRTD_GREEN_INSTR_INDCTR")</f>
        <v>#NAME?</v>
      </c>
      <c r="L599" t="e">
        <f ca="1">BDP("46640KX9 Muni","GB_MANAGEMENT_PROCEEDS")</f>
        <v>#NAME?</v>
      </c>
      <c r="M599" t="e">
        <f ca="1">BDP("46640KX9 Muni","GB_REPORTING")</f>
        <v>#NAME?</v>
      </c>
      <c r="N599" t="e">
        <f ca="1">BDP("46640KX9 Muni","GB_ASSURANCE_PROVIDERS")</f>
        <v>#NAME?</v>
      </c>
      <c r="O599" t="e">
        <f ca="1">BDP("46640KX9 Muni","GB_PROJECT_SELECTION_PROCESS")</f>
        <v>#NAME?</v>
      </c>
      <c r="P599" t="e">
        <f ca="1">BDP("46640KX9 Muni","ESG_FRAMEWORK_INDICATOR")</f>
        <v>#NAME?</v>
      </c>
      <c r="Q599" t="e">
        <f ca="1">BDP("46640KX9 Muni","BLOOMBERG_SECTOR_CODE")</f>
        <v>#NAME?</v>
      </c>
      <c r="R599" t="e">
        <f ca="1">BDP("46640KX9 Muni","ISSUER_TYPE")</f>
        <v>#NAME?</v>
      </c>
      <c r="S599" t="e">
        <f ca="1">BDS("46640KX9 Muni","ESG_PROJECT_CATEGORY", "aggregate=y")</f>
        <v>#NAME?</v>
      </c>
      <c r="T599" t="e">
        <f ca="1">BDS("46640KX9 Muni","ESG_PROJECT_SUBCATEGORY", "aggregate=y")</f>
        <v>#NAME?</v>
      </c>
    </row>
    <row r="600" spans="1:20" x14ac:dyDescent="0.25">
      <c r="A600" t="e">
        <f ca="1">BDP("591746BW Muni","ID_CUSIP")</f>
        <v>#NAME?</v>
      </c>
      <c r="B600" t="e">
        <f ca="1">BDP("591746BW Muni","STATE_CODE")</f>
        <v>#NAME?</v>
      </c>
      <c r="C600" t="s">
        <v>47</v>
      </c>
      <c r="D600" t="e">
        <f ca="1">BDP("591746BW Muni","YIELD_ON_ISSUE_DATE")</f>
        <v>#NAME?</v>
      </c>
      <c r="E600">
        <v>17495000</v>
      </c>
      <c r="F600" t="e">
        <f ca="1">BDP("591746BW Muni","ISSUE_DT")</f>
        <v>#NAME?</v>
      </c>
      <c r="G600" t="e">
        <f ca="1">BDP("591746BW Muni","MATURITY")</f>
        <v>#NAME?</v>
      </c>
      <c r="H600" t="e">
        <f ca="1">BDP("591746BW Muni","MUNI_TAX_PROV")</f>
        <v>#NAME?</v>
      </c>
      <c r="I600" t="e">
        <f ca="1">BDP("591746BW Muni","FINANCING_TYPE")</f>
        <v>#NAME?</v>
      </c>
      <c r="J600" t="e">
        <f ca="1">BDP("591746BW Muni","BICS_LEVEL_2_INDUSTRY_GROUP_NAME")</f>
        <v>#NAME?</v>
      </c>
      <c r="K600" t="e">
        <f ca="1">BDP("591746BW Muni","SELF_REPRTD_GREEN_INSTR_INDCTR")</f>
        <v>#NAME?</v>
      </c>
      <c r="L600" t="e">
        <f ca="1">BDP("591746BW Muni","GB_MANAGEMENT_PROCEEDS")</f>
        <v>#NAME?</v>
      </c>
      <c r="M600" t="e">
        <f ca="1">BDP("591746BW Muni","GB_REPORTING")</f>
        <v>#NAME?</v>
      </c>
      <c r="N600" t="e">
        <f ca="1">BDP("591746BW Muni","GB_ASSURANCE_PROVIDERS")</f>
        <v>#NAME?</v>
      </c>
      <c r="O600" t="e">
        <f ca="1">BDP("591746BW Muni","GB_PROJECT_SELECTION_PROCESS")</f>
        <v>#NAME?</v>
      </c>
      <c r="P600" t="e">
        <f ca="1">BDP("591746BW Muni","ESG_FRAMEWORK_INDICATOR")</f>
        <v>#NAME?</v>
      </c>
      <c r="Q600" t="e">
        <f ca="1">BDP("591746BW Muni","BLOOMBERG_SECTOR_CODE")</f>
        <v>#NAME?</v>
      </c>
      <c r="R600" t="e">
        <f ca="1">BDP("591746BW Muni","ISSUER_TYPE")</f>
        <v>#NAME?</v>
      </c>
      <c r="S600" t="e">
        <f ca="1">BDS("591746BW Muni","ESG_PROJECT_CATEGORY", "aggregate=y")</f>
        <v>#NAME?</v>
      </c>
      <c r="T600" t="e">
        <f ca="1">BDS("591746BW Muni","ESG_PROJECT_SUBCATEGORY", "aggregate=y")</f>
        <v>#NAME?</v>
      </c>
    </row>
    <row r="601" spans="1:20" x14ac:dyDescent="0.25">
      <c r="A601" t="e">
        <f ca="1">BDP("591746CB Muni","ID_CUSIP")</f>
        <v>#NAME?</v>
      </c>
      <c r="B601" t="e">
        <f ca="1">BDP("591746CB Muni","STATE_CODE")</f>
        <v>#NAME?</v>
      </c>
      <c r="C601" t="s">
        <v>47</v>
      </c>
      <c r="D601" t="e">
        <f ca="1">BDP("591746CB Muni","YIELD_ON_ISSUE_DATE")</f>
        <v>#NAME?</v>
      </c>
      <c r="E601">
        <v>10610000</v>
      </c>
      <c r="F601" t="e">
        <f ca="1">BDP("591746CB Muni","ISSUE_DT")</f>
        <v>#NAME?</v>
      </c>
      <c r="G601" t="e">
        <f ca="1">BDP("591746CB Muni","MATURITY")</f>
        <v>#NAME?</v>
      </c>
      <c r="H601" t="e">
        <f ca="1">BDP("591746CB Muni","MUNI_TAX_PROV")</f>
        <v>#NAME?</v>
      </c>
      <c r="I601" t="e">
        <f ca="1">BDP("591746CB Muni","FINANCING_TYPE")</f>
        <v>#NAME?</v>
      </c>
      <c r="J601" t="e">
        <f ca="1">BDP("591746CB Muni","BICS_LEVEL_2_INDUSTRY_GROUP_NAME")</f>
        <v>#NAME?</v>
      </c>
      <c r="K601" t="e">
        <f ca="1">BDP("591746CB Muni","SELF_REPRTD_GREEN_INSTR_INDCTR")</f>
        <v>#NAME?</v>
      </c>
      <c r="L601" t="e">
        <f ca="1">BDP("591746CB Muni","GB_MANAGEMENT_PROCEEDS")</f>
        <v>#NAME?</v>
      </c>
      <c r="M601" t="e">
        <f ca="1">BDP("591746CB Muni","GB_REPORTING")</f>
        <v>#NAME?</v>
      </c>
      <c r="N601" t="e">
        <f ca="1">BDP("591746CB Muni","GB_ASSURANCE_PROVIDERS")</f>
        <v>#NAME?</v>
      </c>
      <c r="O601" t="e">
        <f ca="1">BDP("591746CB Muni","GB_PROJECT_SELECTION_PROCESS")</f>
        <v>#NAME?</v>
      </c>
      <c r="P601" t="e">
        <f ca="1">BDP("591746CB Muni","ESG_FRAMEWORK_INDICATOR")</f>
        <v>#NAME?</v>
      </c>
      <c r="Q601" t="e">
        <f ca="1">BDP("591746CB Muni","BLOOMBERG_SECTOR_CODE")</f>
        <v>#NAME?</v>
      </c>
      <c r="R601" t="e">
        <f ca="1">BDP("591746CB Muni","ISSUER_TYPE")</f>
        <v>#NAME?</v>
      </c>
      <c r="S601" t="e">
        <f ca="1">BDS("591746CB Muni","ESG_PROJECT_CATEGORY", "aggregate=y")</f>
        <v>#NAME?</v>
      </c>
      <c r="T601" t="e">
        <f ca="1">BDS("591746CB Muni","ESG_PROJECT_SUBCATEGORY", "aggregate=y")</f>
        <v>#NAME?</v>
      </c>
    </row>
    <row r="602" spans="1:20" x14ac:dyDescent="0.25">
      <c r="A602" t="e">
        <f ca="1">BDP("591746CC Muni","ID_CUSIP")</f>
        <v>#NAME?</v>
      </c>
      <c r="B602" t="e">
        <f ca="1">BDP("591746CC Muni","STATE_CODE")</f>
        <v>#NAME?</v>
      </c>
      <c r="C602" t="s">
        <v>47</v>
      </c>
      <c r="D602" t="e">
        <f ca="1">BDP("591746CC Muni","YIELD_ON_ISSUE_DATE")</f>
        <v>#NAME?</v>
      </c>
      <c r="E602">
        <v>555000</v>
      </c>
      <c r="F602" t="e">
        <f ca="1">BDP("591746CC Muni","ISSUE_DT")</f>
        <v>#NAME?</v>
      </c>
      <c r="G602" t="e">
        <f ca="1">BDP("591746CC Muni","MATURITY")</f>
        <v>#NAME?</v>
      </c>
      <c r="H602" t="e">
        <f ca="1">BDP("591746CC Muni","MUNI_TAX_PROV")</f>
        <v>#NAME?</v>
      </c>
      <c r="I602" t="e">
        <f ca="1">BDP("591746CC Muni","FINANCING_TYPE")</f>
        <v>#NAME?</v>
      </c>
      <c r="J602" t="e">
        <f ca="1">BDP("591746CC Muni","BICS_LEVEL_2_INDUSTRY_GROUP_NAME")</f>
        <v>#NAME?</v>
      </c>
      <c r="K602" t="e">
        <f ca="1">BDP("591746CC Muni","SELF_REPRTD_GREEN_INSTR_INDCTR")</f>
        <v>#NAME?</v>
      </c>
      <c r="L602" t="e">
        <f ca="1">BDP("591746CC Muni","GB_MANAGEMENT_PROCEEDS")</f>
        <v>#NAME?</v>
      </c>
      <c r="M602" t="e">
        <f ca="1">BDP("591746CC Muni","GB_REPORTING")</f>
        <v>#NAME?</v>
      </c>
      <c r="N602" t="e">
        <f ca="1">BDP("591746CC Muni","GB_ASSURANCE_PROVIDERS")</f>
        <v>#NAME?</v>
      </c>
      <c r="O602" t="e">
        <f ca="1">BDP("591746CC Muni","GB_PROJECT_SELECTION_PROCESS")</f>
        <v>#NAME?</v>
      </c>
      <c r="P602" t="e">
        <f ca="1">BDP("591746CC Muni","ESG_FRAMEWORK_INDICATOR")</f>
        <v>#NAME?</v>
      </c>
      <c r="Q602" t="e">
        <f ca="1">BDP("591746CC Muni","BLOOMBERG_SECTOR_CODE")</f>
        <v>#NAME?</v>
      </c>
      <c r="R602" t="e">
        <f ca="1">BDP("591746CC Muni","ISSUER_TYPE")</f>
        <v>#NAME?</v>
      </c>
      <c r="S602" t="e">
        <f ca="1">BDS("591746CC Muni","ESG_PROJECT_CATEGORY", "aggregate=y")</f>
        <v>#NAME?</v>
      </c>
      <c r="T602" t="e">
        <f ca="1">BDS("591746CC Muni","ESG_PROJECT_SUBCATEGORY", "aggregate=y")</f>
        <v>#NAME?</v>
      </c>
    </row>
    <row r="603" spans="1:20" x14ac:dyDescent="0.25">
      <c r="A603" t="e">
        <f ca="1">BDP("591746CD Muni","ID_CUSIP")</f>
        <v>#NAME?</v>
      </c>
      <c r="B603" t="e">
        <f ca="1">BDP("591746CD Muni","STATE_CODE")</f>
        <v>#NAME?</v>
      </c>
      <c r="C603" t="s">
        <v>47</v>
      </c>
      <c r="D603" t="e">
        <f ca="1">BDP("591746CD Muni","YIELD_ON_ISSUE_DATE")</f>
        <v>#NAME?</v>
      </c>
      <c r="E603">
        <v>6315000</v>
      </c>
      <c r="F603" t="e">
        <f ca="1">BDP("591746CD Muni","ISSUE_DT")</f>
        <v>#NAME?</v>
      </c>
      <c r="G603" t="e">
        <f ca="1">BDP("591746CD Muni","MATURITY")</f>
        <v>#NAME?</v>
      </c>
      <c r="H603" t="e">
        <f ca="1">BDP("591746CD Muni","MUNI_TAX_PROV")</f>
        <v>#NAME?</v>
      </c>
      <c r="I603" t="e">
        <f ca="1">BDP("591746CD Muni","FINANCING_TYPE")</f>
        <v>#NAME?</v>
      </c>
      <c r="J603" t="e">
        <f ca="1">BDP("591746CD Muni","BICS_LEVEL_2_INDUSTRY_GROUP_NAME")</f>
        <v>#NAME?</v>
      </c>
      <c r="K603" t="e">
        <f ca="1">BDP("591746CD Muni","SELF_REPRTD_GREEN_INSTR_INDCTR")</f>
        <v>#NAME?</v>
      </c>
      <c r="L603" t="e">
        <f ca="1">BDP("591746CD Muni","GB_MANAGEMENT_PROCEEDS")</f>
        <v>#NAME?</v>
      </c>
      <c r="M603" t="e">
        <f ca="1">BDP("591746CD Muni","GB_REPORTING")</f>
        <v>#NAME?</v>
      </c>
      <c r="N603" t="e">
        <f ca="1">BDP("591746CD Muni","GB_ASSURANCE_PROVIDERS")</f>
        <v>#NAME?</v>
      </c>
      <c r="O603" t="e">
        <f ca="1">BDP("591746CD Muni","GB_PROJECT_SELECTION_PROCESS")</f>
        <v>#NAME?</v>
      </c>
      <c r="P603" t="e">
        <f ca="1">BDP("591746CD Muni","ESG_FRAMEWORK_INDICATOR")</f>
        <v>#NAME?</v>
      </c>
      <c r="Q603" t="e">
        <f ca="1">BDP("591746CD Muni","BLOOMBERG_SECTOR_CODE")</f>
        <v>#NAME?</v>
      </c>
      <c r="R603" t="e">
        <f ca="1">BDP("591746CD Muni","ISSUER_TYPE")</f>
        <v>#NAME?</v>
      </c>
      <c r="S603" t="e">
        <f ca="1">BDS("591746CD Muni","ESG_PROJECT_CATEGORY", "aggregate=y")</f>
        <v>#NAME?</v>
      </c>
      <c r="T603" t="e">
        <f ca="1">BDS("591746CD Muni","ESG_PROJECT_SUBCATEGORY", "aggregate=y")</f>
        <v>#NAME?</v>
      </c>
    </row>
    <row r="604" spans="1:20" x14ac:dyDescent="0.25">
      <c r="A604" t="e">
        <f ca="1">BDP("591746CE Muni","ID_CUSIP")</f>
        <v>#NAME?</v>
      </c>
      <c r="B604" t="e">
        <f ca="1">BDP("591746CE Muni","STATE_CODE")</f>
        <v>#NAME?</v>
      </c>
      <c r="C604" t="s">
        <v>47</v>
      </c>
      <c r="D604" t="e">
        <f ca="1">BDP("591746CE Muni","YIELD_ON_ISSUE_DATE")</f>
        <v>#NAME?</v>
      </c>
      <c r="E604">
        <v>360000</v>
      </c>
      <c r="F604" t="e">
        <f ca="1">BDP("591746CE Muni","ISSUE_DT")</f>
        <v>#NAME?</v>
      </c>
      <c r="G604" t="e">
        <f ca="1">BDP("591746CE Muni","MATURITY")</f>
        <v>#NAME?</v>
      </c>
      <c r="H604" t="e">
        <f ca="1">BDP("591746CE Muni","MUNI_TAX_PROV")</f>
        <v>#NAME?</v>
      </c>
      <c r="I604" t="e">
        <f ca="1">BDP("591746CE Muni","FINANCING_TYPE")</f>
        <v>#NAME?</v>
      </c>
      <c r="J604" t="e">
        <f ca="1">BDP("591746CE Muni","BICS_LEVEL_2_INDUSTRY_GROUP_NAME")</f>
        <v>#NAME?</v>
      </c>
      <c r="K604" t="e">
        <f ca="1">BDP("591746CE Muni","SELF_REPRTD_GREEN_INSTR_INDCTR")</f>
        <v>#NAME?</v>
      </c>
      <c r="L604" t="e">
        <f ca="1">BDP("591746CE Muni","GB_MANAGEMENT_PROCEEDS")</f>
        <v>#NAME?</v>
      </c>
      <c r="M604" t="e">
        <f ca="1">BDP("591746CE Muni","GB_REPORTING")</f>
        <v>#NAME?</v>
      </c>
      <c r="N604" t="e">
        <f ca="1">BDP("591746CE Muni","GB_ASSURANCE_PROVIDERS")</f>
        <v>#NAME?</v>
      </c>
      <c r="O604" t="e">
        <f ca="1">BDP("591746CE Muni","GB_PROJECT_SELECTION_PROCESS")</f>
        <v>#NAME?</v>
      </c>
      <c r="P604" t="e">
        <f ca="1">BDP("591746CE Muni","ESG_FRAMEWORK_INDICATOR")</f>
        <v>#NAME?</v>
      </c>
      <c r="Q604" t="e">
        <f ca="1">BDP("591746CE Muni","BLOOMBERG_SECTOR_CODE")</f>
        <v>#NAME?</v>
      </c>
      <c r="R604" t="e">
        <f ca="1">BDP("591746CE Muni","ISSUER_TYPE")</f>
        <v>#NAME?</v>
      </c>
      <c r="S604" t="e">
        <f ca="1">BDS("591746CE Muni","ESG_PROJECT_CATEGORY", "aggregate=y")</f>
        <v>#NAME?</v>
      </c>
      <c r="T604" t="e">
        <f ca="1">BDS("591746CE Muni","ESG_PROJECT_SUBCATEGORY", "aggregate=y")</f>
        <v>#NAME?</v>
      </c>
    </row>
    <row r="605" spans="1:20" x14ac:dyDescent="0.25">
      <c r="A605" t="e">
        <f ca="1">BDP("591746CF Muni","ID_CUSIP")</f>
        <v>#NAME?</v>
      </c>
      <c r="B605" t="e">
        <f ca="1">BDP("591746CF Muni","STATE_CODE")</f>
        <v>#NAME?</v>
      </c>
      <c r="C605" t="s">
        <v>47</v>
      </c>
      <c r="D605" t="e">
        <f ca="1">BDP("591746CF Muni","YIELD_ON_ISSUE_DATE")</f>
        <v>#NAME?</v>
      </c>
      <c r="E605">
        <v>5445000</v>
      </c>
      <c r="F605" t="e">
        <f ca="1">BDP("591746CF Muni","ISSUE_DT")</f>
        <v>#NAME?</v>
      </c>
      <c r="G605" t="e">
        <f ca="1">BDP("591746CF Muni","MATURITY")</f>
        <v>#NAME?</v>
      </c>
      <c r="H605" t="e">
        <f ca="1">BDP("591746CF Muni","MUNI_TAX_PROV")</f>
        <v>#NAME?</v>
      </c>
      <c r="I605" t="e">
        <f ca="1">BDP("591746CF Muni","FINANCING_TYPE")</f>
        <v>#NAME?</v>
      </c>
      <c r="J605" t="e">
        <f ca="1">BDP("591746CF Muni","BICS_LEVEL_2_INDUSTRY_GROUP_NAME")</f>
        <v>#NAME?</v>
      </c>
      <c r="K605" t="e">
        <f ca="1">BDP("591746CF Muni","SELF_REPRTD_GREEN_INSTR_INDCTR")</f>
        <v>#NAME?</v>
      </c>
      <c r="L605" t="e">
        <f ca="1">BDP("591746CF Muni","GB_MANAGEMENT_PROCEEDS")</f>
        <v>#NAME?</v>
      </c>
      <c r="M605" t="e">
        <f ca="1">BDP("591746CF Muni","GB_REPORTING")</f>
        <v>#NAME?</v>
      </c>
      <c r="N605" t="e">
        <f ca="1">BDP("591746CF Muni","GB_ASSURANCE_PROVIDERS")</f>
        <v>#NAME?</v>
      </c>
      <c r="O605" t="e">
        <f ca="1">BDP("591746CF Muni","GB_PROJECT_SELECTION_PROCESS")</f>
        <v>#NAME?</v>
      </c>
      <c r="P605" t="e">
        <f ca="1">BDP("591746CF Muni","ESG_FRAMEWORK_INDICATOR")</f>
        <v>#NAME?</v>
      </c>
      <c r="Q605" t="e">
        <f ca="1">BDP("591746CF Muni","BLOOMBERG_SECTOR_CODE")</f>
        <v>#NAME?</v>
      </c>
      <c r="R605" t="e">
        <f ca="1">BDP("591746CF Muni","ISSUER_TYPE")</f>
        <v>#NAME?</v>
      </c>
      <c r="S605" t="e">
        <f ca="1">BDS("591746CF Muni","ESG_PROJECT_CATEGORY", "aggregate=y")</f>
        <v>#NAME?</v>
      </c>
      <c r="T605" t="e">
        <f ca="1">BDS("591746CF Muni","ESG_PROJECT_SUBCATEGORY", "aggregate=y")</f>
        <v>#NAME?</v>
      </c>
    </row>
    <row r="606" spans="1:20" x14ac:dyDescent="0.25">
      <c r="A606" t="e">
        <f ca="1">BDP("591746CG Muni","ID_CUSIP")</f>
        <v>#NAME?</v>
      </c>
      <c r="B606" t="e">
        <f ca="1">BDP("591746CG Muni","STATE_CODE")</f>
        <v>#NAME?</v>
      </c>
      <c r="C606" t="s">
        <v>47</v>
      </c>
      <c r="D606" t="e">
        <f ca="1">BDP("591746CG Muni","YIELD_ON_ISSUE_DATE")</f>
        <v>#NAME?</v>
      </c>
      <c r="E606">
        <v>13360000</v>
      </c>
      <c r="F606" t="e">
        <f ca="1">BDP("591746CG Muni","ISSUE_DT")</f>
        <v>#NAME?</v>
      </c>
      <c r="G606" t="e">
        <f ca="1">BDP("591746CG Muni","MATURITY")</f>
        <v>#NAME?</v>
      </c>
      <c r="H606" t="e">
        <f ca="1">BDP("591746CG Muni","MUNI_TAX_PROV")</f>
        <v>#NAME?</v>
      </c>
      <c r="I606" t="e">
        <f ca="1">BDP("591746CG Muni","FINANCING_TYPE")</f>
        <v>#NAME?</v>
      </c>
      <c r="J606" t="e">
        <f ca="1">BDP("591746CG Muni","BICS_LEVEL_2_INDUSTRY_GROUP_NAME")</f>
        <v>#NAME?</v>
      </c>
      <c r="K606" t="e">
        <f ca="1">BDP("591746CG Muni","SELF_REPRTD_GREEN_INSTR_INDCTR")</f>
        <v>#NAME?</v>
      </c>
      <c r="L606" t="e">
        <f ca="1">BDP("591746CG Muni","GB_MANAGEMENT_PROCEEDS")</f>
        <v>#NAME?</v>
      </c>
      <c r="M606" t="e">
        <f ca="1">BDP("591746CG Muni","GB_REPORTING")</f>
        <v>#NAME?</v>
      </c>
      <c r="N606" t="e">
        <f ca="1">BDP("591746CG Muni","GB_ASSURANCE_PROVIDERS")</f>
        <v>#NAME?</v>
      </c>
      <c r="O606" t="e">
        <f ca="1">BDP("591746CG Muni","GB_PROJECT_SELECTION_PROCESS")</f>
        <v>#NAME?</v>
      </c>
      <c r="P606" t="e">
        <f ca="1">BDP("591746CG Muni","ESG_FRAMEWORK_INDICATOR")</f>
        <v>#NAME?</v>
      </c>
      <c r="Q606" t="e">
        <f ca="1">BDP("591746CG Muni","BLOOMBERG_SECTOR_CODE")</f>
        <v>#NAME?</v>
      </c>
      <c r="R606" t="e">
        <f ca="1">BDP("591746CG Muni","ISSUER_TYPE")</f>
        <v>#NAME?</v>
      </c>
      <c r="S606" t="e">
        <f ca="1">BDS("591746CG Muni","ESG_PROJECT_CATEGORY", "aggregate=y")</f>
        <v>#NAME?</v>
      </c>
      <c r="T606" t="e">
        <f ca="1">BDS("591746CG Muni","ESG_PROJECT_SUBCATEGORY", "aggregate=y")</f>
        <v>#NAME?</v>
      </c>
    </row>
    <row r="607" spans="1:20" x14ac:dyDescent="0.25">
      <c r="A607" t="e">
        <f ca="1">BDP("591746CK Muni","ID_CUSIP")</f>
        <v>#NAME?</v>
      </c>
      <c r="B607" t="e">
        <f ca="1">BDP("591746CK Muni","STATE_CODE")</f>
        <v>#NAME?</v>
      </c>
      <c r="C607" t="s">
        <v>47</v>
      </c>
      <c r="D607" t="e">
        <f ca="1">BDP("591746CK Muni","YIELD_ON_ISSUE_DATE")</f>
        <v>#NAME?</v>
      </c>
      <c r="E607">
        <v>16365000</v>
      </c>
      <c r="F607" t="e">
        <f ca="1">BDP("591746CK Muni","ISSUE_DT")</f>
        <v>#NAME?</v>
      </c>
      <c r="G607" t="e">
        <f ca="1">BDP("591746CK Muni","MATURITY")</f>
        <v>#NAME?</v>
      </c>
      <c r="H607" t="e">
        <f ca="1">BDP("591746CK Muni","MUNI_TAX_PROV")</f>
        <v>#NAME?</v>
      </c>
      <c r="I607" t="e">
        <f ca="1">BDP("591746CK Muni","FINANCING_TYPE")</f>
        <v>#NAME?</v>
      </c>
      <c r="J607" t="e">
        <f ca="1">BDP("591746CK Muni","BICS_LEVEL_2_INDUSTRY_GROUP_NAME")</f>
        <v>#NAME?</v>
      </c>
      <c r="K607" t="e">
        <f ca="1">BDP("591746CK Muni","SELF_REPRTD_GREEN_INSTR_INDCTR")</f>
        <v>#NAME?</v>
      </c>
      <c r="L607" t="e">
        <f ca="1">BDP("591746CK Muni","GB_MANAGEMENT_PROCEEDS")</f>
        <v>#NAME?</v>
      </c>
      <c r="M607" t="e">
        <f ca="1">BDP("591746CK Muni","GB_REPORTING")</f>
        <v>#NAME?</v>
      </c>
      <c r="N607" t="e">
        <f ca="1">BDP("591746CK Muni","GB_ASSURANCE_PROVIDERS")</f>
        <v>#NAME?</v>
      </c>
      <c r="O607" t="e">
        <f ca="1">BDP("591746CK Muni","GB_PROJECT_SELECTION_PROCESS")</f>
        <v>#NAME?</v>
      </c>
      <c r="P607" t="e">
        <f ca="1">BDP("591746CK Muni","ESG_FRAMEWORK_INDICATOR")</f>
        <v>#NAME?</v>
      </c>
      <c r="Q607" t="e">
        <f ca="1">BDP("591746CK Muni","BLOOMBERG_SECTOR_CODE")</f>
        <v>#NAME?</v>
      </c>
      <c r="R607" t="e">
        <f ca="1">BDP("591746CK Muni","ISSUER_TYPE")</f>
        <v>#NAME?</v>
      </c>
      <c r="S607" t="e">
        <f ca="1">BDS("591746CK Muni","ESG_PROJECT_CATEGORY", "aggregate=y")</f>
        <v>#NAME?</v>
      </c>
      <c r="T607" t="e">
        <f ca="1">BDS("591746CK Muni","ESG_PROJECT_SUBCATEGORY", "aggregate=y")</f>
        <v>#NAME?</v>
      </c>
    </row>
    <row r="608" spans="1:20" x14ac:dyDescent="0.25">
      <c r="A608" t="e">
        <f ca="1">BDP("591746CQ Muni","ID_CUSIP")</f>
        <v>#NAME?</v>
      </c>
      <c r="B608" t="e">
        <f ca="1">BDP("591746CQ Muni","STATE_CODE")</f>
        <v>#NAME?</v>
      </c>
      <c r="C608" t="s">
        <v>47</v>
      </c>
      <c r="D608" t="e">
        <f ca="1">BDP("591746CQ Muni","YIELD_ON_ISSUE_DATE")</f>
        <v>#NAME?</v>
      </c>
      <c r="E608">
        <v>9025000</v>
      </c>
      <c r="F608" t="e">
        <f ca="1">BDP("591746CQ Muni","ISSUE_DT")</f>
        <v>#NAME?</v>
      </c>
      <c r="G608" t="e">
        <f ca="1">BDP("591746CQ Muni","MATURITY")</f>
        <v>#NAME?</v>
      </c>
      <c r="H608" t="e">
        <f ca="1">BDP("591746CQ Muni","MUNI_TAX_PROV")</f>
        <v>#NAME?</v>
      </c>
      <c r="I608" t="e">
        <f ca="1">BDP("591746CQ Muni","FINANCING_TYPE")</f>
        <v>#NAME?</v>
      </c>
      <c r="J608" t="e">
        <f ca="1">BDP("591746CQ Muni","BICS_LEVEL_2_INDUSTRY_GROUP_NAME")</f>
        <v>#NAME?</v>
      </c>
      <c r="K608" t="e">
        <f ca="1">BDP("591746CQ Muni","SELF_REPRTD_GREEN_INSTR_INDCTR")</f>
        <v>#NAME?</v>
      </c>
      <c r="L608" t="e">
        <f ca="1">BDP("591746CQ Muni","GB_MANAGEMENT_PROCEEDS")</f>
        <v>#NAME?</v>
      </c>
      <c r="M608" t="e">
        <f ca="1">BDP("591746CQ Muni","GB_REPORTING")</f>
        <v>#NAME?</v>
      </c>
      <c r="N608" t="e">
        <f ca="1">BDP("591746CQ Muni","GB_ASSURANCE_PROVIDERS")</f>
        <v>#NAME?</v>
      </c>
      <c r="O608" t="e">
        <f ca="1">BDP("591746CQ Muni","GB_PROJECT_SELECTION_PROCESS")</f>
        <v>#NAME?</v>
      </c>
      <c r="P608" t="e">
        <f ca="1">BDP("591746CQ Muni","ESG_FRAMEWORK_INDICATOR")</f>
        <v>#NAME?</v>
      </c>
      <c r="Q608" t="e">
        <f ca="1">BDP("591746CQ Muni","BLOOMBERG_SECTOR_CODE")</f>
        <v>#NAME?</v>
      </c>
      <c r="R608" t="e">
        <f ca="1">BDP("591746CQ Muni","ISSUER_TYPE")</f>
        <v>#NAME?</v>
      </c>
      <c r="S608" t="e">
        <f ca="1">BDS("591746CQ Muni","ESG_PROJECT_CATEGORY", "aggregate=y")</f>
        <v>#NAME?</v>
      </c>
      <c r="T608" t="e">
        <f ca="1">BDS("591746CQ Muni","ESG_PROJECT_SUBCATEGORY", "aggregate=y")</f>
        <v>#NAME?</v>
      </c>
    </row>
    <row r="609" spans="1:20" x14ac:dyDescent="0.25">
      <c r="A609" t="e">
        <f ca="1">BDP("591746BV Muni","ID_CUSIP")</f>
        <v>#NAME?</v>
      </c>
      <c r="B609" t="e">
        <f ca="1">BDP("591746BV Muni","STATE_CODE")</f>
        <v>#NAME?</v>
      </c>
      <c r="C609" t="s">
        <v>47</v>
      </c>
      <c r="D609" t="e">
        <f ca="1">BDP("591746BV Muni","YIELD_ON_ISSUE_DATE")</f>
        <v>#NAME?</v>
      </c>
      <c r="E609">
        <v>16665000</v>
      </c>
      <c r="F609" t="e">
        <f ca="1">BDP("591746BV Muni","ISSUE_DT")</f>
        <v>#NAME?</v>
      </c>
      <c r="G609" t="e">
        <f ca="1">BDP("591746BV Muni","MATURITY")</f>
        <v>#NAME?</v>
      </c>
      <c r="H609" t="e">
        <f ca="1">BDP("591746BV Muni","MUNI_TAX_PROV")</f>
        <v>#NAME?</v>
      </c>
      <c r="I609" t="e">
        <f ca="1">BDP("591746BV Muni","FINANCING_TYPE")</f>
        <v>#NAME?</v>
      </c>
      <c r="J609" t="e">
        <f ca="1">BDP("591746BV Muni","BICS_LEVEL_2_INDUSTRY_GROUP_NAME")</f>
        <v>#NAME?</v>
      </c>
      <c r="K609" t="e">
        <f ca="1">BDP("591746BV Muni","SELF_REPRTD_GREEN_INSTR_INDCTR")</f>
        <v>#NAME?</v>
      </c>
      <c r="L609" t="e">
        <f ca="1">BDP("591746BV Muni","GB_MANAGEMENT_PROCEEDS")</f>
        <v>#NAME?</v>
      </c>
      <c r="M609" t="e">
        <f ca="1">BDP("591746BV Muni","GB_REPORTING")</f>
        <v>#NAME?</v>
      </c>
      <c r="N609" t="e">
        <f ca="1">BDP("591746BV Muni","GB_ASSURANCE_PROVIDERS")</f>
        <v>#NAME?</v>
      </c>
      <c r="O609" t="e">
        <f ca="1">BDP("591746BV Muni","GB_PROJECT_SELECTION_PROCESS")</f>
        <v>#NAME?</v>
      </c>
      <c r="P609" t="e">
        <f ca="1">BDP("591746BV Muni","ESG_FRAMEWORK_INDICATOR")</f>
        <v>#NAME?</v>
      </c>
      <c r="Q609" t="e">
        <f ca="1">BDP("591746BV Muni","BLOOMBERG_SECTOR_CODE")</f>
        <v>#NAME?</v>
      </c>
      <c r="R609" t="e">
        <f ca="1">BDP("591746BV Muni","ISSUER_TYPE")</f>
        <v>#NAME?</v>
      </c>
      <c r="S609" t="e">
        <f ca="1">BDS("591746BV Muni","ESG_PROJECT_CATEGORY", "aggregate=y")</f>
        <v>#NAME?</v>
      </c>
      <c r="T609" t="e">
        <f ca="1">BDS("591746BV Muni","ESG_PROJECT_SUBCATEGORY", "aggregate=y")</f>
        <v>#NAME?</v>
      </c>
    </row>
    <row r="610" spans="1:20" x14ac:dyDescent="0.25">
      <c r="A610" t="e">
        <f ca="1">BDP("591746CA Muni","ID_CUSIP")</f>
        <v>#NAME?</v>
      </c>
      <c r="B610" t="e">
        <f ca="1">BDP("591746CA Muni","STATE_CODE")</f>
        <v>#NAME?</v>
      </c>
      <c r="C610" t="s">
        <v>47</v>
      </c>
      <c r="D610" t="e">
        <f ca="1">BDP("591746CA Muni","YIELD_ON_ISSUE_DATE")</f>
        <v>#NAME?</v>
      </c>
      <c r="E610">
        <v>137350000</v>
      </c>
      <c r="F610" t="e">
        <f ca="1">BDP("591746CA Muni","ISSUE_DT")</f>
        <v>#NAME?</v>
      </c>
      <c r="G610" t="e">
        <f ca="1">BDP("591746CA Muni","MATURITY")</f>
        <v>#NAME?</v>
      </c>
      <c r="H610" t="e">
        <f ca="1">BDP("591746CA Muni","MUNI_TAX_PROV")</f>
        <v>#NAME?</v>
      </c>
      <c r="I610" t="e">
        <f ca="1">BDP("591746CA Muni","FINANCING_TYPE")</f>
        <v>#NAME?</v>
      </c>
      <c r="J610" t="e">
        <f ca="1">BDP("591746CA Muni","BICS_LEVEL_2_INDUSTRY_GROUP_NAME")</f>
        <v>#NAME?</v>
      </c>
      <c r="K610" t="e">
        <f ca="1">BDP("591746CA Muni","SELF_REPRTD_GREEN_INSTR_INDCTR")</f>
        <v>#NAME?</v>
      </c>
      <c r="L610" t="e">
        <f ca="1">BDP("591746CA Muni","GB_MANAGEMENT_PROCEEDS")</f>
        <v>#NAME?</v>
      </c>
      <c r="M610" t="e">
        <f ca="1">BDP("591746CA Muni","GB_REPORTING")</f>
        <v>#NAME?</v>
      </c>
      <c r="N610" t="e">
        <f ca="1">BDP("591746CA Muni","GB_ASSURANCE_PROVIDERS")</f>
        <v>#NAME?</v>
      </c>
      <c r="O610" t="e">
        <f ca="1">BDP("591746CA Muni","GB_PROJECT_SELECTION_PROCESS")</f>
        <v>#NAME?</v>
      </c>
      <c r="P610" t="e">
        <f ca="1">BDP("591746CA Muni","ESG_FRAMEWORK_INDICATOR")</f>
        <v>#NAME?</v>
      </c>
      <c r="Q610" t="e">
        <f ca="1">BDP("591746CA Muni","BLOOMBERG_SECTOR_CODE")</f>
        <v>#NAME?</v>
      </c>
      <c r="R610" t="e">
        <f ca="1">BDP("591746CA Muni","ISSUER_TYPE")</f>
        <v>#NAME?</v>
      </c>
      <c r="S610" t="e">
        <f ca="1">BDS("591746CA Muni","ESG_PROJECT_CATEGORY", "aggregate=y")</f>
        <v>#NAME?</v>
      </c>
      <c r="T610" t="e">
        <f ca="1">BDS("591746CA Muni","ESG_PROJECT_SUBCATEGORY", "aggregate=y")</f>
        <v>#NAME?</v>
      </c>
    </row>
    <row r="611" spans="1:20" x14ac:dyDescent="0.25">
      <c r="A611" t="e">
        <f ca="1">BDP("04780M2Q Muni","ID_CUSIP")</f>
        <v>#NAME?</v>
      </c>
      <c r="B611" t="e">
        <f ca="1">BDP("04780M2Q Muni","STATE_CODE")</f>
        <v>#NAME?</v>
      </c>
      <c r="C611" t="s">
        <v>48</v>
      </c>
      <c r="D611" t="e">
        <f ca="1">BDP("04780M2Q Muni","YIELD_ON_ISSUE_DATE")</f>
        <v>#NAME?</v>
      </c>
      <c r="E611">
        <v>20350000</v>
      </c>
      <c r="F611" t="e">
        <f ca="1">BDP("04780M2Q Muni","ISSUE_DT")</f>
        <v>#NAME?</v>
      </c>
      <c r="G611" t="e">
        <f ca="1">BDP("04780M2Q Muni","MATURITY")</f>
        <v>#NAME?</v>
      </c>
      <c r="H611" t="e">
        <f ca="1">BDP("04780M2Q Muni","MUNI_TAX_PROV")</f>
        <v>#NAME?</v>
      </c>
      <c r="I611" t="e">
        <f ca="1">BDP("04780M2Q Muni","FINANCING_TYPE")</f>
        <v>#NAME?</v>
      </c>
      <c r="J611" t="e">
        <f ca="1">BDP("04780M2Q Muni","BICS_LEVEL_2_INDUSTRY_GROUP_NAME")</f>
        <v>#NAME?</v>
      </c>
      <c r="K611" t="e">
        <f ca="1">BDP("04780M2Q Muni","SELF_REPRTD_GREEN_INSTR_INDCTR")</f>
        <v>#NAME?</v>
      </c>
      <c r="L611" t="e">
        <f ca="1">BDP("04780M2Q Muni","GB_MANAGEMENT_PROCEEDS")</f>
        <v>#NAME?</v>
      </c>
      <c r="M611" t="e">
        <f ca="1">BDP("04780M2Q Muni","GB_REPORTING")</f>
        <v>#NAME?</v>
      </c>
      <c r="N611" t="e">
        <f ca="1">BDP("04780M2Q Muni","GB_ASSURANCE_PROVIDERS")</f>
        <v>#NAME?</v>
      </c>
      <c r="O611" t="e">
        <f ca="1">BDP("04780M2Q Muni","GB_PROJECT_SELECTION_PROCESS")</f>
        <v>#NAME?</v>
      </c>
      <c r="P611" t="e">
        <f ca="1">BDP("04780M2Q Muni","ESG_FRAMEWORK_INDICATOR")</f>
        <v>#NAME?</v>
      </c>
      <c r="Q611" t="e">
        <f ca="1">BDP("04780M2Q Muni","BLOOMBERG_SECTOR_CODE")</f>
        <v>#NAME?</v>
      </c>
      <c r="R611" t="e">
        <f ca="1">BDP("04780M2Q Muni","ISSUER_TYPE")</f>
        <v>#NAME?</v>
      </c>
      <c r="S611" t="e">
        <f ca="1">BDS("04780M2Q Muni","ESG_PROJECT_CATEGORY", "aggregate=y")</f>
        <v>#NAME?</v>
      </c>
      <c r="T611" t="e">
        <f ca="1">BDS("04780M2Q Muni","ESG_PROJECT_SUBCATEGORY", "aggregate=y")</f>
        <v>#NAME?</v>
      </c>
    </row>
    <row r="612" spans="1:20" x14ac:dyDescent="0.25">
      <c r="A612" t="e">
        <f ca="1">BDP("591746BU Muni","ID_CUSIP")</f>
        <v>#NAME?</v>
      </c>
      <c r="B612" t="e">
        <f ca="1">BDP("591746BU Muni","STATE_CODE")</f>
        <v>#NAME?</v>
      </c>
      <c r="C612" t="s">
        <v>47</v>
      </c>
      <c r="D612" t="e">
        <f ca="1">BDP("591746BU Muni","YIELD_ON_ISSUE_DATE")</f>
        <v>#NAME?</v>
      </c>
      <c r="E612">
        <v>15870000</v>
      </c>
      <c r="F612" t="e">
        <f ca="1">BDP("591746BU Muni","ISSUE_DT")</f>
        <v>#NAME?</v>
      </c>
      <c r="G612" t="e">
        <f ca="1">BDP("591746BU Muni","MATURITY")</f>
        <v>#NAME?</v>
      </c>
      <c r="H612" t="e">
        <f ca="1">BDP("591746BU Muni","MUNI_TAX_PROV")</f>
        <v>#NAME?</v>
      </c>
      <c r="I612" t="e">
        <f ca="1">BDP("591746BU Muni","FINANCING_TYPE")</f>
        <v>#NAME?</v>
      </c>
      <c r="J612" t="e">
        <f ca="1">BDP("591746BU Muni","BICS_LEVEL_2_INDUSTRY_GROUP_NAME")</f>
        <v>#NAME?</v>
      </c>
      <c r="K612" t="e">
        <f ca="1">BDP("591746BU Muni","SELF_REPRTD_GREEN_INSTR_INDCTR")</f>
        <v>#NAME?</v>
      </c>
      <c r="L612" t="e">
        <f ca="1">BDP("591746BU Muni","GB_MANAGEMENT_PROCEEDS")</f>
        <v>#NAME?</v>
      </c>
      <c r="M612" t="e">
        <f ca="1">BDP("591746BU Muni","GB_REPORTING")</f>
        <v>#NAME?</v>
      </c>
      <c r="N612" t="e">
        <f ca="1">BDP("591746BU Muni","GB_ASSURANCE_PROVIDERS")</f>
        <v>#NAME?</v>
      </c>
      <c r="O612" t="e">
        <f ca="1">BDP("591746BU Muni","GB_PROJECT_SELECTION_PROCESS")</f>
        <v>#NAME?</v>
      </c>
      <c r="P612" t="e">
        <f ca="1">BDP("591746BU Muni","ESG_FRAMEWORK_INDICATOR")</f>
        <v>#NAME?</v>
      </c>
      <c r="Q612" t="e">
        <f ca="1">BDP("591746BU Muni","BLOOMBERG_SECTOR_CODE")</f>
        <v>#NAME?</v>
      </c>
      <c r="R612" t="e">
        <f ca="1">BDP("591746BU Muni","ISSUER_TYPE")</f>
        <v>#NAME?</v>
      </c>
      <c r="S612" t="e">
        <f ca="1">BDS("591746BU Muni","ESG_PROJECT_CATEGORY", "aggregate=y")</f>
        <v>#NAME?</v>
      </c>
      <c r="T612" t="e">
        <f ca="1">BDS("591746BU Muni","ESG_PROJECT_SUBCATEGORY", "aggregate=y")</f>
        <v>#NAME?</v>
      </c>
    </row>
    <row r="613" spans="1:20" x14ac:dyDescent="0.25">
      <c r="A613" t="e">
        <f ca="1">BDP("591746CM Muni","ID_CUSIP")</f>
        <v>#NAME?</v>
      </c>
      <c r="B613" t="e">
        <f ca="1">BDP("591746CM Muni","STATE_CODE")</f>
        <v>#NAME?</v>
      </c>
      <c r="C613" t="s">
        <v>47</v>
      </c>
      <c r="D613" t="e">
        <f ca="1">BDP("591746CM Muni","YIELD_ON_ISSUE_DATE")</f>
        <v>#NAME?</v>
      </c>
      <c r="E613">
        <v>15030000</v>
      </c>
      <c r="F613" t="e">
        <f ca="1">BDP("591746CM Muni","ISSUE_DT")</f>
        <v>#NAME?</v>
      </c>
      <c r="G613" t="e">
        <f ca="1">BDP("591746CM Muni","MATURITY")</f>
        <v>#NAME?</v>
      </c>
      <c r="H613" t="e">
        <f ca="1">BDP("591746CM Muni","MUNI_TAX_PROV")</f>
        <v>#NAME?</v>
      </c>
      <c r="I613" t="e">
        <f ca="1">BDP("591746CM Muni","FINANCING_TYPE")</f>
        <v>#NAME?</v>
      </c>
      <c r="J613" t="e">
        <f ca="1">BDP("591746CM Muni","BICS_LEVEL_2_INDUSTRY_GROUP_NAME")</f>
        <v>#NAME?</v>
      </c>
      <c r="K613" t="e">
        <f ca="1">BDP("591746CM Muni","SELF_REPRTD_GREEN_INSTR_INDCTR")</f>
        <v>#NAME?</v>
      </c>
      <c r="L613" t="e">
        <f ca="1">BDP("591746CM Muni","GB_MANAGEMENT_PROCEEDS")</f>
        <v>#NAME?</v>
      </c>
      <c r="M613" t="e">
        <f ca="1">BDP("591746CM Muni","GB_REPORTING")</f>
        <v>#NAME?</v>
      </c>
      <c r="N613" t="e">
        <f ca="1">BDP("591746CM Muni","GB_ASSURANCE_PROVIDERS")</f>
        <v>#NAME?</v>
      </c>
      <c r="O613" t="e">
        <f ca="1">BDP("591746CM Muni","GB_PROJECT_SELECTION_PROCESS")</f>
        <v>#NAME?</v>
      </c>
      <c r="P613" t="e">
        <f ca="1">BDP("591746CM Muni","ESG_FRAMEWORK_INDICATOR")</f>
        <v>#NAME?</v>
      </c>
      <c r="Q613" t="e">
        <f ca="1">BDP("591746CM Muni","BLOOMBERG_SECTOR_CODE")</f>
        <v>#NAME?</v>
      </c>
      <c r="R613" t="e">
        <f ca="1">BDP("591746CM Muni","ISSUER_TYPE")</f>
        <v>#NAME?</v>
      </c>
      <c r="S613" t="e">
        <f ca="1">BDS("591746CM Muni","ESG_PROJECT_CATEGORY", "aggregate=y")</f>
        <v>#NAME?</v>
      </c>
      <c r="T613" t="e">
        <f ca="1">BDS("591746CM Muni","ESG_PROJECT_SUBCATEGORY", "aggregate=y")</f>
        <v>#NAME?</v>
      </c>
    </row>
    <row r="614" spans="1:20" x14ac:dyDescent="0.25">
      <c r="A614" t="e">
        <f ca="1">BDP("591746BX Muni","ID_CUSIP")</f>
        <v>#NAME?</v>
      </c>
      <c r="B614" t="e">
        <f ca="1">BDP("591746BX Muni","STATE_CODE")</f>
        <v>#NAME?</v>
      </c>
      <c r="C614" t="s">
        <v>47</v>
      </c>
      <c r="D614" t="e">
        <f ca="1">BDP("591746BX Muni","YIELD_ON_ISSUE_DATE")</f>
        <v>#NAME?</v>
      </c>
      <c r="E614">
        <v>18370000</v>
      </c>
      <c r="F614" t="e">
        <f ca="1">BDP("591746BX Muni","ISSUE_DT")</f>
        <v>#NAME?</v>
      </c>
      <c r="G614" t="e">
        <f ca="1">BDP("591746BX Muni","MATURITY")</f>
        <v>#NAME?</v>
      </c>
      <c r="H614" t="e">
        <f ca="1">BDP("591746BX Muni","MUNI_TAX_PROV")</f>
        <v>#NAME?</v>
      </c>
      <c r="I614" t="e">
        <f ca="1">BDP("591746BX Muni","FINANCING_TYPE")</f>
        <v>#NAME?</v>
      </c>
      <c r="J614" t="e">
        <f ca="1">BDP("591746BX Muni","BICS_LEVEL_2_INDUSTRY_GROUP_NAME")</f>
        <v>#NAME?</v>
      </c>
      <c r="K614" t="e">
        <f ca="1">BDP("591746BX Muni","SELF_REPRTD_GREEN_INSTR_INDCTR")</f>
        <v>#NAME?</v>
      </c>
      <c r="L614" t="e">
        <f ca="1">BDP("591746BX Muni","GB_MANAGEMENT_PROCEEDS")</f>
        <v>#NAME?</v>
      </c>
      <c r="M614" t="e">
        <f ca="1">BDP("591746BX Muni","GB_REPORTING")</f>
        <v>#NAME?</v>
      </c>
      <c r="N614" t="e">
        <f ca="1">BDP("591746BX Muni","GB_ASSURANCE_PROVIDERS")</f>
        <v>#NAME?</v>
      </c>
      <c r="O614" t="e">
        <f ca="1">BDP("591746BX Muni","GB_PROJECT_SELECTION_PROCESS")</f>
        <v>#NAME?</v>
      </c>
      <c r="P614" t="e">
        <f ca="1">BDP("591746BX Muni","ESG_FRAMEWORK_INDICATOR")</f>
        <v>#NAME?</v>
      </c>
      <c r="Q614" t="e">
        <f ca="1">BDP("591746BX Muni","BLOOMBERG_SECTOR_CODE")</f>
        <v>#NAME?</v>
      </c>
      <c r="R614" t="e">
        <f ca="1">BDP("591746BX Muni","ISSUER_TYPE")</f>
        <v>#NAME?</v>
      </c>
      <c r="S614" t="e">
        <f ca="1">BDS("591746BX Muni","ESG_PROJECT_CATEGORY", "aggregate=y")</f>
        <v>#NAME?</v>
      </c>
      <c r="T614" t="e">
        <f ca="1">BDS("591746BX Muni","ESG_PROJECT_SUBCATEGORY", "aggregate=y")</f>
        <v>#NAME?</v>
      </c>
    </row>
    <row r="615" spans="1:20" x14ac:dyDescent="0.25">
      <c r="A615" t="e">
        <f ca="1">BDP("591746CP Muni","ID_CUSIP")</f>
        <v>#NAME?</v>
      </c>
      <c r="B615" t="e">
        <f ca="1">BDP("591746CP Muni","STATE_CODE")</f>
        <v>#NAME?</v>
      </c>
      <c r="C615" t="s">
        <v>47</v>
      </c>
      <c r="D615" t="e">
        <f ca="1">BDP("591746CP Muni","YIELD_ON_ISSUE_DATE")</f>
        <v>#NAME?</v>
      </c>
      <c r="E615">
        <v>8525000</v>
      </c>
      <c r="F615" t="e">
        <f ca="1">BDP("591746CP Muni","ISSUE_DT")</f>
        <v>#NAME?</v>
      </c>
      <c r="G615" t="e">
        <f ca="1">BDP("591746CP Muni","MATURITY")</f>
        <v>#NAME?</v>
      </c>
      <c r="H615" t="e">
        <f ca="1">BDP("591746CP Muni","MUNI_TAX_PROV")</f>
        <v>#NAME?</v>
      </c>
      <c r="I615" t="e">
        <f ca="1">BDP("591746CP Muni","FINANCING_TYPE")</f>
        <v>#NAME?</v>
      </c>
      <c r="J615" t="e">
        <f ca="1">BDP("591746CP Muni","BICS_LEVEL_2_INDUSTRY_GROUP_NAME")</f>
        <v>#NAME?</v>
      </c>
      <c r="K615" t="e">
        <f ca="1">BDP("591746CP Muni","SELF_REPRTD_GREEN_INSTR_INDCTR")</f>
        <v>#NAME?</v>
      </c>
      <c r="L615" t="e">
        <f ca="1">BDP("591746CP Muni","GB_MANAGEMENT_PROCEEDS")</f>
        <v>#NAME?</v>
      </c>
      <c r="M615" t="e">
        <f ca="1">BDP("591746CP Muni","GB_REPORTING")</f>
        <v>#NAME?</v>
      </c>
      <c r="N615" t="e">
        <f ca="1">BDP("591746CP Muni","GB_ASSURANCE_PROVIDERS")</f>
        <v>#NAME?</v>
      </c>
      <c r="O615" t="e">
        <f ca="1">BDP("591746CP Muni","GB_PROJECT_SELECTION_PROCESS")</f>
        <v>#NAME?</v>
      </c>
      <c r="P615" t="e">
        <f ca="1">BDP("591746CP Muni","ESG_FRAMEWORK_INDICATOR")</f>
        <v>#NAME?</v>
      </c>
      <c r="Q615" t="e">
        <f ca="1">BDP("591746CP Muni","BLOOMBERG_SECTOR_CODE")</f>
        <v>#NAME?</v>
      </c>
      <c r="R615" t="e">
        <f ca="1">BDP("591746CP Muni","ISSUER_TYPE")</f>
        <v>#NAME?</v>
      </c>
      <c r="S615" t="e">
        <f ca="1">BDS("591746CP Muni","ESG_PROJECT_CATEGORY", "aggregate=y")</f>
        <v>#NAME?</v>
      </c>
      <c r="T615" t="e">
        <f ca="1">BDS("591746CP Muni","ESG_PROJECT_SUBCATEGORY", "aggregate=y")</f>
        <v>#NAME?</v>
      </c>
    </row>
    <row r="616" spans="1:20" x14ac:dyDescent="0.25">
      <c r="A616" t="e">
        <f ca="1">BDP("04780M2R Muni","ID_CUSIP")</f>
        <v>#NAME?</v>
      </c>
      <c r="B616" t="e">
        <f ca="1">BDP("04780M2R Muni","STATE_CODE")</f>
        <v>#NAME?</v>
      </c>
      <c r="C616" t="s">
        <v>48</v>
      </c>
      <c r="D616" t="e">
        <f ca="1">BDP("04780M2R Muni","YIELD_ON_ISSUE_DATE")</f>
        <v>#NAME?</v>
      </c>
      <c r="E616">
        <v>21365000</v>
      </c>
      <c r="F616" t="e">
        <f ca="1">BDP("04780M2R Muni","ISSUE_DT")</f>
        <v>#NAME?</v>
      </c>
      <c r="G616" t="e">
        <f ca="1">BDP("04780M2R Muni","MATURITY")</f>
        <v>#NAME?</v>
      </c>
      <c r="H616" t="e">
        <f ca="1">BDP("04780M2R Muni","MUNI_TAX_PROV")</f>
        <v>#NAME?</v>
      </c>
      <c r="I616" t="e">
        <f ca="1">BDP("04780M2R Muni","FINANCING_TYPE")</f>
        <v>#NAME?</v>
      </c>
      <c r="J616" t="e">
        <f ca="1">BDP("04780M2R Muni","BICS_LEVEL_2_INDUSTRY_GROUP_NAME")</f>
        <v>#NAME?</v>
      </c>
      <c r="K616" t="e">
        <f ca="1">BDP("04780M2R Muni","SELF_REPRTD_GREEN_INSTR_INDCTR")</f>
        <v>#NAME?</v>
      </c>
      <c r="L616" t="e">
        <f ca="1">BDP("04780M2R Muni","GB_MANAGEMENT_PROCEEDS")</f>
        <v>#NAME?</v>
      </c>
      <c r="M616" t="e">
        <f ca="1">BDP("04780M2R Muni","GB_REPORTING")</f>
        <v>#NAME?</v>
      </c>
      <c r="N616" t="e">
        <f ca="1">BDP("04780M2R Muni","GB_ASSURANCE_PROVIDERS")</f>
        <v>#NAME?</v>
      </c>
      <c r="O616" t="e">
        <f ca="1">BDP("04780M2R Muni","GB_PROJECT_SELECTION_PROCESS")</f>
        <v>#NAME?</v>
      </c>
      <c r="P616" t="e">
        <f ca="1">BDP("04780M2R Muni","ESG_FRAMEWORK_INDICATOR")</f>
        <v>#NAME?</v>
      </c>
      <c r="Q616" t="e">
        <f ca="1">BDP("04780M2R Muni","BLOOMBERG_SECTOR_CODE")</f>
        <v>#NAME?</v>
      </c>
      <c r="R616" t="e">
        <f ca="1">BDP("04780M2R Muni","ISSUER_TYPE")</f>
        <v>#NAME?</v>
      </c>
      <c r="S616" t="e">
        <f ca="1">BDS("04780M2R Muni","ESG_PROJECT_CATEGORY", "aggregate=y")</f>
        <v>#NAME?</v>
      </c>
      <c r="T616" t="e">
        <f ca="1">BDS("04780M2R Muni","ESG_PROJECT_SUBCATEGORY", "aggregate=y")</f>
        <v>#NAME?</v>
      </c>
    </row>
    <row r="617" spans="1:20" x14ac:dyDescent="0.25">
      <c r="A617" t="e">
        <f ca="1">BDP("25156SJA Muni","ID_CUSIP")</f>
        <v>#NAME?</v>
      </c>
      <c r="B617" t="e">
        <f ca="1">BDP("25156SJA Muni","STATE_CODE")</f>
        <v>#NAME?</v>
      </c>
      <c r="C617" t="s">
        <v>31</v>
      </c>
      <c r="D617" t="e">
        <f ca="1">BDP("25156SJA Muni","YIELD_ON_ISSUE_DATE")</f>
        <v>#NAME?</v>
      </c>
      <c r="E617">
        <v>15705000</v>
      </c>
      <c r="F617" t="e">
        <f ca="1">BDP("25156SJA Muni","ISSUE_DT")</f>
        <v>#NAME?</v>
      </c>
      <c r="G617" t="e">
        <f ca="1">BDP("25156SJA Muni","MATURITY")</f>
        <v>#NAME?</v>
      </c>
      <c r="H617" t="e">
        <f ca="1">BDP("25156SJA Muni","MUNI_TAX_PROV")</f>
        <v>#NAME?</v>
      </c>
      <c r="I617" t="e">
        <f ca="1">BDP("25156SJA Muni","FINANCING_TYPE")</f>
        <v>#NAME?</v>
      </c>
      <c r="J617" t="e">
        <f ca="1">BDP("25156SJA Muni","BICS_LEVEL_2_INDUSTRY_GROUP_NAME")</f>
        <v>#NAME?</v>
      </c>
      <c r="K617" t="e">
        <f ca="1">BDP("25156SJA Muni","SELF_REPRTD_GREEN_INSTR_INDCTR")</f>
        <v>#NAME?</v>
      </c>
      <c r="L617" t="e">
        <f ca="1">BDP("25156SJA Muni","GB_MANAGEMENT_PROCEEDS")</f>
        <v>#NAME?</v>
      </c>
      <c r="M617" t="e">
        <f ca="1">BDP("25156SJA Muni","GB_REPORTING")</f>
        <v>#NAME?</v>
      </c>
      <c r="N617" t="e">
        <f ca="1">BDP("25156SJA Muni","GB_ASSURANCE_PROVIDERS")</f>
        <v>#NAME?</v>
      </c>
      <c r="O617" t="e">
        <f ca="1">BDP("25156SJA Muni","GB_PROJECT_SELECTION_PROCESS")</f>
        <v>#NAME?</v>
      </c>
      <c r="P617" t="e">
        <f ca="1">BDP("25156SJA Muni","ESG_FRAMEWORK_INDICATOR")</f>
        <v>#NAME?</v>
      </c>
      <c r="Q617" t="e">
        <f ca="1">BDP("25156SJA Muni","BLOOMBERG_SECTOR_CODE")</f>
        <v>#NAME?</v>
      </c>
      <c r="R617" t="e">
        <f ca="1">BDP("25156SJA Muni","ISSUER_TYPE")</f>
        <v>#NAME?</v>
      </c>
      <c r="S617" t="e">
        <f ca="1">BDS("25156SJA Muni","ESG_PROJECT_CATEGORY", "aggregate=y")</f>
        <v>#NAME?</v>
      </c>
      <c r="T617" t="e">
        <f ca="1">BDS("25156SJA Muni","ESG_PROJECT_SUBCATEGORY", "aggregate=y")</f>
        <v>#NAME?</v>
      </c>
    </row>
    <row r="618" spans="1:20" x14ac:dyDescent="0.25">
      <c r="A618" t="e">
        <f ca="1">BDP("88035RB7 Muni","ID_CUSIP")</f>
        <v>#NAME?</v>
      </c>
      <c r="B618" t="e">
        <f ca="1">BDP("88035RB7 Muni","STATE_CODE")</f>
        <v>#NAME?</v>
      </c>
      <c r="C618" t="s">
        <v>25</v>
      </c>
      <c r="D618" t="e">
        <f ca="1">BDP("88035RB7 Muni","YIELD_ON_ISSUE_DATE")</f>
        <v>#NAME?</v>
      </c>
      <c r="E618">
        <v>20000000</v>
      </c>
      <c r="F618" t="e">
        <f ca="1">BDP("88035RB7 Muni","ISSUE_DT")</f>
        <v>#NAME?</v>
      </c>
      <c r="G618" t="e">
        <f ca="1">BDP("88035RB7 Muni","MATURITY")</f>
        <v>#NAME?</v>
      </c>
      <c r="H618" t="e">
        <f ca="1">BDP("88035RB7 Muni","MUNI_TAX_PROV")</f>
        <v>#NAME?</v>
      </c>
      <c r="I618" t="e">
        <f ca="1">BDP("88035RB7 Muni","FINANCING_TYPE")</f>
        <v>#NAME?</v>
      </c>
      <c r="J618" t="e">
        <f ca="1">BDP("88035RB7 Muni","BICS_LEVEL_2_INDUSTRY_GROUP_NAME")</f>
        <v>#NAME?</v>
      </c>
      <c r="K618" t="e">
        <f ca="1">BDP("88035RB7 Muni","SELF_REPRTD_GREEN_INSTR_INDCTR")</f>
        <v>#NAME?</v>
      </c>
      <c r="L618" t="e">
        <f ca="1">BDP("88035RB7 Muni","GB_MANAGEMENT_PROCEEDS")</f>
        <v>#NAME?</v>
      </c>
      <c r="M618" t="e">
        <f ca="1">BDP("88035RB7 Muni","GB_REPORTING")</f>
        <v>#NAME?</v>
      </c>
      <c r="N618" t="e">
        <f ca="1">BDP("88035RB7 Muni","GB_ASSURANCE_PROVIDERS")</f>
        <v>#NAME?</v>
      </c>
      <c r="O618" t="e">
        <f ca="1">BDP("88035RB7 Muni","GB_PROJECT_SELECTION_PROCESS")</f>
        <v>#NAME?</v>
      </c>
      <c r="P618" t="e">
        <f ca="1">BDP("88035RB7 Muni","ESG_FRAMEWORK_INDICATOR")</f>
        <v>#NAME?</v>
      </c>
      <c r="Q618" t="e">
        <f ca="1">BDP("88035RB7 Muni","BLOOMBERG_SECTOR_CODE")</f>
        <v>#NAME?</v>
      </c>
      <c r="R618" t="e">
        <f ca="1">BDP("88035RB7 Muni","ISSUER_TYPE")</f>
        <v>#NAME?</v>
      </c>
      <c r="S618" t="e">
        <f ca="1">BDS("88035RB7 Muni","ESG_PROJECT_CATEGORY", "aggregate=y")</f>
        <v>#NAME?</v>
      </c>
      <c r="T618" t="e">
        <f ca="1">BDS("88035RB7 Muni","ESG_PROJECT_SUBCATEGORY", "aggregate=y")</f>
        <v>#NAME?</v>
      </c>
    </row>
    <row r="619" spans="1:20" x14ac:dyDescent="0.25">
      <c r="A619" t="e">
        <f ca="1">BDP("88035RZM Muni","ID_CUSIP")</f>
        <v>#NAME?</v>
      </c>
      <c r="B619" t="e">
        <f ca="1">BDP("88035RZM Muni","STATE_CODE")</f>
        <v>#NAME?</v>
      </c>
      <c r="C619" t="s">
        <v>25</v>
      </c>
      <c r="D619" t="e">
        <f ca="1">BDP("88035RZM Muni","YIELD_ON_ISSUE_DATE")</f>
        <v>#NAME?</v>
      </c>
      <c r="E619">
        <v>2500000</v>
      </c>
      <c r="F619" t="e">
        <f ca="1">BDP("88035RZM Muni","ISSUE_DT")</f>
        <v>#NAME?</v>
      </c>
      <c r="G619" t="e">
        <f ca="1">BDP("88035RZM Muni","MATURITY")</f>
        <v>#NAME?</v>
      </c>
      <c r="H619" t="e">
        <f ca="1">BDP("88035RZM Muni","MUNI_TAX_PROV")</f>
        <v>#NAME?</v>
      </c>
      <c r="I619" t="e">
        <f ca="1">BDP("88035RZM Muni","FINANCING_TYPE")</f>
        <v>#NAME?</v>
      </c>
      <c r="J619" t="e">
        <f ca="1">BDP("88035RZM Muni","BICS_LEVEL_2_INDUSTRY_GROUP_NAME")</f>
        <v>#NAME?</v>
      </c>
      <c r="K619" t="e">
        <f ca="1">BDP("88035RZM Muni","SELF_REPRTD_GREEN_INSTR_INDCTR")</f>
        <v>#NAME?</v>
      </c>
      <c r="L619" t="e">
        <f ca="1">BDP("88035RZM Muni","GB_MANAGEMENT_PROCEEDS")</f>
        <v>#NAME?</v>
      </c>
      <c r="M619" t="e">
        <f ca="1">BDP("88035RZM Muni","GB_REPORTING")</f>
        <v>#NAME?</v>
      </c>
      <c r="N619" t="e">
        <f ca="1">BDP("88035RZM Muni","GB_ASSURANCE_PROVIDERS")</f>
        <v>#NAME?</v>
      </c>
      <c r="O619" t="e">
        <f ca="1">BDP("88035RZM Muni","GB_PROJECT_SELECTION_PROCESS")</f>
        <v>#NAME?</v>
      </c>
      <c r="P619" t="e">
        <f ca="1">BDP("88035RZM Muni","ESG_FRAMEWORK_INDICATOR")</f>
        <v>#NAME?</v>
      </c>
      <c r="Q619" t="e">
        <f ca="1">BDP("88035RZM Muni","BLOOMBERG_SECTOR_CODE")</f>
        <v>#NAME?</v>
      </c>
      <c r="R619" t="e">
        <f ca="1">BDP("88035RZM Muni","ISSUER_TYPE")</f>
        <v>#NAME?</v>
      </c>
      <c r="S619" t="e">
        <f ca="1">BDS("88035RZM Muni","ESG_PROJECT_CATEGORY", "aggregate=y")</f>
        <v>#NAME?</v>
      </c>
      <c r="T619" t="e">
        <f ca="1">BDS("88035RZM Muni","ESG_PROJECT_SUBCATEGORY", "aggregate=y")</f>
        <v>#NAME?</v>
      </c>
    </row>
    <row r="620" spans="1:20" x14ac:dyDescent="0.25">
      <c r="A620" t="e">
        <f ca="1">BDP("88035RB8 Muni","ID_CUSIP")</f>
        <v>#NAME?</v>
      </c>
      <c r="B620" t="e">
        <f ca="1">BDP("88035RB8 Muni","STATE_CODE")</f>
        <v>#NAME?</v>
      </c>
      <c r="C620" t="s">
        <v>25</v>
      </c>
      <c r="D620" t="e">
        <f ca="1">BDP("88035RB8 Muni","YIELD_ON_ISSUE_DATE")</f>
        <v>#NAME?</v>
      </c>
      <c r="E620">
        <v>3000000</v>
      </c>
      <c r="F620" t="e">
        <f ca="1">BDP("88035RB8 Muni","ISSUE_DT")</f>
        <v>#NAME?</v>
      </c>
      <c r="G620" t="e">
        <f ca="1">BDP("88035RB8 Muni","MATURITY")</f>
        <v>#NAME?</v>
      </c>
      <c r="H620" t="e">
        <f ca="1">BDP("88035RB8 Muni","MUNI_TAX_PROV")</f>
        <v>#NAME?</v>
      </c>
      <c r="I620" t="e">
        <f ca="1">BDP("88035RB8 Muni","FINANCING_TYPE")</f>
        <v>#NAME?</v>
      </c>
      <c r="J620" t="e">
        <f ca="1">BDP("88035RB8 Muni","BICS_LEVEL_2_INDUSTRY_GROUP_NAME")</f>
        <v>#NAME?</v>
      </c>
      <c r="K620" t="e">
        <f ca="1">BDP("88035RB8 Muni","SELF_REPRTD_GREEN_INSTR_INDCTR")</f>
        <v>#NAME?</v>
      </c>
      <c r="L620" t="e">
        <f ca="1">BDP("88035RB8 Muni","GB_MANAGEMENT_PROCEEDS")</f>
        <v>#NAME?</v>
      </c>
      <c r="M620" t="e">
        <f ca="1">BDP("88035RB8 Muni","GB_REPORTING")</f>
        <v>#NAME?</v>
      </c>
      <c r="N620" t="e">
        <f ca="1">BDP("88035RB8 Muni","GB_ASSURANCE_PROVIDERS")</f>
        <v>#NAME?</v>
      </c>
      <c r="O620" t="e">
        <f ca="1">BDP("88035RB8 Muni","GB_PROJECT_SELECTION_PROCESS")</f>
        <v>#NAME?</v>
      </c>
      <c r="P620" t="e">
        <f ca="1">BDP("88035RB8 Muni","ESG_FRAMEWORK_INDICATOR")</f>
        <v>#NAME?</v>
      </c>
      <c r="Q620" t="e">
        <f ca="1">BDP("88035RB8 Muni","BLOOMBERG_SECTOR_CODE")</f>
        <v>#NAME?</v>
      </c>
      <c r="R620" t="e">
        <f ca="1">BDP("88035RB8 Muni","ISSUER_TYPE")</f>
        <v>#NAME?</v>
      </c>
      <c r="S620" t="e">
        <f ca="1">BDS("88035RB8 Muni","ESG_PROJECT_CATEGORY", "aggregate=y")</f>
        <v>#NAME?</v>
      </c>
      <c r="T620" t="e">
        <f ca="1">BDS("88035RB8 Muni","ESG_PROJECT_SUBCATEGORY", "aggregate=y")</f>
        <v>#NAME?</v>
      </c>
    </row>
    <row r="621" spans="1:20" x14ac:dyDescent="0.25">
      <c r="A621" t="e">
        <f ca="1">BDP("04780M2W Muni","ID_CUSIP")</f>
        <v>#NAME?</v>
      </c>
      <c r="B621" t="e">
        <f ca="1">BDP("04780M2W Muni","STATE_CODE")</f>
        <v>#NAME?</v>
      </c>
      <c r="C621" t="s">
        <v>48</v>
      </c>
      <c r="D621" t="e">
        <f ca="1">BDP("04780M2W Muni","YIELD_ON_ISSUE_DATE")</f>
        <v>#NAME?</v>
      </c>
      <c r="E621">
        <v>27265000</v>
      </c>
      <c r="F621" t="e">
        <f ca="1">BDP("04780M2W Muni","ISSUE_DT")</f>
        <v>#NAME?</v>
      </c>
      <c r="G621" t="e">
        <f ca="1">BDP("04780M2W Muni","MATURITY")</f>
        <v>#NAME?</v>
      </c>
      <c r="H621" t="e">
        <f ca="1">BDP("04780M2W Muni","MUNI_TAX_PROV")</f>
        <v>#NAME?</v>
      </c>
      <c r="I621" t="e">
        <f ca="1">BDP("04780M2W Muni","FINANCING_TYPE")</f>
        <v>#NAME?</v>
      </c>
      <c r="J621" t="e">
        <f ca="1">BDP("04780M2W Muni","BICS_LEVEL_2_INDUSTRY_GROUP_NAME")</f>
        <v>#NAME?</v>
      </c>
      <c r="K621" t="e">
        <f ca="1">BDP("04780M2W Muni","SELF_REPRTD_GREEN_INSTR_INDCTR")</f>
        <v>#NAME?</v>
      </c>
      <c r="L621" t="e">
        <f ca="1">BDP("04780M2W Muni","GB_MANAGEMENT_PROCEEDS")</f>
        <v>#NAME?</v>
      </c>
      <c r="M621" t="e">
        <f ca="1">BDP("04780M2W Muni","GB_REPORTING")</f>
        <v>#NAME?</v>
      </c>
      <c r="N621" t="e">
        <f ca="1">BDP("04780M2W Muni","GB_ASSURANCE_PROVIDERS")</f>
        <v>#NAME?</v>
      </c>
      <c r="O621" t="e">
        <f ca="1">BDP("04780M2W Muni","GB_PROJECT_SELECTION_PROCESS")</f>
        <v>#NAME?</v>
      </c>
      <c r="P621" t="e">
        <f ca="1">BDP("04780M2W Muni","ESG_FRAMEWORK_INDICATOR")</f>
        <v>#NAME?</v>
      </c>
      <c r="Q621" t="e">
        <f ca="1">BDP("04780M2W Muni","BLOOMBERG_SECTOR_CODE")</f>
        <v>#NAME?</v>
      </c>
      <c r="R621" t="e">
        <f ca="1">BDP("04780M2W Muni","ISSUER_TYPE")</f>
        <v>#NAME?</v>
      </c>
      <c r="S621" t="e">
        <f ca="1">BDS("04780M2W Muni","ESG_PROJECT_CATEGORY", "aggregate=y")</f>
        <v>#NAME?</v>
      </c>
      <c r="T621" t="e">
        <f ca="1">BDS("04780M2W Muni","ESG_PROJECT_SUBCATEGORY", "aggregate=y")</f>
        <v>#NAME?</v>
      </c>
    </row>
    <row r="622" spans="1:20" x14ac:dyDescent="0.25">
      <c r="A622" t="e">
        <f ca="1">BDP("591746BT Muni","ID_CUSIP")</f>
        <v>#NAME?</v>
      </c>
      <c r="B622" t="e">
        <f ca="1">BDP("591746BT Muni","STATE_CODE")</f>
        <v>#NAME?</v>
      </c>
      <c r="C622" t="s">
        <v>47</v>
      </c>
      <c r="D622" t="e">
        <f ca="1">BDP("591746BT Muni","YIELD_ON_ISSUE_DATE")</f>
        <v>#NAME?</v>
      </c>
      <c r="E622">
        <v>15115000</v>
      </c>
      <c r="F622" t="e">
        <f ca="1">BDP("591746BT Muni","ISSUE_DT")</f>
        <v>#NAME?</v>
      </c>
      <c r="G622" t="e">
        <f ca="1">BDP("591746BT Muni","MATURITY")</f>
        <v>#NAME?</v>
      </c>
      <c r="H622" t="e">
        <f ca="1">BDP("591746BT Muni","MUNI_TAX_PROV")</f>
        <v>#NAME?</v>
      </c>
      <c r="I622" t="e">
        <f ca="1">BDP("591746BT Muni","FINANCING_TYPE")</f>
        <v>#NAME?</v>
      </c>
      <c r="J622" t="e">
        <f ca="1">BDP("591746BT Muni","BICS_LEVEL_2_INDUSTRY_GROUP_NAME")</f>
        <v>#NAME?</v>
      </c>
      <c r="K622" t="e">
        <f ca="1">BDP("591746BT Muni","SELF_REPRTD_GREEN_INSTR_INDCTR")</f>
        <v>#NAME?</v>
      </c>
      <c r="L622" t="e">
        <f ca="1">BDP("591746BT Muni","GB_MANAGEMENT_PROCEEDS")</f>
        <v>#NAME?</v>
      </c>
      <c r="M622" t="e">
        <f ca="1">BDP("591746BT Muni","GB_REPORTING")</f>
        <v>#NAME?</v>
      </c>
      <c r="N622" t="e">
        <f ca="1">BDP("591746BT Muni","GB_ASSURANCE_PROVIDERS")</f>
        <v>#NAME?</v>
      </c>
      <c r="O622" t="e">
        <f ca="1">BDP("591746BT Muni","GB_PROJECT_SELECTION_PROCESS")</f>
        <v>#NAME?</v>
      </c>
      <c r="P622" t="e">
        <f ca="1">BDP("591746BT Muni","ESG_FRAMEWORK_INDICATOR")</f>
        <v>#NAME?</v>
      </c>
      <c r="Q622" t="e">
        <f ca="1">BDP("591746BT Muni","BLOOMBERG_SECTOR_CODE")</f>
        <v>#NAME?</v>
      </c>
      <c r="R622" t="e">
        <f ca="1">BDP("591746BT Muni","ISSUER_TYPE")</f>
        <v>#NAME?</v>
      </c>
      <c r="S622" t="e">
        <f ca="1">BDS("591746BT Muni","ESG_PROJECT_CATEGORY", "aggregate=y")</f>
        <v>#NAME?</v>
      </c>
      <c r="T622" t="e">
        <f ca="1">BDS("591746BT Muni","ESG_PROJECT_SUBCATEGORY", "aggregate=y")</f>
        <v>#NAME?</v>
      </c>
    </row>
    <row r="623" spans="1:20" x14ac:dyDescent="0.25">
      <c r="A623" t="e">
        <f ca="1">BDP("591746BY Muni","ID_CUSIP")</f>
        <v>#NAME?</v>
      </c>
      <c r="B623" t="e">
        <f ca="1">BDP("591746BY Muni","STATE_CODE")</f>
        <v>#NAME?</v>
      </c>
      <c r="C623" t="s">
        <v>47</v>
      </c>
      <c r="D623" t="e">
        <f ca="1">BDP("591746BY Muni","YIELD_ON_ISSUE_DATE")</f>
        <v>#NAME?</v>
      </c>
      <c r="E623">
        <v>19290000</v>
      </c>
      <c r="F623" t="e">
        <f ca="1">BDP("591746BY Muni","ISSUE_DT")</f>
        <v>#NAME?</v>
      </c>
      <c r="G623" t="e">
        <f ca="1">BDP("591746BY Muni","MATURITY")</f>
        <v>#NAME?</v>
      </c>
      <c r="H623" t="e">
        <f ca="1">BDP("591746BY Muni","MUNI_TAX_PROV")</f>
        <v>#NAME?</v>
      </c>
      <c r="I623" t="e">
        <f ca="1">BDP("591746BY Muni","FINANCING_TYPE")</f>
        <v>#NAME?</v>
      </c>
      <c r="J623" t="e">
        <f ca="1">BDP("591746BY Muni","BICS_LEVEL_2_INDUSTRY_GROUP_NAME")</f>
        <v>#NAME?</v>
      </c>
      <c r="K623" t="e">
        <f ca="1">BDP("591746BY Muni","SELF_REPRTD_GREEN_INSTR_INDCTR")</f>
        <v>#NAME?</v>
      </c>
      <c r="L623" t="e">
        <f ca="1">BDP("591746BY Muni","GB_MANAGEMENT_PROCEEDS")</f>
        <v>#NAME?</v>
      </c>
      <c r="M623" t="e">
        <f ca="1">BDP("591746BY Muni","GB_REPORTING")</f>
        <v>#NAME?</v>
      </c>
      <c r="N623" t="e">
        <f ca="1">BDP("591746BY Muni","GB_ASSURANCE_PROVIDERS")</f>
        <v>#NAME?</v>
      </c>
      <c r="O623" t="e">
        <f ca="1">BDP("591746BY Muni","GB_PROJECT_SELECTION_PROCESS")</f>
        <v>#NAME?</v>
      </c>
      <c r="P623" t="e">
        <f ca="1">BDP("591746BY Muni","ESG_FRAMEWORK_INDICATOR")</f>
        <v>#NAME?</v>
      </c>
      <c r="Q623" t="e">
        <f ca="1">BDP("591746BY Muni","BLOOMBERG_SECTOR_CODE")</f>
        <v>#NAME?</v>
      </c>
      <c r="R623" t="e">
        <f ca="1">BDP("591746BY Muni","ISSUER_TYPE")</f>
        <v>#NAME?</v>
      </c>
      <c r="S623" t="e">
        <f ca="1">BDS("591746BY Muni","ESG_PROJECT_CATEGORY", "aggregate=y")</f>
        <v>#NAME?</v>
      </c>
      <c r="T623" t="e">
        <f ca="1">BDS("591746BY Muni","ESG_PROJECT_SUBCATEGORY", "aggregate=y")</f>
        <v>#NAME?</v>
      </c>
    </row>
    <row r="624" spans="1:20" x14ac:dyDescent="0.25">
      <c r="A624" t="e">
        <f ca="1">BDP("04780M2K Muni","ID_CUSIP")</f>
        <v>#NAME?</v>
      </c>
      <c r="B624" t="e">
        <f ca="1">BDP("04780M2K Muni","STATE_CODE")</f>
        <v>#NAME?</v>
      </c>
      <c r="C624" t="s">
        <v>48</v>
      </c>
      <c r="D624" t="e">
        <f ca="1">BDP("04780M2K Muni","YIELD_ON_ISSUE_DATE")</f>
        <v>#NAME?</v>
      </c>
      <c r="E624">
        <v>15945000</v>
      </c>
      <c r="F624" t="e">
        <f ca="1">BDP("04780M2K Muni","ISSUE_DT")</f>
        <v>#NAME?</v>
      </c>
      <c r="G624" t="e">
        <f ca="1">BDP("04780M2K Muni","MATURITY")</f>
        <v>#NAME?</v>
      </c>
      <c r="H624" t="e">
        <f ca="1">BDP("04780M2K Muni","MUNI_TAX_PROV")</f>
        <v>#NAME?</v>
      </c>
      <c r="I624" t="e">
        <f ca="1">BDP("04780M2K Muni","FINANCING_TYPE")</f>
        <v>#NAME?</v>
      </c>
      <c r="J624" t="e">
        <f ca="1">BDP("04780M2K Muni","BICS_LEVEL_2_INDUSTRY_GROUP_NAME")</f>
        <v>#NAME?</v>
      </c>
      <c r="K624" t="e">
        <f ca="1">BDP("04780M2K Muni","SELF_REPRTD_GREEN_INSTR_INDCTR")</f>
        <v>#NAME?</v>
      </c>
      <c r="L624" t="e">
        <f ca="1">BDP("04780M2K Muni","GB_MANAGEMENT_PROCEEDS")</f>
        <v>#NAME?</v>
      </c>
      <c r="M624" t="e">
        <f ca="1">BDP("04780M2K Muni","GB_REPORTING")</f>
        <v>#NAME?</v>
      </c>
      <c r="N624" t="e">
        <f ca="1">BDP("04780M2K Muni","GB_ASSURANCE_PROVIDERS")</f>
        <v>#NAME?</v>
      </c>
      <c r="O624" t="e">
        <f ca="1">BDP("04780M2K Muni","GB_PROJECT_SELECTION_PROCESS")</f>
        <v>#NAME?</v>
      </c>
      <c r="P624" t="e">
        <f ca="1">BDP("04780M2K Muni","ESG_FRAMEWORK_INDICATOR")</f>
        <v>#NAME?</v>
      </c>
      <c r="Q624" t="e">
        <f ca="1">BDP("04780M2K Muni","BLOOMBERG_SECTOR_CODE")</f>
        <v>#NAME?</v>
      </c>
      <c r="R624" t="e">
        <f ca="1">BDP("04780M2K Muni","ISSUER_TYPE")</f>
        <v>#NAME?</v>
      </c>
      <c r="S624" t="e">
        <f ca="1">BDS("04780M2K Muni","ESG_PROJECT_CATEGORY", "aggregate=y")</f>
        <v>#NAME?</v>
      </c>
      <c r="T624" t="e">
        <f ca="1">BDS("04780M2K Muni","ESG_PROJECT_SUBCATEGORY", "aggregate=y")</f>
        <v>#NAME?</v>
      </c>
    </row>
    <row r="625" spans="1:20" x14ac:dyDescent="0.25">
      <c r="A625" t="e">
        <f ca="1">BDP("04780M2S Muni","ID_CUSIP")</f>
        <v>#NAME?</v>
      </c>
      <c r="B625" t="e">
        <f ca="1">BDP("04780M2S Muni","STATE_CODE")</f>
        <v>#NAME?</v>
      </c>
      <c r="C625" t="s">
        <v>48</v>
      </c>
      <c r="D625" t="e">
        <f ca="1">BDP("04780M2S Muni","YIELD_ON_ISSUE_DATE")</f>
        <v>#NAME?</v>
      </c>
      <c r="E625">
        <v>22425000</v>
      </c>
      <c r="F625" t="e">
        <f ca="1">BDP("04780M2S Muni","ISSUE_DT")</f>
        <v>#NAME?</v>
      </c>
      <c r="G625" t="e">
        <f ca="1">BDP("04780M2S Muni","MATURITY")</f>
        <v>#NAME?</v>
      </c>
      <c r="H625" t="e">
        <f ca="1">BDP("04780M2S Muni","MUNI_TAX_PROV")</f>
        <v>#NAME?</v>
      </c>
      <c r="I625" t="e">
        <f ca="1">BDP("04780M2S Muni","FINANCING_TYPE")</f>
        <v>#NAME?</v>
      </c>
      <c r="J625" t="e">
        <f ca="1">BDP("04780M2S Muni","BICS_LEVEL_2_INDUSTRY_GROUP_NAME")</f>
        <v>#NAME?</v>
      </c>
      <c r="K625" t="e">
        <f ca="1">BDP("04780M2S Muni","SELF_REPRTD_GREEN_INSTR_INDCTR")</f>
        <v>#NAME?</v>
      </c>
      <c r="L625" t="e">
        <f ca="1">BDP("04780M2S Muni","GB_MANAGEMENT_PROCEEDS")</f>
        <v>#NAME?</v>
      </c>
      <c r="M625" t="e">
        <f ca="1">BDP("04780M2S Muni","GB_REPORTING")</f>
        <v>#NAME?</v>
      </c>
      <c r="N625" t="e">
        <f ca="1">BDP("04780M2S Muni","GB_ASSURANCE_PROVIDERS")</f>
        <v>#NAME?</v>
      </c>
      <c r="O625" t="e">
        <f ca="1">BDP("04780M2S Muni","GB_PROJECT_SELECTION_PROCESS")</f>
        <v>#NAME?</v>
      </c>
      <c r="P625" t="e">
        <f ca="1">BDP("04780M2S Muni","ESG_FRAMEWORK_INDICATOR")</f>
        <v>#NAME?</v>
      </c>
      <c r="Q625" t="e">
        <f ca="1">BDP("04780M2S Muni","BLOOMBERG_SECTOR_CODE")</f>
        <v>#NAME?</v>
      </c>
      <c r="R625" t="e">
        <f ca="1">BDP("04780M2S Muni","ISSUER_TYPE")</f>
        <v>#NAME?</v>
      </c>
      <c r="S625" t="e">
        <f ca="1">BDS("04780M2S Muni","ESG_PROJECT_CATEGORY", "aggregate=y")</f>
        <v>#NAME?</v>
      </c>
      <c r="T625" t="e">
        <f ca="1">BDS("04780M2S Muni","ESG_PROJECT_SUBCATEGORY", "aggregate=y")</f>
        <v>#NAME?</v>
      </c>
    </row>
    <row r="626" spans="1:20" x14ac:dyDescent="0.25">
      <c r="A626" t="e">
        <f ca="1">BDP("591746BZ Muni","ID_CUSIP")</f>
        <v>#NAME?</v>
      </c>
      <c r="B626" t="e">
        <f ca="1">BDP("591746BZ Muni","STATE_CODE")</f>
        <v>#NAME?</v>
      </c>
      <c r="C626" t="s">
        <v>47</v>
      </c>
      <c r="D626" t="e">
        <f ca="1">BDP("591746BZ Muni","YIELD_ON_ISSUE_DATE")</f>
        <v>#NAME?</v>
      </c>
      <c r="E626">
        <v>87630000</v>
      </c>
      <c r="F626" t="e">
        <f ca="1">BDP("591746BZ Muni","ISSUE_DT")</f>
        <v>#NAME?</v>
      </c>
      <c r="G626" t="e">
        <f ca="1">BDP("591746BZ Muni","MATURITY")</f>
        <v>#NAME?</v>
      </c>
      <c r="H626" t="e">
        <f ca="1">BDP("591746BZ Muni","MUNI_TAX_PROV")</f>
        <v>#NAME?</v>
      </c>
      <c r="I626" t="e">
        <f ca="1">BDP("591746BZ Muni","FINANCING_TYPE")</f>
        <v>#NAME?</v>
      </c>
      <c r="J626" t="e">
        <f ca="1">BDP("591746BZ Muni","BICS_LEVEL_2_INDUSTRY_GROUP_NAME")</f>
        <v>#NAME?</v>
      </c>
      <c r="K626" t="e">
        <f ca="1">BDP("591746BZ Muni","SELF_REPRTD_GREEN_INSTR_INDCTR")</f>
        <v>#NAME?</v>
      </c>
      <c r="L626" t="e">
        <f ca="1">BDP("591746BZ Muni","GB_MANAGEMENT_PROCEEDS")</f>
        <v>#NAME?</v>
      </c>
      <c r="M626" t="e">
        <f ca="1">BDP("591746BZ Muni","GB_REPORTING")</f>
        <v>#NAME?</v>
      </c>
      <c r="N626" t="e">
        <f ca="1">BDP("591746BZ Muni","GB_ASSURANCE_PROVIDERS")</f>
        <v>#NAME?</v>
      </c>
      <c r="O626" t="e">
        <f ca="1">BDP("591746BZ Muni","GB_PROJECT_SELECTION_PROCESS")</f>
        <v>#NAME?</v>
      </c>
      <c r="P626" t="e">
        <f ca="1">BDP("591746BZ Muni","ESG_FRAMEWORK_INDICATOR")</f>
        <v>#NAME?</v>
      </c>
      <c r="Q626" t="e">
        <f ca="1">BDP("591746BZ Muni","BLOOMBERG_SECTOR_CODE")</f>
        <v>#NAME?</v>
      </c>
      <c r="R626" t="e">
        <f ca="1">BDP("591746BZ Muni","ISSUER_TYPE")</f>
        <v>#NAME?</v>
      </c>
      <c r="S626" t="e">
        <f ca="1">BDS("591746BZ Muni","ESG_PROJECT_CATEGORY", "aggregate=y")</f>
        <v>#NAME?</v>
      </c>
      <c r="T626" t="e">
        <f ca="1">BDS("591746BZ Muni","ESG_PROJECT_SUBCATEGORY", "aggregate=y")</f>
        <v>#NAME?</v>
      </c>
    </row>
    <row r="627" spans="1:20" x14ac:dyDescent="0.25">
      <c r="A627" t="e">
        <f ca="1">BDP("04780M2V Muni","ID_CUSIP")</f>
        <v>#NAME?</v>
      </c>
      <c r="B627" t="e">
        <f ca="1">BDP("04780M2V Muni","STATE_CODE")</f>
        <v>#NAME?</v>
      </c>
      <c r="C627" t="s">
        <v>48</v>
      </c>
      <c r="D627" t="e">
        <f ca="1">BDP("04780M2V Muni","YIELD_ON_ISSUE_DATE")</f>
        <v>#NAME?</v>
      </c>
      <c r="E627">
        <v>25965000</v>
      </c>
      <c r="F627" t="e">
        <f ca="1">BDP("04780M2V Muni","ISSUE_DT")</f>
        <v>#NAME?</v>
      </c>
      <c r="G627" t="e">
        <f ca="1">BDP("04780M2V Muni","MATURITY")</f>
        <v>#NAME?</v>
      </c>
      <c r="H627" t="e">
        <f ca="1">BDP("04780M2V Muni","MUNI_TAX_PROV")</f>
        <v>#NAME?</v>
      </c>
      <c r="I627" t="e">
        <f ca="1">BDP("04780M2V Muni","FINANCING_TYPE")</f>
        <v>#NAME?</v>
      </c>
      <c r="J627" t="e">
        <f ca="1">BDP("04780M2V Muni","BICS_LEVEL_2_INDUSTRY_GROUP_NAME")</f>
        <v>#NAME?</v>
      </c>
      <c r="K627" t="e">
        <f ca="1">BDP("04780M2V Muni","SELF_REPRTD_GREEN_INSTR_INDCTR")</f>
        <v>#NAME?</v>
      </c>
      <c r="L627" t="e">
        <f ca="1">BDP("04780M2V Muni","GB_MANAGEMENT_PROCEEDS")</f>
        <v>#NAME?</v>
      </c>
      <c r="M627" t="e">
        <f ca="1">BDP("04780M2V Muni","GB_REPORTING")</f>
        <v>#NAME?</v>
      </c>
      <c r="N627" t="e">
        <f ca="1">BDP("04780M2V Muni","GB_ASSURANCE_PROVIDERS")</f>
        <v>#NAME?</v>
      </c>
      <c r="O627" t="e">
        <f ca="1">BDP("04780M2V Muni","GB_PROJECT_SELECTION_PROCESS")</f>
        <v>#NAME?</v>
      </c>
      <c r="P627" t="e">
        <f ca="1">BDP("04780M2V Muni","ESG_FRAMEWORK_INDICATOR")</f>
        <v>#NAME?</v>
      </c>
      <c r="Q627" t="e">
        <f ca="1">BDP("04780M2V Muni","BLOOMBERG_SECTOR_CODE")</f>
        <v>#NAME?</v>
      </c>
      <c r="R627" t="e">
        <f ca="1">BDP("04780M2V Muni","ISSUER_TYPE")</f>
        <v>#NAME?</v>
      </c>
      <c r="S627" t="e">
        <f ca="1">BDS("04780M2V Muni","ESG_PROJECT_CATEGORY", "aggregate=y")</f>
        <v>#NAME?</v>
      </c>
      <c r="T627" t="e">
        <f ca="1">BDS("04780M2V Muni","ESG_PROJECT_SUBCATEGORY", "aggregate=y")</f>
        <v>#NAME?</v>
      </c>
    </row>
    <row r="628" spans="1:20" x14ac:dyDescent="0.25">
      <c r="A628" t="e">
        <f ca="1">BDP("46640KX8 Muni","ID_CUSIP")</f>
        <v>#NAME?</v>
      </c>
      <c r="B628" t="e">
        <f ca="1">BDP("46640KX8 Muni","STATE_CODE")</f>
        <v>#NAME?</v>
      </c>
      <c r="C628" t="s">
        <v>46</v>
      </c>
      <c r="D628" t="e">
        <f ca="1">BDP("46640KX8 Muni","YIELD_ON_ISSUE_DATE")</f>
        <v>#NAME?</v>
      </c>
      <c r="E628">
        <v>14895000</v>
      </c>
      <c r="F628" t="e">
        <f ca="1">BDP("46640KX8 Muni","ISSUE_DT")</f>
        <v>#NAME?</v>
      </c>
      <c r="G628" t="e">
        <f ca="1">BDP("46640KX8 Muni","MATURITY")</f>
        <v>#NAME?</v>
      </c>
      <c r="H628" t="e">
        <f ca="1">BDP("46640KX8 Muni","MUNI_TAX_PROV")</f>
        <v>#NAME?</v>
      </c>
      <c r="I628" t="e">
        <f ca="1">BDP("46640KX8 Muni","FINANCING_TYPE")</f>
        <v>#NAME?</v>
      </c>
      <c r="J628" t="e">
        <f ca="1">BDP("46640KX8 Muni","BICS_LEVEL_2_INDUSTRY_GROUP_NAME")</f>
        <v>#NAME?</v>
      </c>
      <c r="K628" t="e">
        <f ca="1">BDP("46640KX8 Muni","SELF_REPRTD_GREEN_INSTR_INDCTR")</f>
        <v>#NAME?</v>
      </c>
      <c r="L628" t="e">
        <f ca="1">BDP("46640KX8 Muni","GB_MANAGEMENT_PROCEEDS")</f>
        <v>#NAME?</v>
      </c>
      <c r="M628" t="e">
        <f ca="1">BDP("46640KX8 Muni","GB_REPORTING")</f>
        <v>#NAME?</v>
      </c>
      <c r="N628" t="e">
        <f ca="1">BDP("46640KX8 Muni","GB_ASSURANCE_PROVIDERS")</f>
        <v>#NAME?</v>
      </c>
      <c r="O628" t="e">
        <f ca="1">BDP("46640KX8 Muni","GB_PROJECT_SELECTION_PROCESS")</f>
        <v>#NAME?</v>
      </c>
      <c r="P628" t="e">
        <f ca="1">BDP("46640KX8 Muni","ESG_FRAMEWORK_INDICATOR")</f>
        <v>#NAME?</v>
      </c>
      <c r="Q628" t="e">
        <f ca="1">BDP("46640KX8 Muni","BLOOMBERG_SECTOR_CODE")</f>
        <v>#NAME?</v>
      </c>
      <c r="R628" t="e">
        <f ca="1">BDP("46640KX8 Muni","ISSUER_TYPE")</f>
        <v>#NAME?</v>
      </c>
      <c r="S628" t="e">
        <f ca="1">BDS("46640KX8 Muni","ESG_PROJECT_CATEGORY", "aggregate=y")</f>
        <v>#NAME?</v>
      </c>
      <c r="T628" t="e">
        <f ca="1">BDS("46640KX8 Muni","ESG_PROJECT_SUBCATEGORY", "aggregate=y")</f>
        <v>#NAME?</v>
      </c>
    </row>
    <row r="629" spans="1:20" x14ac:dyDescent="0.25">
      <c r="A629" t="e">
        <f ca="1">BDP("04780M2Z Muni","ID_CUSIP")</f>
        <v>#NAME?</v>
      </c>
      <c r="B629" t="e">
        <f ca="1">BDP("04780M2Z Muni","STATE_CODE")</f>
        <v>#NAME?</v>
      </c>
      <c r="C629" t="s">
        <v>48</v>
      </c>
      <c r="D629" t="e">
        <f ca="1">BDP("04780M2Z Muni","YIELD_ON_ISSUE_DATE")</f>
        <v>#NAME?</v>
      </c>
      <c r="E629">
        <v>31715000</v>
      </c>
      <c r="F629" t="e">
        <f ca="1">BDP("04780M2Z Muni","ISSUE_DT")</f>
        <v>#NAME?</v>
      </c>
      <c r="G629" t="e">
        <f ca="1">BDP("04780M2Z Muni","MATURITY")</f>
        <v>#NAME?</v>
      </c>
      <c r="H629" t="e">
        <f ca="1">BDP("04780M2Z Muni","MUNI_TAX_PROV")</f>
        <v>#NAME?</v>
      </c>
      <c r="I629" t="e">
        <f ca="1">BDP("04780M2Z Muni","FINANCING_TYPE")</f>
        <v>#NAME?</v>
      </c>
      <c r="J629" t="e">
        <f ca="1">BDP("04780M2Z Muni","BICS_LEVEL_2_INDUSTRY_GROUP_NAME")</f>
        <v>#NAME?</v>
      </c>
      <c r="K629" t="e">
        <f ca="1">BDP("04780M2Z Muni","SELF_REPRTD_GREEN_INSTR_INDCTR")</f>
        <v>#NAME?</v>
      </c>
      <c r="L629" t="e">
        <f ca="1">BDP("04780M2Z Muni","GB_MANAGEMENT_PROCEEDS")</f>
        <v>#NAME?</v>
      </c>
      <c r="M629" t="e">
        <f ca="1">BDP("04780M2Z Muni","GB_REPORTING")</f>
        <v>#NAME?</v>
      </c>
      <c r="N629" t="e">
        <f ca="1">BDP("04780M2Z Muni","GB_ASSURANCE_PROVIDERS")</f>
        <v>#NAME?</v>
      </c>
      <c r="O629" t="e">
        <f ca="1">BDP("04780M2Z Muni","GB_PROJECT_SELECTION_PROCESS")</f>
        <v>#NAME?</v>
      </c>
      <c r="P629" t="e">
        <f ca="1">BDP("04780M2Z Muni","ESG_FRAMEWORK_INDICATOR")</f>
        <v>#NAME?</v>
      </c>
      <c r="Q629" t="e">
        <f ca="1">BDP("04780M2Z Muni","BLOOMBERG_SECTOR_CODE")</f>
        <v>#NAME?</v>
      </c>
      <c r="R629" t="e">
        <f ca="1">BDP("04780M2Z Muni","ISSUER_TYPE")</f>
        <v>#NAME?</v>
      </c>
      <c r="S629" t="e">
        <f ca="1">BDS("04780M2Z Muni","ESG_PROJECT_CATEGORY", "aggregate=y")</f>
        <v>#NAME?</v>
      </c>
      <c r="T629" t="e">
        <f ca="1">BDS("04780M2Z Muni","ESG_PROJECT_SUBCATEGORY", "aggregate=y")</f>
        <v>#NAME?</v>
      </c>
    </row>
    <row r="630" spans="1:20" x14ac:dyDescent="0.25">
      <c r="A630" t="e">
        <f ca="1">BDP("88035R2N Muni","ID_CUSIP")</f>
        <v>#NAME?</v>
      </c>
      <c r="B630" t="e">
        <f ca="1">BDP("88035R2N Muni","STATE_CODE")</f>
        <v>#NAME?</v>
      </c>
      <c r="C630" t="s">
        <v>25</v>
      </c>
      <c r="D630" t="e">
        <f ca="1">BDP("88035R2N Muni","YIELD_ON_ISSUE_DATE")</f>
        <v>#NAME?</v>
      </c>
      <c r="E630">
        <v>8000000</v>
      </c>
      <c r="F630" t="e">
        <f ca="1">BDP("88035R2N Muni","ISSUE_DT")</f>
        <v>#NAME?</v>
      </c>
      <c r="G630" t="e">
        <f ca="1">BDP("88035R2N Muni","MATURITY")</f>
        <v>#NAME?</v>
      </c>
      <c r="H630" t="e">
        <f ca="1">BDP("88035R2N Muni","MUNI_TAX_PROV")</f>
        <v>#NAME?</v>
      </c>
      <c r="I630" t="e">
        <f ca="1">BDP("88035R2N Muni","FINANCING_TYPE")</f>
        <v>#NAME?</v>
      </c>
      <c r="J630" t="e">
        <f ca="1">BDP("88035R2N Muni","BICS_LEVEL_2_INDUSTRY_GROUP_NAME")</f>
        <v>#NAME?</v>
      </c>
      <c r="K630" t="e">
        <f ca="1">BDP("88035R2N Muni","SELF_REPRTD_GREEN_INSTR_INDCTR")</f>
        <v>#NAME?</v>
      </c>
      <c r="L630" t="e">
        <f ca="1">BDP("88035R2N Muni","GB_MANAGEMENT_PROCEEDS")</f>
        <v>#NAME?</v>
      </c>
      <c r="M630" t="e">
        <f ca="1">BDP("88035R2N Muni","GB_REPORTING")</f>
        <v>#NAME?</v>
      </c>
      <c r="N630" t="e">
        <f ca="1">BDP("88035R2N Muni","GB_ASSURANCE_PROVIDERS")</f>
        <v>#NAME?</v>
      </c>
      <c r="O630" t="e">
        <f ca="1">BDP("88035R2N Muni","GB_PROJECT_SELECTION_PROCESS")</f>
        <v>#NAME?</v>
      </c>
      <c r="P630" t="e">
        <f ca="1">BDP("88035R2N Muni","ESG_FRAMEWORK_INDICATOR")</f>
        <v>#NAME?</v>
      </c>
      <c r="Q630" t="e">
        <f ca="1">BDP("88035R2N Muni","BLOOMBERG_SECTOR_CODE")</f>
        <v>#NAME?</v>
      </c>
      <c r="R630" t="e">
        <f ca="1">BDP("88035R2N Muni","ISSUER_TYPE")</f>
        <v>#NAME?</v>
      </c>
      <c r="S630" t="e">
        <f ca="1">BDS("88035R2N Muni","ESG_PROJECT_CATEGORY", "aggregate=y")</f>
        <v>#NAME?</v>
      </c>
      <c r="T630" t="e">
        <f ca="1">BDS("88035R2N Muni","ESG_PROJECT_SUBCATEGORY", "aggregate=y")</f>
        <v>#NAME?</v>
      </c>
    </row>
    <row r="631" spans="1:20" x14ac:dyDescent="0.25">
      <c r="A631" t="e">
        <f ca="1">BDP("04780M2T Muni","ID_CUSIP")</f>
        <v>#NAME?</v>
      </c>
      <c r="B631" t="e">
        <f ca="1">BDP("04780M2T Muni","STATE_CODE")</f>
        <v>#NAME?</v>
      </c>
      <c r="C631" t="s">
        <v>48</v>
      </c>
      <c r="D631" t="e">
        <f ca="1">BDP("04780M2T Muni","YIELD_ON_ISSUE_DATE")</f>
        <v>#NAME?</v>
      </c>
      <c r="E631">
        <v>23550000</v>
      </c>
      <c r="F631" t="e">
        <f ca="1">BDP("04780M2T Muni","ISSUE_DT")</f>
        <v>#NAME?</v>
      </c>
      <c r="G631" t="e">
        <f ca="1">BDP("04780M2T Muni","MATURITY")</f>
        <v>#NAME?</v>
      </c>
      <c r="H631" t="e">
        <f ca="1">BDP("04780M2T Muni","MUNI_TAX_PROV")</f>
        <v>#NAME?</v>
      </c>
      <c r="I631" t="e">
        <f ca="1">BDP("04780M2T Muni","FINANCING_TYPE")</f>
        <v>#NAME?</v>
      </c>
      <c r="J631" t="e">
        <f ca="1">BDP("04780M2T Muni","BICS_LEVEL_2_INDUSTRY_GROUP_NAME")</f>
        <v>#NAME?</v>
      </c>
      <c r="K631" t="e">
        <f ca="1">BDP("04780M2T Muni","SELF_REPRTD_GREEN_INSTR_INDCTR")</f>
        <v>#NAME?</v>
      </c>
      <c r="L631" t="e">
        <f ca="1">BDP("04780M2T Muni","GB_MANAGEMENT_PROCEEDS")</f>
        <v>#NAME?</v>
      </c>
      <c r="M631" t="e">
        <f ca="1">BDP("04780M2T Muni","GB_REPORTING")</f>
        <v>#NAME?</v>
      </c>
      <c r="N631" t="e">
        <f ca="1">BDP("04780M2T Muni","GB_ASSURANCE_PROVIDERS")</f>
        <v>#NAME?</v>
      </c>
      <c r="O631" t="e">
        <f ca="1">BDP("04780M2T Muni","GB_PROJECT_SELECTION_PROCESS")</f>
        <v>#NAME?</v>
      </c>
      <c r="P631" t="e">
        <f ca="1">BDP("04780M2T Muni","ESG_FRAMEWORK_INDICATOR")</f>
        <v>#NAME?</v>
      </c>
      <c r="Q631" t="e">
        <f ca="1">BDP("04780M2T Muni","BLOOMBERG_SECTOR_CODE")</f>
        <v>#NAME?</v>
      </c>
      <c r="R631" t="e">
        <f ca="1">BDP("04780M2T Muni","ISSUER_TYPE")</f>
        <v>#NAME?</v>
      </c>
      <c r="S631" t="e">
        <f ca="1">BDS("04780M2T Muni","ESG_PROJECT_CATEGORY", "aggregate=y")</f>
        <v>#NAME?</v>
      </c>
      <c r="T631" t="e">
        <f ca="1">BDS("04780M2T Muni","ESG_PROJECT_SUBCATEGORY", "aggregate=y")</f>
        <v>#NAME?</v>
      </c>
    </row>
    <row r="632" spans="1:20" x14ac:dyDescent="0.25">
      <c r="A632" t="e">
        <f ca="1">BDP("04780M3C Muni","ID_CUSIP")</f>
        <v>#NAME?</v>
      </c>
      <c r="B632" t="e">
        <f ca="1">BDP("04780M3C Muni","STATE_CODE")</f>
        <v>#NAME?</v>
      </c>
      <c r="C632" t="s">
        <v>48</v>
      </c>
      <c r="D632" t="e">
        <f ca="1">BDP("04780M3C Muni","YIELD_ON_ISSUE_DATE")</f>
        <v>#NAME?</v>
      </c>
      <c r="E632">
        <v>205335000</v>
      </c>
      <c r="F632" t="e">
        <f ca="1">BDP("04780M3C Muni","ISSUE_DT")</f>
        <v>#NAME?</v>
      </c>
      <c r="G632" t="e">
        <f ca="1">BDP("04780M3C Muni","MATURITY")</f>
        <v>#NAME?</v>
      </c>
      <c r="H632" t="e">
        <f ca="1">BDP("04780M3C Muni","MUNI_TAX_PROV")</f>
        <v>#NAME?</v>
      </c>
      <c r="I632" t="e">
        <f ca="1">BDP("04780M3C Muni","FINANCING_TYPE")</f>
        <v>#NAME?</v>
      </c>
      <c r="J632" t="e">
        <f ca="1">BDP("04780M3C Muni","BICS_LEVEL_2_INDUSTRY_GROUP_NAME")</f>
        <v>#NAME?</v>
      </c>
      <c r="K632" t="e">
        <f ca="1">BDP("04780M3C Muni","SELF_REPRTD_GREEN_INSTR_INDCTR")</f>
        <v>#NAME?</v>
      </c>
      <c r="L632" t="e">
        <f ca="1">BDP("04780M3C Muni","GB_MANAGEMENT_PROCEEDS")</f>
        <v>#NAME?</v>
      </c>
      <c r="M632" t="e">
        <f ca="1">BDP("04780M3C Muni","GB_REPORTING")</f>
        <v>#NAME?</v>
      </c>
      <c r="N632" t="e">
        <f ca="1">BDP("04780M3C Muni","GB_ASSURANCE_PROVIDERS")</f>
        <v>#NAME?</v>
      </c>
      <c r="O632" t="e">
        <f ca="1">BDP("04780M3C Muni","GB_PROJECT_SELECTION_PROCESS")</f>
        <v>#NAME?</v>
      </c>
      <c r="P632" t="e">
        <f ca="1">BDP("04780M3C Muni","ESG_FRAMEWORK_INDICATOR")</f>
        <v>#NAME?</v>
      </c>
      <c r="Q632" t="e">
        <f ca="1">BDP("04780M3C Muni","BLOOMBERG_SECTOR_CODE")</f>
        <v>#NAME?</v>
      </c>
      <c r="R632" t="e">
        <f ca="1">BDP("04780M3C Muni","ISSUER_TYPE")</f>
        <v>#NAME?</v>
      </c>
      <c r="S632" t="e">
        <f ca="1">BDS("04780M3C Muni","ESG_PROJECT_CATEGORY", "aggregate=y")</f>
        <v>#NAME?</v>
      </c>
      <c r="T632" t="e">
        <f ca="1">BDS("04780M3C Muni","ESG_PROJECT_SUBCATEGORY", "aggregate=y")</f>
        <v>#NAME?</v>
      </c>
    </row>
    <row r="633" spans="1:20" x14ac:dyDescent="0.25">
      <c r="A633" t="e">
        <f ca="1">BDP("88035RB9 Muni","ID_CUSIP")</f>
        <v>#NAME?</v>
      </c>
      <c r="B633" t="e">
        <f ca="1">BDP("88035RB9 Muni","STATE_CODE")</f>
        <v>#NAME?</v>
      </c>
      <c r="C633" t="s">
        <v>25</v>
      </c>
      <c r="D633" t="e">
        <f ca="1">BDP("88035RB9 Muni","YIELD_ON_ISSUE_DATE")</f>
        <v>#NAME?</v>
      </c>
      <c r="E633">
        <v>5000000</v>
      </c>
      <c r="F633" t="e">
        <f ca="1">BDP("88035RB9 Muni","ISSUE_DT")</f>
        <v>#NAME?</v>
      </c>
      <c r="G633" t="e">
        <f ca="1">BDP("88035RB9 Muni","MATURITY")</f>
        <v>#NAME?</v>
      </c>
      <c r="H633" t="e">
        <f ca="1">BDP("88035RB9 Muni","MUNI_TAX_PROV")</f>
        <v>#NAME?</v>
      </c>
      <c r="I633" t="e">
        <f ca="1">BDP("88035RB9 Muni","FINANCING_TYPE")</f>
        <v>#NAME?</v>
      </c>
      <c r="J633" t="e">
        <f ca="1">BDP("88035RB9 Muni","BICS_LEVEL_2_INDUSTRY_GROUP_NAME")</f>
        <v>#NAME?</v>
      </c>
      <c r="K633" t="e">
        <f ca="1">BDP("88035RB9 Muni","SELF_REPRTD_GREEN_INSTR_INDCTR")</f>
        <v>#NAME?</v>
      </c>
      <c r="L633" t="e">
        <f ca="1">BDP("88035RB9 Muni","GB_MANAGEMENT_PROCEEDS")</f>
        <v>#NAME?</v>
      </c>
      <c r="M633" t="e">
        <f ca="1">BDP("88035RB9 Muni","GB_REPORTING")</f>
        <v>#NAME?</v>
      </c>
      <c r="N633" t="e">
        <f ca="1">BDP("88035RB9 Muni","GB_ASSURANCE_PROVIDERS")</f>
        <v>#NAME?</v>
      </c>
      <c r="O633" t="e">
        <f ca="1">BDP("88035RB9 Muni","GB_PROJECT_SELECTION_PROCESS")</f>
        <v>#NAME?</v>
      </c>
      <c r="P633" t="e">
        <f ca="1">BDP("88035RB9 Muni","ESG_FRAMEWORK_INDICATOR")</f>
        <v>#NAME?</v>
      </c>
      <c r="Q633" t="e">
        <f ca="1">BDP("88035RB9 Muni","BLOOMBERG_SECTOR_CODE")</f>
        <v>#NAME?</v>
      </c>
      <c r="R633" t="e">
        <f ca="1">BDP("88035RB9 Muni","ISSUER_TYPE")</f>
        <v>#NAME?</v>
      </c>
      <c r="S633" t="e">
        <f ca="1">BDS("88035RB9 Muni","ESG_PROJECT_CATEGORY", "aggregate=y")</f>
        <v>#NAME?</v>
      </c>
      <c r="T633" t="e">
        <f ca="1">BDS("88035RB9 Muni","ESG_PROJECT_SUBCATEGORY", "aggregate=y")</f>
        <v>#NAME?</v>
      </c>
    </row>
    <row r="634" spans="1:20" x14ac:dyDescent="0.25">
      <c r="A634" t="e">
        <f ca="1">BDP("04780M2N Muni","ID_CUSIP")</f>
        <v>#NAME?</v>
      </c>
      <c r="B634" t="e">
        <f ca="1">BDP("04780M2N Muni","STATE_CODE")</f>
        <v>#NAME?</v>
      </c>
      <c r="C634" t="s">
        <v>48</v>
      </c>
      <c r="D634" t="e">
        <f ca="1">BDP("04780M2N Muni","YIELD_ON_ISSUE_DATE")</f>
        <v>#NAME?</v>
      </c>
      <c r="E634">
        <v>18450000</v>
      </c>
      <c r="F634" t="e">
        <f ca="1">BDP("04780M2N Muni","ISSUE_DT")</f>
        <v>#NAME?</v>
      </c>
      <c r="G634" t="e">
        <f ca="1">BDP("04780M2N Muni","MATURITY")</f>
        <v>#NAME?</v>
      </c>
      <c r="H634" t="e">
        <f ca="1">BDP("04780M2N Muni","MUNI_TAX_PROV")</f>
        <v>#NAME?</v>
      </c>
      <c r="I634" t="e">
        <f ca="1">BDP("04780M2N Muni","FINANCING_TYPE")</f>
        <v>#NAME?</v>
      </c>
      <c r="J634" t="e">
        <f ca="1">BDP("04780M2N Muni","BICS_LEVEL_2_INDUSTRY_GROUP_NAME")</f>
        <v>#NAME?</v>
      </c>
      <c r="K634" t="e">
        <f ca="1">BDP("04780M2N Muni","SELF_REPRTD_GREEN_INSTR_INDCTR")</f>
        <v>#NAME?</v>
      </c>
      <c r="L634" t="e">
        <f ca="1">BDP("04780M2N Muni","GB_MANAGEMENT_PROCEEDS")</f>
        <v>#NAME?</v>
      </c>
      <c r="M634" t="e">
        <f ca="1">BDP("04780M2N Muni","GB_REPORTING")</f>
        <v>#NAME?</v>
      </c>
      <c r="N634" t="e">
        <f ca="1">BDP("04780M2N Muni","GB_ASSURANCE_PROVIDERS")</f>
        <v>#NAME?</v>
      </c>
      <c r="O634" t="e">
        <f ca="1">BDP("04780M2N Muni","GB_PROJECT_SELECTION_PROCESS")</f>
        <v>#NAME?</v>
      </c>
      <c r="P634" t="e">
        <f ca="1">BDP("04780M2N Muni","ESG_FRAMEWORK_INDICATOR")</f>
        <v>#NAME?</v>
      </c>
      <c r="Q634" t="e">
        <f ca="1">BDP("04780M2N Muni","BLOOMBERG_SECTOR_CODE")</f>
        <v>#NAME?</v>
      </c>
      <c r="R634" t="e">
        <f ca="1">BDP("04780M2N Muni","ISSUER_TYPE")</f>
        <v>#NAME?</v>
      </c>
      <c r="S634" t="e">
        <f ca="1">BDS("04780M2N Muni","ESG_PROJECT_CATEGORY", "aggregate=y")</f>
        <v>#NAME?</v>
      </c>
      <c r="T634" t="e">
        <f ca="1">BDS("04780M2N Muni","ESG_PROJECT_SUBCATEGORY", "aggregate=y")</f>
        <v>#NAME?</v>
      </c>
    </row>
    <row r="635" spans="1:20" x14ac:dyDescent="0.25">
      <c r="A635" t="e">
        <f ca="1">BDP("591746CJ Muni","ID_CUSIP")</f>
        <v>#NAME?</v>
      </c>
      <c r="B635" t="e">
        <f ca="1">BDP("591746CJ Muni","STATE_CODE")</f>
        <v>#NAME?</v>
      </c>
      <c r="C635" t="s">
        <v>47</v>
      </c>
      <c r="D635" t="e">
        <f ca="1">BDP("591746CJ Muni","YIELD_ON_ISSUE_DATE")</f>
        <v>#NAME?</v>
      </c>
      <c r="E635">
        <v>10660000</v>
      </c>
      <c r="F635" t="e">
        <f ca="1">BDP("591746CJ Muni","ISSUE_DT")</f>
        <v>#NAME?</v>
      </c>
      <c r="G635" t="e">
        <f ca="1">BDP("591746CJ Muni","MATURITY")</f>
        <v>#NAME?</v>
      </c>
      <c r="H635" t="e">
        <f ca="1">BDP("591746CJ Muni","MUNI_TAX_PROV")</f>
        <v>#NAME?</v>
      </c>
      <c r="I635" t="e">
        <f ca="1">BDP("591746CJ Muni","FINANCING_TYPE")</f>
        <v>#NAME?</v>
      </c>
      <c r="J635" t="e">
        <f ca="1">BDP("591746CJ Muni","BICS_LEVEL_2_INDUSTRY_GROUP_NAME")</f>
        <v>#NAME?</v>
      </c>
      <c r="K635" t="e">
        <f ca="1">BDP("591746CJ Muni","SELF_REPRTD_GREEN_INSTR_INDCTR")</f>
        <v>#NAME?</v>
      </c>
      <c r="L635" t="e">
        <f ca="1">BDP("591746CJ Muni","GB_MANAGEMENT_PROCEEDS")</f>
        <v>#NAME?</v>
      </c>
      <c r="M635" t="e">
        <f ca="1">BDP("591746CJ Muni","GB_REPORTING")</f>
        <v>#NAME?</v>
      </c>
      <c r="N635" t="e">
        <f ca="1">BDP("591746CJ Muni","GB_ASSURANCE_PROVIDERS")</f>
        <v>#NAME?</v>
      </c>
      <c r="O635" t="e">
        <f ca="1">BDP("591746CJ Muni","GB_PROJECT_SELECTION_PROCESS")</f>
        <v>#NAME?</v>
      </c>
      <c r="P635" t="e">
        <f ca="1">BDP("591746CJ Muni","ESG_FRAMEWORK_INDICATOR")</f>
        <v>#NAME?</v>
      </c>
      <c r="Q635" t="e">
        <f ca="1">BDP("591746CJ Muni","BLOOMBERG_SECTOR_CODE")</f>
        <v>#NAME?</v>
      </c>
      <c r="R635" t="e">
        <f ca="1">BDP("591746CJ Muni","ISSUER_TYPE")</f>
        <v>#NAME?</v>
      </c>
      <c r="S635" t="e">
        <f ca="1">BDS("591746CJ Muni","ESG_PROJECT_CATEGORY", "aggregate=y")</f>
        <v>#NAME?</v>
      </c>
      <c r="T635" t="e">
        <f ca="1">BDS("591746CJ Muni","ESG_PROJECT_SUBCATEGORY", "aggregate=y")</f>
        <v>#NAME?</v>
      </c>
    </row>
    <row r="636" spans="1:20" x14ac:dyDescent="0.25">
      <c r="A636" t="e">
        <f ca="1">BDP("591746CN Muni","ID_CUSIP")</f>
        <v>#NAME?</v>
      </c>
      <c r="B636" t="e">
        <f ca="1">BDP("591746CN Muni","STATE_CODE")</f>
        <v>#NAME?</v>
      </c>
      <c r="C636" t="s">
        <v>47</v>
      </c>
      <c r="D636" t="e">
        <f ca="1">BDP("591746CN Muni","YIELD_ON_ISSUE_DATE")</f>
        <v>#NAME?</v>
      </c>
      <c r="E636">
        <v>8115000</v>
      </c>
      <c r="F636" t="e">
        <f ca="1">BDP("591746CN Muni","ISSUE_DT")</f>
        <v>#NAME?</v>
      </c>
      <c r="G636" t="e">
        <f ca="1">BDP("591746CN Muni","MATURITY")</f>
        <v>#NAME?</v>
      </c>
      <c r="H636" t="e">
        <f ca="1">BDP("591746CN Muni","MUNI_TAX_PROV")</f>
        <v>#NAME?</v>
      </c>
      <c r="I636" t="e">
        <f ca="1">BDP("591746CN Muni","FINANCING_TYPE")</f>
        <v>#NAME?</v>
      </c>
      <c r="J636" t="e">
        <f ca="1">BDP("591746CN Muni","BICS_LEVEL_2_INDUSTRY_GROUP_NAME")</f>
        <v>#NAME?</v>
      </c>
      <c r="K636" t="e">
        <f ca="1">BDP("591746CN Muni","SELF_REPRTD_GREEN_INSTR_INDCTR")</f>
        <v>#NAME?</v>
      </c>
      <c r="L636" t="e">
        <f ca="1">BDP("591746CN Muni","GB_MANAGEMENT_PROCEEDS")</f>
        <v>#NAME?</v>
      </c>
      <c r="M636" t="e">
        <f ca="1">BDP("591746CN Muni","GB_REPORTING")</f>
        <v>#NAME?</v>
      </c>
      <c r="N636" t="e">
        <f ca="1">BDP("591746CN Muni","GB_ASSURANCE_PROVIDERS")</f>
        <v>#NAME?</v>
      </c>
      <c r="O636" t="e">
        <f ca="1">BDP("591746CN Muni","GB_PROJECT_SELECTION_PROCESS")</f>
        <v>#NAME?</v>
      </c>
      <c r="P636" t="e">
        <f ca="1">BDP("591746CN Muni","ESG_FRAMEWORK_INDICATOR")</f>
        <v>#NAME?</v>
      </c>
      <c r="Q636" t="e">
        <f ca="1">BDP("591746CN Muni","BLOOMBERG_SECTOR_CODE")</f>
        <v>#NAME?</v>
      </c>
      <c r="R636" t="e">
        <f ca="1">BDP("591746CN Muni","ISSUER_TYPE")</f>
        <v>#NAME?</v>
      </c>
      <c r="S636" t="e">
        <f ca="1">BDS("591746CN Muni","ESG_PROJECT_CATEGORY", "aggregate=y")</f>
        <v>#NAME?</v>
      </c>
      <c r="T636" t="e">
        <f ca="1">BDS("591746CN Muni","ESG_PROJECT_SUBCATEGORY", "aggregate=y")</f>
        <v>#NAME?</v>
      </c>
    </row>
    <row r="637" spans="1:20" x14ac:dyDescent="0.25">
      <c r="A637" t="e">
        <f ca="1">BDP("88035RA5 Muni","ID_CUSIP")</f>
        <v>#NAME?</v>
      </c>
      <c r="B637" t="e">
        <f ca="1">BDP("88035RA5 Muni","STATE_CODE")</f>
        <v>#NAME?</v>
      </c>
      <c r="C637" t="s">
        <v>25</v>
      </c>
      <c r="D637" t="e">
        <f ca="1">BDP("88035RA5 Muni","YIELD_ON_ISSUE_DATE")</f>
        <v>#NAME?</v>
      </c>
      <c r="E637">
        <v>8000000</v>
      </c>
      <c r="F637" t="e">
        <f ca="1">BDP("88035RA5 Muni","ISSUE_DT")</f>
        <v>#NAME?</v>
      </c>
      <c r="G637" t="e">
        <f ca="1">BDP("88035RA5 Muni","MATURITY")</f>
        <v>#NAME?</v>
      </c>
      <c r="H637" t="e">
        <f ca="1">BDP("88035RA5 Muni","MUNI_TAX_PROV")</f>
        <v>#NAME?</v>
      </c>
      <c r="I637" t="e">
        <f ca="1">BDP("88035RA5 Muni","FINANCING_TYPE")</f>
        <v>#NAME?</v>
      </c>
      <c r="J637" t="e">
        <f ca="1">BDP("88035RA5 Muni","BICS_LEVEL_2_INDUSTRY_GROUP_NAME")</f>
        <v>#NAME?</v>
      </c>
      <c r="K637" t="e">
        <f ca="1">BDP("88035RA5 Muni","SELF_REPRTD_GREEN_INSTR_INDCTR")</f>
        <v>#NAME?</v>
      </c>
      <c r="L637" t="e">
        <f ca="1">BDP("88035RA5 Muni","GB_MANAGEMENT_PROCEEDS")</f>
        <v>#NAME?</v>
      </c>
      <c r="M637" t="e">
        <f ca="1">BDP("88035RA5 Muni","GB_REPORTING")</f>
        <v>#NAME?</v>
      </c>
      <c r="N637" t="e">
        <f ca="1">BDP("88035RA5 Muni","GB_ASSURANCE_PROVIDERS")</f>
        <v>#NAME?</v>
      </c>
      <c r="O637" t="e">
        <f ca="1">BDP("88035RA5 Muni","GB_PROJECT_SELECTION_PROCESS")</f>
        <v>#NAME?</v>
      </c>
      <c r="P637" t="e">
        <f ca="1">BDP("88035RA5 Muni","ESG_FRAMEWORK_INDICATOR")</f>
        <v>#NAME?</v>
      </c>
      <c r="Q637" t="e">
        <f ca="1">BDP("88035RA5 Muni","BLOOMBERG_SECTOR_CODE")</f>
        <v>#NAME?</v>
      </c>
      <c r="R637" t="e">
        <f ca="1">BDP("88035RA5 Muni","ISSUER_TYPE")</f>
        <v>#NAME?</v>
      </c>
      <c r="S637" t="e">
        <f ca="1">BDS("88035RA5 Muni","ESG_PROJECT_CATEGORY", "aggregate=y")</f>
        <v>#NAME?</v>
      </c>
      <c r="T637" t="e">
        <f ca="1">BDS("88035RA5 Muni","ESG_PROJECT_SUBCATEGORY", "aggregate=y")</f>
        <v>#NAME?</v>
      </c>
    </row>
    <row r="638" spans="1:20" x14ac:dyDescent="0.25">
      <c r="A638" t="e">
        <f ca="1">BDP("04780M2L Muni","ID_CUSIP")</f>
        <v>#NAME?</v>
      </c>
      <c r="B638" t="e">
        <f ca="1">BDP("04780M2L Muni","STATE_CODE")</f>
        <v>#NAME?</v>
      </c>
      <c r="C638" t="s">
        <v>48</v>
      </c>
      <c r="D638" t="e">
        <f ca="1">BDP("04780M2L Muni","YIELD_ON_ISSUE_DATE")</f>
        <v>#NAME?</v>
      </c>
      <c r="E638">
        <v>16740000</v>
      </c>
      <c r="F638" t="e">
        <f ca="1">BDP("04780M2L Muni","ISSUE_DT")</f>
        <v>#NAME?</v>
      </c>
      <c r="G638" t="e">
        <f ca="1">BDP("04780M2L Muni","MATURITY")</f>
        <v>#NAME?</v>
      </c>
      <c r="H638" t="e">
        <f ca="1">BDP("04780M2L Muni","MUNI_TAX_PROV")</f>
        <v>#NAME?</v>
      </c>
      <c r="I638" t="e">
        <f ca="1">BDP("04780M2L Muni","FINANCING_TYPE")</f>
        <v>#NAME?</v>
      </c>
      <c r="J638" t="e">
        <f ca="1">BDP("04780M2L Muni","BICS_LEVEL_2_INDUSTRY_GROUP_NAME")</f>
        <v>#NAME?</v>
      </c>
      <c r="K638" t="e">
        <f ca="1">BDP("04780M2L Muni","SELF_REPRTD_GREEN_INSTR_INDCTR")</f>
        <v>#NAME?</v>
      </c>
      <c r="L638" t="e">
        <f ca="1">BDP("04780M2L Muni","GB_MANAGEMENT_PROCEEDS")</f>
        <v>#NAME?</v>
      </c>
      <c r="M638" t="e">
        <f ca="1">BDP("04780M2L Muni","GB_REPORTING")</f>
        <v>#NAME?</v>
      </c>
      <c r="N638" t="e">
        <f ca="1">BDP("04780M2L Muni","GB_ASSURANCE_PROVIDERS")</f>
        <v>#NAME?</v>
      </c>
      <c r="O638" t="e">
        <f ca="1">BDP("04780M2L Muni","GB_PROJECT_SELECTION_PROCESS")</f>
        <v>#NAME?</v>
      </c>
      <c r="P638" t="e">
        <f ca="1">BDP("04780M2L Muni","ESG_FRAMEWORK_INDICATOR")</f>
        <v>#NAME?</v>
      </c>
      <c r="Q638" t="e">
        <f ca="1">BDP("04780M2L Muni","BLOOMBERG_SECTOR_CODE")</f>
        <v>#NAME?</v>
      </c>
      <c r="R638" t="e">
        <f ca="1">BDP("04780M2L Muni","ISSUER_TYPE")</f>
        <v>#NAME?</v>
      </c>
      <c r="S638" t="e">
        <f ca="1">BDS("04780M2L Muni","ESG_PROJECT_CATEGORY", "aggregate=y")</f>
        <v>#NAME?</v>
      </c>
      <c r="T638" t="e">
        <f ca="1">BDS("04780M2L Muni","ESG_PROJECT_SUBCATEGORY", "aggregate=y")</f>
        <v>#NAME?</v>
      </c>
    </row>
    <row r="639" spans="1:20" x14ac:dyDescent="0.25">
      <c r="A639" t="e">
        <f ca="1">BDP("04780M2M Muni","ID_CUSIP")</f>
        <v>#NAME?</v>
      </c>
      <c r="B639" t="e">
        <f ca="1">BDP("04780M2M Muni","STATE_CODE")</f>
        <v>#NAME?</v>
      </c>
      <c r="C639" t="s">
        <v>48</v>
      </c>
      <c r="D639" t="e">
        <f ca="1">BDP("04780M2M Muni","YIELD_ON_ISSUE_DATE")</f>
        <v>#NAME?</v>
      </c>
      <c r="E639">
        <v>17575000</v>
      </c>
      <c r="F639" t="e">
        <f ca="1">BDP("04780M2M Muni","ISSUE_DT")</f>
        <v>#NAME?</v>
      </c>
      <c r="G639" t="e">
        <f ca="1">BDP("04780M2M Muni","MATURITY")</f>
        <v>#NAME?</v>
      </c>
      <c r="H639" t="e">
        <f ca="1">BDP("04780M2M Muni","MUNI_TAX_PROV")</f>
        <v>#NAME?</v>
      </c>
      <c r="I639" t="e">
        <f ca="1">BDP("04780M2M Muni","FINANCING_TYPE")</f>
        <v>#NAME?</v>
      </c>
      <c r="J639" t="e">
        <f ca="1">BDP("04780M2M Muni","BICS_LEVEL_2_INDUSTRY_GROUP_NAME")</f>
        <v>#NAME?</v>
      </c>
      <c r="K639" t="e">
        <f ca="1">BDP("04780M2M Muni","SELF_REPRTD_GREEN_INSTR_INDCTR")</f>
        <v>#NAME?</v>
      </c>
      <c r="L639" t="e">
        <f ca="1">BDP("04780M2M Muni","GB_MANAGEMENT_PROCEEDS")</f>
        <v>#NAME?</v>
      </c>
      <c r="M639" t="e">
        <f ca="1">BDP("04780M2M Muni","GB_REPORTING")</f>
        <v>#NAME?</v>
      </c>
      <c r="N639" t="e">
        <f ca="1">BDP("04780M2M Muni","GB_ASSURANCE_PROVIDERS")</f>
        <v>#NAME?</v>
      </c>
      <c r="O639" t="e">
        <f ca="1">BDP("04780M2M Muni","GB_PROJECT_SELECTION_PROCESS")</f>
        <v>#NAME?</v>
      </c>
      <c r="P639" t="e">
        <f ca="1">BDP("04780M2M Muni","ESG_FRAMEWORK_INDICATOR")</f>
        <v>#NAME?</v>
      </c>
      <c r="Q639" t="e">
        <f ca="1">BDP("04780M2M Muni","BLOOMBERG_SECTOR_CODE")</f>
        <v>#NAME?</v>
      </c>
      <c r="R639" t="e">
        <f ca="1">BDP("04780M2M Muni","ISSUER_TYPE")</f>
        <v>#NAME?</v>
      </c>
      <c r="S639" t="e">
        <f ca="1">BDS("04780M2M Muni","ESG_PROJECT_CATEGORY", "aggregate=y")</f>
        <v>#NAME?</v>
      </c>
      <c r="T639" t="e">
        <f ca="1">BDS("04780M2M Muni","ESG_PROJECT_SUBCATEGORY", "aggregate=y")</f>
        <v>#NAME?</v>
      </c>
    </row>
    <row r="640" spans="1:20" x14ac:dyDescent="0.25">
      <c r="A640" t="e">
        <f ca="1">BDP("04780M2P Muni","ID_CUSIP")</f>
        <v>#NAME?</v>
      </c>
      <c r="B640" t="e">
        <f ca="1">BDP("04780M2P Muni","STATE_CODE")</f>
        <v>#NAME?</v>
      </c>
      <c r="C640" t="s">
        <v>48</v>
      </c>
      <c r="D640" t="e">
        <f ca="1">BDP("04780M2P Muni","YIELD_ON_ISSUE_DATE")</f>
        <v>#NAME?</v>
      </c>
      <c r="E640">
        <v>19380000</v>
      </c>
      <c r="F640" t="e">
        <f ca="1">BDP("04780M2P Muni","ISSUE_DT")</f>
        <v>#NAME?</v>
      </c>
      <c r="G640" t="e">
        <f ca="1">BDP("04780M2P Muni","MATURITY")</f>
        <v>#NAME?</v>
      </c>
      <c r="H640" t="e">
        <f ca="1">BDP("04780M2P Muni","MUNI_TAX_PROV")</f>
        <v>#NAME?</v>
      </c>
      <c r="I640" t="e">
        <f ca="1">BDP("04780M2P Muni","FINANCING_TYPE")</f>
        <v>#NAME?</v>
      </c>
      <c r="J640" t="e">
        <f ca="1">BDP("04780M2P Muni","BICS_LEVEL_2_INDUSTRY_GROUP_NAME")</f>
        <v>#NAME?</v>
      </c>
      <c r="K640" t="e">
        <f ca="1">BDP("04780M2P Muni","SELF_REPRTD_GREEN_INSTR_INDCTR")</f>
        <v>#NAME?</v>
      </c>
      <c r="L640" t="e">
        <f ca="1">BDP("04780M2P Muni","GB_MANAGEMENT_PROCEEDS")</f>
        <v>#NAME?</v>
      </c>
      <c r="M640" t="e">
        <f ca="1">BDP("04780M2P Muni","GB_REPORTING")</f>
        <v>#NAME?</v>
      </c>
      <c r="N640" t="e">
        <f ca="1">BDP("04780M2P Muni","GB_ASSURANCE_PROVIDERS")</f>
        <v>#NAME?</v>
      </c>
      <c r="O640" t="e">
        <f ca="1">BDP("04780M2P Muni","GB_PROJECT_SELECTION_PROCESS")</f>
        <v>#NAME?</v>
      </c>
      <c r="P640" t="e">
        <f ca="1">BDP("04780M2P Muni","ESG_FRAMEWORK_INDICATOR")</f>
        <v>#NAME?</v>
      </c>
      <c r="Q640" t="e">
        <f ca="1">BDP("04780M2P Muni","BLOOMBERG_SECTOR_CODE")</f>
        <v>#NAME?</v>
      </c>
      <c r="R640" t="e">
        <f ca="1">BDP("04780M2P Muni","ISSUER_TYPE")</f>
        <v>#NAME?</v>
      </c>
      <c r="S640" t="e">
        <f ca="1">BDS("04780M2P Muni","ESG_PROJECT_CATEGORY", "aggregate=y")</f>
        <v>#NAME?</v>
      </c>
      <c r="T640" t="e">
        <f ca="1">BDS("04780M2P Muni","ESG_PROJECT_SUBCATEGORY", "aggregate=y")</f>
        <v>#NAME?</v>
      </c>
    </row>
    <row r="641" spans="1:20" x14ac:dyDescent="0.25">
      <c r="A641" t="e">
        <f ca="1">BDP("04780M3D Muni","ID_CUSIP")</f>
        <v>#NAME?</v>
      </c>
      <c r="B641" t="e">
        <f ca="1">BDP("04780M3D Muni","STATE_CODE")</f>
        <v>#NAME?</v>
      </c>
      <c r="C641" t="s">
        <v>48</v>
      </c>
      <c r="D641" t="e">
        <f ca="1">BDP("04780M3D Muni","YIELD_ON_ISSUE_DATE")</f>
        <v>#NAME?</v>
      </c>
      <c r="E641">
        <v>266510000</v>
      </c>
      <c r="F641" t="e">
        <f ca="1">BDP("04780M3D Muni","ISSUE_DT")</f>
        <v>#NAME?</v>
      </c>
      <c r="G641" t="e">
        <f ca="1">BDP("04780M3D Muni","MATURITY")</f>
        <v>#NAME?</v>
      </c>
      <c r="H641" t="e">
        <f ca="1">BDP("04780M3D Muni","MUNI_TAX_PROV")</f>
        <v>#NAME?</v>
      </c>
      <c r="I641" t="e">
        <f ca="1">BDP("04780M3D Muni","FINANCING_TYPE")</f>
        <v>#NAME?</v>
      </c>
      <c r="J641" t="e">
        <f ca="1">BDP("04780M3D Muni","BICS_LEVEL_2_INDUSTRY_GROUP_NAME")</f>
        <v>#NAME?</v>
      </c>
      <c r="K641" t="e">
        <f ca="1">BDP("04780M3D Muni","SELF_REPRTD_GREEN_INSTR_INDCTR")</f>
        <v>#NAME?</v>
      </c>
      <c r="L641" t="e">
        <f ca="1">BDP("04780M3D Muni","GB_MANAGEMENT_PROCEEDS")</f>
        <v>#NAME?</v>
      </c>
      <c r="M641" t="e">
        <f ca="1">BDP("04780M3D Muni","GB_REPORTING")</f>
        <v>#NAME?</v>
      </c>
      <c r="N641" t="e">
        <f ca="1">BDP("04780M3D Muni","GB_ASSURANCE_PROVIDERS")</f>
        <v>#NAME?</v>
      </c>
      <c r="O641" t="e">
        <f ca="1">BDP("04780M3D Muni","GB_PROJECT_SELECTION_PROCESS")</f>
        <v>#NAME?</v>
      </c>
      <c r="P641" t="e">
        <f ca="1">BDP("04780M3D Muni","ESG_FRAMEWORK_INDICATOR")</f>
        <v>#NAME?</v>
      </c>
      <c r="Q641" t="e">
        <f ca="1">BDP("04780M3D Muni","BLOOMBERG_SECTOR_CODE")</f>
        <v>#NAME?</v>
      </c>
      <c r="R641" t="e">
        <f ca="1">BDP("04780M3D Muni","ISSUER_TYPE")</f>
        <v>#NAME?</v>
      </c>
      <c r="S641" t="e">
        <f ca="1">BDS("04780M3D Muni","ESG_PROJECT_CATEGORY", "aggregate=y")</f>
        <v>#NAME?</v>
      </c>
      <c r="T641" t="e">
        <f ca="1">BDS("04780M3D Muni","ESG_PROJECT_SUBCATEGORY", "aggregate=y")</f>
        <v>#NAME?</v>
      </c>
    </row>
    <row r="642" spans="1:20" x14ac:dyDescent="0.25">
      <c r="A642" t="e">
        <f ca="1">BDP("591746CH Muni","ID_CUSIP")</f>
        <v>#NAME?</v>
      </c>
      <c r="B642" t="e">
        <f ca="1">BDP("591746CH Muni","STATE_CODE")</f>
        <v>#NAME?</v>
      </c>
      <c r="C642" t="s">
        <v>47</v>
      </c>
      <c r="D642" t="e">
        <f ca="1">BDP("591746CH Muni","YIELD_ON_ISSUE_DATE")</f>
        <v>#NAME?</v>
      </c>
      <c r="E642">
        <v>21460000</v>
      </c>
      <c r="F642" t="e">
        <f ca="1">BDP("591746CH Muni","ISSUE_DT")</f>
        <v>#NAME?</v>
      </c>
      <c r="G642" t="e">
        <f ca="1">BDP("591746CH Muni","MATURITY")</f>
        <v>#NAME?</v>
      </c>
      <c r="H642" t="e">
        <f ca="1">BDP("591746CH Muni","MUNI_TAX_PROV")</f>
        <v>#NAME?</v>
      </c>
      <c r="I642" t="e">
        <f ca="1">BDP("591746CH Muni","FINANCING_TYPE")</f>
        <v>#NAME?</v>
      </c>
      <c r="J642" t="e">
        <f ca="1">BDP("591746CH Muni","BICS_LEVEL_2_INDUSTRY_GROUP_NAME")</f>
        <v>#NAME?</v>
      </c>
      <c r="K642" t="e">
        <f ca="1">BDP("591746CH Muni","SELF_REPRTD_GREEN_INSTR_INDCTR")</f>
        <v>#NAME?</v>
      </c>
      <c r="L642" t="e">
        <f ca="1">BDP("591746CH Muni","GB_MANAGEMENT_PROCEEDS")</f>
        <v>#NAME?</v>
      </c>
      <c r="M642" t="e">
        <f ca="1">BDP("591746CH Muni","GB_REPORTING")</f>
        <v>#NAME?</v>
      </c>
      <c r="N642" t="e">
        <f ca="1">BDP("591746CH Muni","GB_ASSURANCE_PROVIDERS")</f>
        <v>#NAME?</v>
      </c>
      <c r="O642" t="e">
        <f ca="1">BDP("591746CH Muni","GB_PROJECT_SELECTION_PROCESS")</f>
        <v>#NAME?</v>
      </c>
      <c r="P642" t="e">
        <f ca="1">BDP("591746CH Muni","ESG_FRAMEWORK_INDICATOR")</f>
        <v>#NAME?</v>
      </c>
      <c r="Q642" t="e">
        <f ca="1">BDP("591746CH Muni","BLOOMBERG_SECTOR_CODE")</f>
        <v>#NAME?</v>
      </c>
      <c r="R642" t="e">
        <f ca="1">BDP("591746CH Muni","ISSUER_TYPE")</f>
        <v>#NAME?</v>
      </c>
      <c r="S642" t="e">
        <f ca="1">BDS("591746CH Muni","ESG_PROJECT_CATEGORY", "aggregate=y")</f>
        <v>#NAME?</v>
      </c>
      <c r="T642" t="e">
        <f ca="1">BDS("591746CH Muni","ESG_PROJECT_SUBCATEGORY", "aggregate=y")</f>
        <v>#NAME?</v>
      </c>
    </row>
    <row r="643" spans="1:20" x14ac:dyDescent="0.25">
      <c r="A643" t="e">
        <f ca="1">BDP("591746CL Muni","ID_CUSIP")</f>
        <v>#NAME?</v>
      </c>
      <c r="B643" t="e">
        <f ca="1">BDP("591746CL Muni","STATE_CODE")</f>
        <v>#NAME?</v>
      </c>
      <c r="C643" t="s">
        <v>47</v>
      </c>
      <c r="D643" t="e">
        <f ca="1">BDP("591746CL Muni","YIELD_ON_ISSUE_DATE")</f>
        <v>#NAME?</v>
      </c>
      <c r="E643">
        <v>24015000</v>
      </c>
      <c r="F643" t="e">
        <f ca="1">BDP("591746CL Muni","ISSUE_DT")</f>
        <v>#NAME?</v>
      </c>
      <c r="G643" t="e">
        <f ca="1">BDP("591746CL Muni","MATURITY")</f>
        <v>#NAME?</v>
      </c>
      <c r="H643" t="e">
        <f ca="1">BDP("591746CL Muni","MUNI_TAX_PROV")</f>
        <v>#NAME?</v>
      </c>
      <c r="I643" t="e">
        <f ca="1">BDP("591746CL Muni","FINANCING_TYPE")</f>
        <v>#NAME?</v>
      </c>
      <c r="J643" t="e">
        <f ca="1">BDP("591746CL Muni","BICS_LEVEL_2_INDUSTRY_GROUP_NAME")</f>
        <v>#NAME?</v>
      </c>
      <c r="K643" t="e">
        <f ca="1">BDP("591746CL Muni","SELF_REPRTD_GREEN_INSTR_INDCTR")</f>
        <v>#NAME?</v>
      </c>
      <c r="L643" t="e">
        <f ca="1">BDP("591746CL Muni","GB_MANAGEMENT_PROCEEDS")</f>
        <v>#NAME?</v>
      </c>
      <c r="M643" t="e">
        <f ca="1">BDP("591746CL Muni","GB_REPORTING")</f>
        <v>#NAME?</v>
      </c>
      <c r="N643" t="e">
        <f ca="1">BDP("591746CL Muni","GB_ASSURANCE_PROVIDERS")</f>
        <v>#NAME?</v>
      </c>
      <c r="O643" t="e">
        <f ca="1">BDP("591746CL Muni","GB_PROJECT_SELECTION_PROCESS")</f>
        <v>#NAME?</v>
      </c>
      <c r="P643" t="e">
        <f ca="1">BDP("591746CL Muni","ESG_FRAMEWORK_INDICATOR")</f>
        <v>#NAME?</v>
      </c>
      <c r="Q643" t="e">
        <f ca="1">BDP("591746CL Muni","BLOOMBERG_SECTOR_CODE")</f>
        <v>#NAME?</v>
      </c>
      <c r="R643" t="e">
        <f ca="1">BDP("591746CL Muni","ISSUER_TYPE")</f>
        <v>#NAME?</v>
      </c>
      <c r="S643" t="e">
        <f ca="1">BDS("591746CL Muni","ESG_PROJECT_CATEGORY", "aggregate=y")</f>
        <v>#NAME?</v>
      </c>
      <c r="T643" t="e">
        <f ca="1">BDS("591746CL Muni","ESG_PROJECT_SUBCATEGORY", "aggregate=y")</f>
        <v>#NAME?</v>
      </c>
    </row>
    <row r="644" spans="1:20" x14ac:dyDescent="0.25">
      <c r="A644" t="e">
        <f ca="1">BDP("04780M2G Muni","ID_CUSIP")</f>
        <v>#NAME?</v>
      </c>
      <c r="B644" t="e">
        <f ca="1">BDP("04780M2G Muni","STATE_CODE")</f>
        <v>#NAME?</v>
      </c>
      <c r="C644" t="s">
        <v>48</v>
      </c>
      <c r="D644" t="e">
        <f ca="1">BDP("04780M2G Muni","YIELD_ON_ISSUE_DATE")</f>
        <v>#NAME?</v>
      </c>
      <c r="E644">
        <v>4880000</v>
      </c>
      <c r="F644" t="e">
        <f ca="1">BDP("04780M2G Muni","ISSUE_DT")</f>
        <v>#NAME?</v>
      </c>
      <c r="G644" t="e">
        <f ca="1">BDP("04780M2G Muni","MATURITY")</f>
        <v>#NAME?</v>
      </c>
      <c r="H644" t="e">
        <f ca="1">BDP("04780M2G Muni","MUNI_TAX_PROV")</f>
        <v>#NAME?</v>
      </c>
      <c r="I644" t="e">
        <f ca="1">BDP("04780M2G Muni","FINANCING_TYPE")</f>
        <v>#NAME?</v>
      </c>
      <c r="J644" t="e">
        <f ca="1">BDP("04780M2G Muni","BICS_LEVEL_2_INDUSTRY_GROUP_NAME")</f>
        <v>#NAME?</v>
      </c>
      <c r="K644" t="e">
        <f ca="1">BDP("04780M2G Muni","SELF_REPRTD_GREEN_INSTR_INDCTR")</f>
        <v>#NAME?</v>
      </c>
      <c r="L644" t="e">
        <f ca="1">BDP("04780M2G Muni","GB_MANAGEMENT_PROCEEDS")</f>
        <v>#NAME?</v>
      </c>
      <c r="M644" t="e">
        <f ca="1">BDP("04780M2G Muni","GB_REPORTING")</f>
        <v>#NAME?</v>
      </c>
      <c r="N644" t="e">
        <f ca="1">BDP("04780M2G Muni","GB_ASSURANCE_PROVIDERS")</f>
        <v>#NAME?</v>
      </c>
      <c r="O644" t="e">
        <f ca="1">BDP("04780M2G Muni","GB_PROJECT_SELECTION_PROCESS")</f>
        <v>#NAME?</v>
      </c>
      <c r="P644" t="e">
        <f ca="1">BDP("04780M2G Muni","ESG_FRAMEWORK_INDICATOR")</f>
        <v>#NAME?</v>
      </c>
      <c r="Q644" t="e">
        <f ca="1">BDP("04780M2G Muni","BLOOMBERG_SECTOR_CODE")</f>
        <v>#NAME?</v>
      </c>
      <c r="R644" t="e">
        <f ca="1">BDP("04780M2G Muni","ISSUER_TYPE")</f>
        <v>#NAME?</v>
      </c>
      <c r="S644" t="e">
        <f ca="1">BDS("04780M2G Muni","ESG_PROJECT_CATEGORY", "aggregate=y")</f>
        <v>#NAME?</v>
      </c>
      <c r="T644" t="e">
        <f ca="1">BDS("04780M2G Muni","ESG_PROJECT_SUBCATEGORY", "aggregate=y")</f>
        <v>#NAME?</v>
      </c>
    </row>
    <row r="645" spans="1:20" x14ac:dyDescent="0.25">
      <c r="A645" t="e">
        <f ca="1">BDP("04780M2H Muni","ID_CUSIP")</f>
        <v>#NAME?</v>
      </c>
      <c r="B645" t="e">
        <f ca="1">BDP("04780M2H Muni","STATE_CODE")</f>
        <v>#NAME?</v>
      </c>
      <c r="C645" t="s">
        <v>48</v>
      </c>
      <c r="D645" t="e">
        <f ca="1">BDP("04780M2H Muni","YIELD_ON_ISSUE_DATE")</f>
        <v>#NAME?</v>
      </c>
      <c r="E645">
        <v>11355000</v>
      </c>
      <c r="F645" t="e">
        <f ca="1">BDP("04780M2H Muni","ISSUE_DT")</f>
        <v>#NAME?</v>
      </c>
      <c r="G645" t="e">
        <f ca="1">BDP("04780M2H Muni","MATURITY")</f>
        <v>#NAME?</v>
      </c>
      <c r="H645" t="e">
        <f ca="1">BDP("04780M2H Muni","MUNI_TAX_PROV")</f>
        <v>#NAME?</v>
      </c>
      <c r="I645" t="e">
        <f ca="1">BDP("04780M2H Muni","FINANCING_TYPE")</f>
        <v>#NAME?</v>
      </c>
      <c r="J645" t="e">
        <f ca="1">BDP("04780M2H Muni","BICS_LEVEL_2_INDUSTRY_GROUP_NAME")</f>
        <v>#NAME?</v>
      </c>
      <c r="K645" t="e">
        <f ca="1">BDP("04780M2H Muni","SELF_REPRTD_GREEN_INSTR_INDCTR")</f>
        <v>#NAME?</v>
      </c>
      <c r="L645" t="e">
        <f ca="1">BDP("04780M2H Muni","GB_MANAGEMENT_PROCEEDS")</f>
        <v>#NAME?</v>
      </c>
      <c r="M645" t="e">
        <f ca="1">BDP("04780M2H Muni","GB_REPORTING")</f>
        <v>#NAME?</v>
      </c>
      <c r="N645" t="e">
        <f ca="1">BDP("04780M2H Muni","GB_ASSURANCE_PROVIDERS")</f>
        <v>#NAME?</v>
      </c>
      <c r="O645" t="e">
        <f ca="1">BDP("04780M2H Muni","GB_PROJECT_SELECTION_PROCESS")</f>
        <v>#NAME?</v>
      </c>
      <c r="P645" t="e">
        <f ca="1">BDP("04780M2H Muni","ESG_FRAMEWORK_INDICATOR")</f>
        <v>#NAME?</v>
      </c>
      <c r="Q645" t="e">
        <f ca="1">BDP("04780M2H Muni","BLOOMBERG_SECTOR_CODE")</f>
        <v>#NAME?</v>
      </c>
      <c r="R645" t="e">
        <f ca="1">BDP("04780M2H Muni","ISSUER_TYPE")</f>
        <v>#NAME?</v>
      </c>
      <c r="S645" t="e">
        <f ca="1">BDS("04780M2H Muni","ESG_PROJECT_CATEGORY", "aggregate=y")</f>
        <v>#NAME?</v>
      </c>
      <c r="T645" t="e">
        <f ca="1">BDS("04780M2H Muni","ESG_PROJECT_SUBCATEGORY", "aggregate=y")</f>
        <v>#NAME?</v>
      </c>
    </row>
    <row r="646" spans="1:20" x14ac:dyDescent="0.25">
      <c r="A646" t="e">
        <f ca="1">BDP("04780M2J Muni","ID_CUSIP")</f>
        <v>#NAME?</v>
      </c>
      <c r="B646" t="e">
        <f ca="1">BDP("04780M2J Muni","STATE_CODE")</f>
        <v>#NAME?</v>
      </c>
      <c r="C646" t="s">
        <v>48</v>
      </c>
      <c r="D646" t="e">
        <f ca="1">BDP("04780M2J Muni","YIELD_ON_ISSUE_DATE")</f>
        <v>#NAME?</v>
      </c>
      <c r="E646">
        <v>13830000</v>
      </c>
      <c r="F646" t="e">
        <f ca="1">BDP("04780M2J Muni","ISSUE_DT")</f>
        <v>#NAME?</v>
      </c>
      <c r="G646" t="e">
        <f ca="1">BDP("04780M2J Muni","MATURITY")</f>
        <v>#NAME?</v>
      </c>
      <c r="H646" t="e">
        <f ca="1">BDP("04780M2J Muni","MUNI_TAX_PROV")</f>
        <v>#NAME?</v>
      </c>
      <c r="I646" t="e">
        <f ca="1">BDP("04780M2J Muni","FINANCING_TYPE")</f>
        <v>#NAME?</v>
      </c>
      <c r="J646" t="e">
        <f ca="1">BDP("04780M2J Muni","BICS_LEVEL_2_INDUSTRY_GROUP_NAME")</f>
        <v>#NAME?</v>
      </c>
      <c r="K646" t="e">
        <f ca="1">BDP("04780M2J Muni","SELF_REPRTD_GREEN_INSTR_INDCTR")</f>
        <v>#NAME?</v>
      </c>
      <c r="L646" t="e">
        <f ca="1">BDP("04780M2J Muni","GB_MANAGEMENT_PROCEEDS")</f>
        <v>#NAME?</v>
      </c>
      <c r="M646" t="e">
        <f ca="1">BDP("04780M2J Muni","GB_REPORTING")</f>
        <v>#NAME?</v>
      </c>
      <c r="N646" t="e">
        <f ca="1">BDP("04780M2J Muni","GB_ASSURANCE_PROVIDERS")</f>
        <v>#NAME?</v>
      </c>
      <c r="O646" t="e">
        <f ca="1">BDP("04780M2J Muni","GB_PROJECT_SELECTION_PROCESS")</f>
        <v>#NAME?</v>
      </c>
      <c r="P646" t="e">
        <f ca="1">BDP("04780M2J Muni","ESG_FRAMEWORK_INDICATOR")</f>
        <v>#NAME?</v>
      </c>
      <c r="Q646" t="e">
        <f ca="1">BDP("04780M2J Muni","BLOOMBERG_SECTOR_CODE")</f>
        <v>#NAME?</v>
      </c>
      <c r="R646" t="e">
        <f ca="1">BDP("04780M2J Muni","ISSUER_TYPE")</f>
        <v>#NAME?</v>
      </c>
      <c r="S646" t="e">
        <f ca="1">BDS("04780M2J Muni","ESG_PROJECT_CATEGORY", "aggregate=y")</f>
        <v>#NAME?</v>
      </c>
      <c r="T646" t="e">
        <f ca="1">BDS("04780M2J Muni","ESG_PROJECT_SUBCATEGORY", "aggregate=y")</f>
        <v>#NAME?</v>
      </c>
    </row>
    <row r="647" spans="1:20" x14ac:dyDescent="0.25">
      <c r="A647" t="e">
        <f ca="1">BDP("04780M2U Muni","ID_CUSIP")</f>
        <v>#NAME?</v>
      </c>
      <c r="B647" t="e">
        <f ca="1">BDP("04780M2U Muni","STATE_CODE")</f>
        <v>#NAME?</v>
      </c>
      <c r="C647" t="s">
        <v>48</v>
      </c>
      <c r="D647" t="e">
        <f ca="1">BDP("04780M2U Muni","YIELD_ON_ISSUE_DATE")</f>
        <v>#NAME?</v>
      </c>
      <c r="E647">
        <v>24730000</v>
      </c>
      <c r="F647" t="e">
        <f ca="1">BDP("04780M2U Muni","ISSUE_DT")</f>
        <v>#NAME?</v>
      </c>
      <c r="G647" t="e">
        <f ca="1">BDP("04780M2U Muni","MATURITY")</f>
        <v>#NAME?</v>
      </c>
      <c r="H647" t="e">
        <f ca="1">BDP("04780M2U Muni","MUNI_TAX_PROV")</f>
        <v>#NAME?</v>
      </c>
      <c r="I647" t="e">
        <f ca="1">BDP("04780M2U Muni","FINANCING_TYPE")</f>
        <v>#NAME?</v>
      </c>
      <c r="J647" t="e">
        <f ca="1">BDP("04780M2U Muni","BICS_LEVEL_2_INDUSTRY_GROUP_NAME")</f>
        <v>#NAME?</v>
      </c>
      <c r="K647" t="e">
        <f ca="1">BDP("04780M2U Muni","SELF_REPRTD_GREEN_INSTR_INDCTR")</f>
        <v>#NAME?</v>
      </c>
      <c r="L647" t="e">
        <f ca="1">BDP("04780M2U Muni","GB_MANAGEMENT_PROCEEDS")</f>
        <v>#NAME?</v>
      </c>
      <c r="M647" t="e">
        <f ca="1">BDP("04780M2U Muni","GB_REPORTING")</f>
        <v>#NAME?</v>
      </c>
      <c r="N647" t="e">
        <f ca="1">BDP("04780M2U Muni","GB_ASSURANCE_PROVIDERS")</f>
        <v>#NAME?</v>
      </c>
      <c r="O647" t="e">
        <f ca="1">BDP("04780M2U Muni","GB_PROJECT_SELECTION_PROCESS")</f>
        <v>#NAME?</v>
      </c>
      <c r="P647" t="e">
        <f ca="1">BDP("04780M2U Muni","ESG_FRAMEWORK_INDICATOR")</f>
        <v>#NAME?</v>
      </c>
      <c r="Q647" t="e">
        <f ca="1">BDP("04780M2U Muni","BLOOMBERG_SECTOR_CODE")</f>
        <v>#NAME?</v>
      </c>
      <c r="R647" t="e">
        <f ca="1">BDP("04780M2U Muni","ISSUER_TYPE")</f>
        <v>#NAME?</v>
      </c>
      <c r="S647" t="e">
        <f ca="1">BDS("04780M2U Muni","ESG_PROJECT_CATEGORY", "aggregate=y")</f>
        <v>#NAME?</v>
      </c>
      <c r="T647" t="e">
        <f ca="1">BDS("04780M2U Muni","ESG_PROJECT_SUBCATEGORY", "aggregate=y")</f>
        <v>#NAME?</v>
      </c>
    </row>
    <row r="648" spans="1:20" x14ac:dyDescent="0.25">
      <c r="A648" t="e">
        <f ca="1">BDP("04780M2X Muni","ID_CUSIP")</f>
        <v>#NAME?</v>
      </c>
      <c r="B648" t="e">
        <f ca="1">BDP("04780M2X Muni","STATE_CODE")</f>
        <v>#NAME?</v>
      </c>
      <c r="C648" t="s">
        <v>48</v>
      </c>
      <c r="D648" t="e">
        <f ca="1">BDP("04780M2X Muni","YIELD_ON_ISSUE_DATE")</f>
        <v>#NAME?</v>
      </c>
      <c r="E648">
        <v>28635000</v>
      </c>
      <c r="F648" t="e">
        <f ca="1">BDP("04780M2X Muni","ISSUE_DT")</f>
        <v>#NAME?</v>
      </c>
      <c r="G648" t="e">
        <f ca="1">BDP("04780M2X Muni","MATURITY")</f>
        <v>#NAME?</v>
      </c>
      <c r="H648" t="e">
        <f ca="1">BDP("04780M2X Muni","MUNI_TAX_PROV")</f>
        <v>#NAME?</v>
      </c>
      <c r="I648" t="e">
        <f ca="1">BDP("04780M2X Muni","FINANCING_TYPE")</f>
        <v>#NAME?</v>
      </c>
      <c r="J648" t="e">
        <f ca="1">BDP("04780M2X Muni","BICS_LEVEL_2_INDUSTRY_GROUP_NAME")</f>
        <v>#NAME?</v>
      </c>
      <c r="K648" t="e">
        <f ca="1">BDP("04780M2X Muni","SELF_REPRTD_GREEN_INSTR_INDCTR")</f>
        <v>#NAME?</v>
      </c>
      <c r="L648" t="e">
        <f ca="1">BDP("04780M2X Muni","GB_MANAGEMENT_PROCEEDS")</f>
        <v>#NAME?</v>
      </c>
      <c r="M648" t="e">
        <f ca="1">BDP("04780M2X Muni","GB_REPORTING")</f>
        <v>#NAME?</v>
      </c>
      <c r="N648" t="e">
        <f ca="1">BDP("04780M2X Muni","GB_ASSURANCE_PROVIDERS")</f>
        <v>#NAME?</v>
      </c>
      <c r="O648" t="e">
        <f ca="1">BDP("04780M2X Muni","GB_PROJECT_SELECTION_PROCESS")</f>
        <v>#NAME?</v>
      </c>
      <c r="P648" t="e">
        <f ca="1">BDP("04780M2X Muni","ESG_FRAMEWORK_INDICATOR")</f>
        <v>#NAME?</v>
      </c>
      <c r="Q648" t="e">
        <f ca="1">BDP("04780M2X Muni","BLOOMBERG_SECTOR_CODE")</f>
        <v>#NAME?</v>
      </c>
      <c r="R648" t="e">
        <f ca="1">BDP("04780M2X Muni","ISSUER_TYPE")</f>
        <v>#NAME?</v>
      </c>
      <c r="S648" t="e">
        <f ca="1">BDS("04780M2X Muni","ESG_PROJECT_CATEGORY", "aggregate=y")</f>
        <v>#NAME?</v>
      </c>
      <c r="T648" t="e">
        <f ca="1">BDS("04780M2X Muni","ESG_PROJECT_SUBCATEGORY", "aggregate=y")</f>
        <v>#NAME?</v>
      </c>
    </row>
    <row r="649" spans="1:20" x14ac:dyDescent="0.25">
      <c r="A649" t="e">
        <f ca="1">BDP("04780M2Y Muni","ID_CUSIP")</f>
        <v>#NAME?</v>
      </c>
      <c r="B649" t="e">
        <f ca="1">BDP("04780M2Y Muni","STATE_CODE")</f>
        <v>#NAME?</v>
      </c>
      <c r="C649" t="s">
        <v>48</v>
      </c>
      <c r="D649" t="e">
        <f ca="1">BDP("04780M2Y Muni","YIELD_ON_ISSUE_DATE")</f>
        <v>#NAME?</v>
      </c>
      <c r="E649">
        <v>30135000</v>
      </c>
      <c r="F649" t="e">
        <f ca="1">BDP("04780M2Y Muni","ISSUE_DT")</f>
        <v>#NAME?</v>
      </c>
      <c r="G649" t="e">
        <f ca="1">BDP("04780M2Y Muni","MATURITY")</f>
        <v>#NAME?</v>
      </c>
      <c r="H649" t="e">
        <f ca="1">BDP("04780M2Y Muni","MUNI_TAX_PROV")</f>
        <v>#NAME?</v>
      </c>
      <c r="I649" t="e">
        <f ca="1">BDP("04780M2Y Muni","FINANCING_TYPE")</f>
        <v>#NAME?</v>
      </c>
      <c r="J649" t="e">
        <f ca="1">BDP("04780M2Y Muni","BICS_LEVEL_2_INDUSTRY_GROUP_NAME")</f>
        <v>#NAME?</v>
      </c>
      <c r="K649" t="e">
        <f ca="1">BDP("04780M2Y Muni","SELF_REPRTD_GREEN_INSTR_INDCTR")</f>
        <v>#NAME?</v>
      </c>
      <c r="L649" t="e">
        <f ca="1">BDP("04780M2Y Muni","GB_MANAGEMENT_PROCEEDS")</f>
        <v>#NAME?</v>
      </c>
      <c r="M649" t="e">
        <f ca="1">BDP("04780M2Y Muni","GB_REPORTING")</f>
        <v>#NAME?</v>
      </c>
      <c r="N649" t="e">
        <f ca="1">BDP("04780M2Y Muni","GB_ASSURANCE_PROVIDERS")</f>
        <v>#NAME?</v>
      </c>
      <c r="O649" t="e">
        <f ca="1">BDP("04780M2Y Muni","GB_PROJECT_SELECTION_PROCESS")</f>
        <v>#NAME?</v>
      </c>
      <c r="P649" t="e">
        <f ca="1">BDP("04780M2Y Muni","ESG_FRAMEWORK_INDICATOR")</f>
        <v>#NAME?</v>
      </c>
      <c r="Q649" t="e">
        <f ca="1">BDP("04780M2Y Muni","BLOOMBERG_SECTOR_CODE")</f>
        <v>#NAME?</v>
      </c>
      <c r="R649" t="e">
        <f ca="1">BDP("04780M2Y Muni","ISSUER_TYPE")</f>
        <v>#NAME?</v>
      </c>
      <c r="S649" t="e">
        <f ca="1">BDS("04780M2Y Muni","ESG_PROJECT_CATEGORY", "aggregate=y")</f>
        <v>#NAME?</v>
      </c>
      <c r="T649" t="e">
        <f ca="1">BDS("04780M2Y Muni","ESG_PROJECT_SUBCATEGORY", "aggregate=y")</f>
        <v>#NAME?</v>
      </c>
    </row>
    <row r="650" spans="1:20" x14ac:dyDescent="0.25">
      <c r="A650" t="e">
        <f ca="1">BDP("04780M3A Muni","ID_CUSIP")</f>
        <v>#NAME?</v>
      </c>
      <c r="B650" t="e">
        <f ca="1">BDP("04780M3A Muni","STATE_CODE")</f>
        <v>#NAME?</v>
      </c>
      <c r="C650" t="s">
        <v>48</v>
      </c>
      <c r="D650" t="e">
        <f ca="1">BDP("04780M3A Muni","YIELD_ON_ISSUE_DATE")</f>
        <v>#NAME?</v>
      </c>
      <c r="E650">
        <v>33375000</v>
      </c>
      <c r="F650" t="e">
        <f ca="1">BDP("04780M3A Muni","ISSUE_DT")</f>
        <v>#NAME?</v>
      </c>
      <c r="G650" t="e">
        <f ca="1">BDP("04780M3A Muni","MATURITY")</f>
        <v>#NAME?</v>
      </c>
      <c r="H650" t="e">
        <f ca="1">BDP("04780M3A Muni","MUNI_TAX_PROV")</f>
        <v>#NAME?</v>
      </c>
      <c r="I650" t="e">
        <f ca="1">BDP("04780M3A Muni","FINANCING_TYPE")</f>
        <v>#NAME?</v>
      </c>
      <c r="J650" t="e">
        <f ca="1">BDP("04780M3A Muni","BICS_LEVEL_2_INDUSTRY_GROUP_NAME")</f>
        <v>#NAME?</v>
      </c>
      <c r="K650" t="e">
        <f ca="1">BDP("04780M3A Muni","SELF_REPRTD_GREEN_INSTR_INDCTR")</f>
        <v>#NAME?</v>
      </c>
      <c r="L650" t="e">
        <f ca="1">BDP("04780M3A Muni","GB_MANAGEMENT_PROCEEDS")</f>
        <v>#NAME?</v>
      </c>
      <c r="M650" t="e">
        <f ca="1">BDP("04780M3A Muni","GB_REPORTING")</f>
        <v>#NAME?</v>
      </c>
      <c r="N650" t="e">
        <f ca="1">BDP("04780M3A Muni","GB_ASSURANCE_PROVIDERS")</f>
        <v>#NAME?</v>
      </c>
      <c r="O650" t="e">
        <f ca="1">BDP("04780M3A Muni","GB_PROJECT_SELECTION_PROCESS")</f>
        <v>#NAME?</v>
      </c>
      <c r="P650" t="e">
        <f ca="1">BDP("04780M3A Muni","ESG_FRAMEWORK_INDICATOR")</f>
        <v>#NAME?</v>
      </c>
      <c r="Q650" t="e">
        <f ca="1">BDP("04780M3A Muni","BLOOMBERG_SECTOR_CODE")</f>
        <v>#NAME?</v>
      </c>
      <c r="R650" t="e">
        <f ca="1">BDP("04780M3A Muni","ISSUER_TYPE")</f>
        <v>#NAME?</v>
      </c>
      <c r="S650" t="e">
        <f ca="1">BDS("04780M3A Muni","ESG_PROJECT_CATEGORY", "aggregate=y")</f>
        <v>#NAME?</v>
      </c>
      <c r="T650" t="e">
        <f ca="1">BDS("04780M3A Muni","ESG_PROJECT_SUBCATEGORY", "aggregate=y")</f>
        <v>#NAME?</v>
      </c>
    </row>
    <row r="651" spans="1:20" x14ac:dyDescent="0.25">
      <c r="A651" t="e">
        <f ca="1">BDP("04780M3B Muni","ID_CUSIP")</f>
        <v>#NAME?</v>
      </c>
      <c r="B651" t="e">
        <f ca="1">BDP("04780M3B Muni","STATE_CODE")</f>
        <v>#NAME?</v>
      </c>
      <c r="C651" t="s">
        <v>48</v>
      </c>
      <c r="D651" t="e">
        <f ca="1">BDP("04780M3B Muni","YIELD_ON_ISSUE_DATE")</f>
        <v>#NAME?</v>
      </c>
      <c r="E651">
        <v>35130000</v>
      </c>
      <c r="F651" t="e">
        <f ca="1">BDP("04780M3B Muni","ISSUE_DT")</f>
        <v>#NAME?</v>
      </c>
      <c r="G651" t="e">
        <f ca="1">BDP("04780M3B Muni","MATURITY")</f>
        <v>#NAME?</v>
      </c>
      <c r="H651" t="e">
        <f ca="1">BDP("04780M3B Muni","MUNI_TAX_PROV")</f>
        <v>#NAME?</v>
      </c>
      <c r="I651" t="e">
        <f ca="1">BDP("04780M3B Muni","FINANCING_TYPE")</f>
        <v>#NAME?</v>
      </c>
      <c r="J651" t="e">
        <f ca="1">BDP("04780M3B Muni","BICS_LEVEL_2_INDUSTRY_GROUP_NAME")</f>
        <v>#NAME?</v>
      </c>
      <c r="K651" t="e">
        <f ca="1">BDP("04780M3B Muni","SELF_REPRTD_GREEN_INSTR_INDCTR")</f>
        <v>#NAME?</v>
      </c>
      <c r="L651" t="e">
        <f ca="1">BDP("04780M3B Muni","GB_MANAGEMENT_PROCEEDS")</f>
        <v>#NAME?</v>
      </c>
      <c r="M651" t="e">
        <f ca="1">BDP("04780M3B Muni","GB_REPORTING")</f>
        <v>#NAME?</v>
      </c>
      <c r="N651" t="e">
        <f ca="1">BDP("04780M3B Muni","GB_ASSURANCE_PROVIDERS")</f>
        <v>#NAME?</v>
      </c>
      <c r="O651" t="e">
        <f ca="1">BDP("04780M3B Muni","GB_PROJECT_SELECTION_PROCESS")</f>
        <v>#NAME?</v>
      </c>
      <c r="P651" t="e">
        <f ca="1">BDP("04780M3B Muni","ESG_FRAMEWORK_INDICATOR")</f>
        <v>#NAME?</v>
      </c>
      <c r="Q651" t="e">
        <f ca="1">BDP("04780M3B Muni","BLOOMBERG_SECTOR_CODE")</f>
        <v>#NAME?</v>
      </c>
      <c r="R651" t="e">
        <f ca="1">BDP("04780M3B Muni","ISSUER_TYPE")</f>
        <v>#NAME?</v>
      </c>
      <c r="S651" t="e">
        <f ca="1">BDS("04780M3B Muni","ESG_PROJECT_CATEGORY", "aggregate=y")</f>
        <v>#NAME?</v>
      </c>
      <c r="T651" t="e">
        <f ca="1">BDS("04780M3B Muni","ESG_PROJECT_SUBCATEGORY", "aggregate=y")</f>
        <v>#NAME?</v>
      </c>
    </row>
    <row r="652" spans="1:20" x14ac:dyDescent="0.25">
      <c r="A652" t="e">
        <f ca="1">BDP("4387015B Muni","ID_CUSIP")</f>
        <v>#NAME?</v>
      </c>
      <c r="B652" t="e">
        <f ca="1">BDP("4387015B Muni","STATE_CODE")</f>
        <v>#NAME?</v>
      </c>
      <c r="C652" t="s">
        <v>49</v>
      </c>
      <c r="D652" t="e">
        <f ca="1">BDP("4387015B Muni","YIELD_ON_ISSUE_DATE")</f>
        <v>#NAME?</v>
      </c>
      <c r="E652">
        <v>11540000</v>
      </c>
      <c r="F652" t="e">
        <f ca="1">BDP("4387015B Muni","ISSUE_DT")</f>
        <v>#NAME?</v>
      </c>
      <c r="G652" t="e">
        <f ca="1">BDP("4387015B Muni","MATURITY")</f>
        <v>#NAME?</v>
      </c>
      <c r="H652" t="e">
        <f ca="1">BDP("4387015B Muni","MUNI_TAX_PROV")</f>
        <v>#NAME?</v>
      </c>
      <c r="I652" t="e">
        <f ca="1">BDP("4387015B Muni","FINANCING_TYPE")</f>
        <v>#NAME?</v>
      </c>
      <c r="J652" t="e">
        <f ca="1">BDP("4387015B Muni","BICS_LEVEL_2_INDUSTRY_GROUP_NAME")</f>
        <v>#NAME?</v>
      </c>
      <c r="K652" t="e">
        <f ca="1">BDP("4387015B Muni","SELF_REPRTD_GREEN_INSTR_INDCTR")</f>
        <v>#NAME?</v>
      </c>
      <c r="L652" t="e">
        <f ca="1">BDP("4387015B Muni","GB_MANAGEMENT_PROCEEDS")</f>
        <v>#NAME?</v>
      </c>
      <c r="M652" t="e">
        <f ca="1">BDP("4387015B Muni","GB_REPORTING")</f>
        <v>#NAME?</v>
      </c>
      <c r="N652" t="e">
        <f ca="1">BDP("4387015B Muni","GB_ASSURANCE_PROVIDERS")</f>
        <v>#NAME?</v>
      </c>
      <c r="O652" t="e">
        <f ca="1">BDP("4387015B Muni","GB_PROJECT_SELECTION_PROCESS")</f>
        <v>#NAME?</v>
      </c>
      <c r="P652" t="e">
        <f ca="1">BDP("4387015B Muni","ESG_FRAMEWORK_INDICATOR")</f>
        <v>#NAME?</v>
      </c>
      <c r="Q652" t="e">
        <f ca="1">BDP("4387015B Muni","BLOOMBERG_SECTOR_CODE")</f>
        <v>#NAME?</v>
      </c>
      <c r="R652" t="e">
        <f ca="1">BDP("4387015B Muni","ISSUER_TYPE")</f>
        <v>#NAME?</v>
      </c>
      <c r="S652" t="e">
        <f ca="1">BDS("4387015B Muni","ESG_PROJECT_CATEGORY", "aggregate=y")</f>
        <v>#NAME?</v>
      </c>
      <c r="T652" t="e">
        <f ca="1">BDS("4387015B Muni","ESG_PROJECT_SUBCATEGORY", "aggregate=y")</f>
        <v>#NAME?</v>
      </c>
    </row>
    <row r="653" spans="1:20" x14ac:dyDescent="0.25">
      <c r="A653" t="e">
        <f ca="1">BDP("4387015D Muni","ID_CUSIP")</f>
        <v>#NAME?</v>
      </c>
      <c r="B653" t="e">
        <f ca="1">BDP("4387015D Muni","STATE_CODE")</f>
        <v>#NAME?</v>
      </c>
      <c r="C653" t="s">
        <v>49</v>
      </c>
      <c r="D653" t="e">
        <f ca="1">BDP("4387015D Muni","YIELD_ON_ISSUE_DATE")</f>
        <v>#NAME?</v>
      </c>
      <c r="E653">
        <v>12805000</v>
      </c>
      <c r="F653" t="e">
        <f ca="1">BDP("4387015D Muni","ISSUE_DT")</f>
        <v>#NAME?</v>
      </c>
      <c r="G653" t="e">
        <f ca="1">BDP("4387015D Muni","MATURITY")</f>
        <v>#NAME?</v>
      </c>
      <c r="H653" t="e">
        <f ca="1">BDP("4387015D Muni","MUNI_TAX_PROV")</f>
        <v>#NAME?</v>
      </c>
      <c r="I653" t="e">
        <f ca="1">BDP("4387015D Muni","FINANCING_TYPE")</f>
        <v>#NAME?</v>
      </c>
      <c r="J653" t="e">
        <f ca="1">BDP("4387015D Muni","BICS_LEVEL_2_INDUSTRY_GROUP_NAME")</f>
        <v>#NAME?</v>
      </c>
      <c r="K653" t="e">
        <f ca="1">BDP("4387015D Muni","SELF_REPRTD_GREEN_INSTR_INDCTR")</f>
        <v>#NAME?</v>
      </c>
      <c r="L653" t="e">
        <f ca="1">BDP("4387015D Muni","GB_MANAGEMENT_PROCEEDS")</f>
        <v>#NAME?</v>
      </c>
      <c r="M653" t="e">
        <f ca="1">BDP("4387015D Muni","GB_REPORTING")</f>
        <v>#NAME?</v>
      </c>
      <c r="N653" t="e">
        <f ca="1">BDP("4387015D Muni","GB_ASSURANCE_PROVIDERS")</f>
        <v>#NAME?</v>
      </c>
      <c r="O653" t="e">
        <f ca="1">BDP("4387015D Muni","GB_PROJECT_SELECTION_PROCESS")</f>
        <v>#NAME?</v>
      </c>
      <c r="P653" t="e">
        <f ca="1">BDP("4387015D Muni","ESG_FRAMEWORK_INDICATOR")</f>
        <v>#NAME?</v>
      </c>
      <c r="Q653" t="e">
        <f ca="1">BDP("4387015D Muni","BLOOMBERG_SECTOR_CODE")</f>
        <v>#NAME?</v>
      </c>
      <c r="R653" t="e">
        <f ca="1">BDP("4387015D Muni","ISSUER_TYPE")</f>
        <v>#NAME?</v>
      </c>
      <c r="S653" t="e">
        <f ca="1">BDS("4387015D Muni","ESG_PROJECT_CATEGORY", "aggregate=y")</f>
        <v>#NAME?</v>
      </c>
      <c r="T653" t="e">
        <f ca="1">BDS("4387015D Muni","ESG_PROJECT_SUBCATEGORY", "aggregate=y")</f>
        <v>#NAME?</v>
      </c>
    </row>
    <row r="654" spans="1:20" x14ac:dyDescent="0.25">
      <c r="A654" t="e">
        <f ca="1">BDP("4387015F Muni","ID_CUSIP")</f>
        <v>#NAME?</v>
      </c>
      <c r="B654" t="e">
        <f ca="1">BDP("4387015F Muni","STATE_CODE")</f>
        <v>#NAME?</v>
      </c>
      <c r="C654" t="s">
        <v>49</v>
      </c>
      <c r="D654" t="e">
        <f ca="1">BDP("4387015F Muni","YIELD_ON_ISSUE_DATE")</f>
        <v>#NAME?</v>
      </c>
      <c r="E654">
        <v>29210000</v>
      </c>
      <c r="F654" t="e">
        <f ca="1">BDP("4387015F Muni","ISSUE_DT")</f>
        <v>#NAME?</v>
      </c>
      <c r="G654" t="e">
        <f ca="1">BDP("4387015F Muni","MATURITY")</f>
        <v>#NAME?</v>
      </c>
      <c r="H654" t="e">
        <f ca="1">BDP("4387015F Muni","MUNI_TAX_PROV")</f>
        <v>#NAME?</v>
      </c>
      <c r="I654" t="e">
        <f ca="1">BDP("4387015F Muni","FINANCING_TYPE")</f>
        <v>#NAME?</v>
      </c>
      <c r="J654" t="e">
        <f ca="1">BDP("4387015F Muni","BICS_LEVEL_2_INDUSTRY_GROUP_NAME")</f>
        <v>#NAME?</v>
      </c>
      <c r="K654" t="e">
        <f ca="1">BDP("4387015F Muni","SELF_REPRTD_GREEN_INSTR_INDCTR")</f>
        <v>#NAME?</v>
      </c>
      <c r="L654" t="e">
        <f ca="1">BDP("4387015F Muni","GB_MANAGEMENT_PROCEEDS")</f>
        <v>#NAME?</v>
      </c>
      <c r="M654" t="e">
        <f ca="1">BDP("4387015F Muni","GB_REPORTING")</f>
        <v>#NAME?</v>
      </c>
      <c r="N654" t="e">
        <f ca="1">BDP("4387015F Muni","GB_ASSURANCE_PROVIDERS")</f>
        <v>#NAME?</v>
      </c>
      <c r="O654" t="e">
        <f ca="1">BDP("4387015F Muni","GB_PROJECT_SELECTION_PROCESS")</f>
        <v>#NAME?</v>
      </c>
      <c r="P654" t="e">
        <f ca="1">BDP("4387015F Muni","ESG_FRAMEWORK_INDICATOR")</f>
        <v>#NAME?</v>
      </c>
      <c r="Q654" t="e">
        <f ca="1">BDP("4387015F Muni","BLOOMBERG_SECTOR_CODE")</f>
        <v>#NAME?</v>
      </c>
      <c r="R654" t="e">
        <f ca="1">BDP("4387015F Muni","ISSUER_TYPE")</f>
        <v>#NAME?</v>
      </c>
      <c r="S654" t="e">
        <f ca="1">BDS("4387015F Muni","ESG_PROJECT_CATEGORY", "aggregate=y")</f>
        <v>#NAME?</v>
      </c>
      <c r="T654" t="e">
        <f ca="1">BDS("4387015F Muni","ESG_PROJECT_SUBCATEGORY", "aggregate=y")</f>
        <v>#NAME?</v>
      </c>
    </row>
    <row r="655" spans="1:20" x14ac:dyDescent="0.25">
      <c r="A655" t="e">
        <f ca="1">BDP("4387015A Muni","ID_CUSIP")</f>
        <v>#NAME?</v>
      </c>
      <c r="B655" t="e">
        <f ca="1">BDP("4387015A Muni","STATE_CODE")</f>
        <v>#NAME?</v>
      </c>
      <c r="C655" t="s">
        <v>49</v>
      </c>
      <c r="D655" t="e">
        <f ca="1">BDP("4387015A Muni","YIELD_ON_ISSUE_DATE")</f>
        <v>#NAME?</v>
      </c>
      <c r="E655">
        <v>10980000</v>
      </c>
      <c r="F655" t="e">
        <f ca="1">BDP("4387015A Muni","ISSUE_DT")</f>
        <v>#NAME?</v>
      </c>
      <c r="G655" t="e">
        <f ca="1">BDP("4387015A Muni","MATURITY")</f>
        <v>#NAME?</v>
      </c>
      <c r="H655" t="e">
        <f ca="1">BDP("4387015A Muni","MUNI_TAX_PROV")</f>
        <v>#NAME?</v>
      </c>
      <c r="I655" t="e">
        <f ca="1">BDP("4387015A Muni","FINANCING_TYPE")</f>
        <v>#NAME?</v>
      </c>
      <c r="J655" t="e">
        <f ca="1">BDP("4387015A Muni","BICS_LEVEL_2_INDUSTRY_GROUP_NAME")</f>
        <v>#NAME?</v>
      </c>
      <c r="K655" t="e">
        <f ca="1">BDP("4387015A Muni","SELF_REPRTD_GREEN_INSTR_INDCTR")</f>
        <v>#NAME?</v>
      </c>
      <c r="L655" t="e">
        <f ca="1">BDP("4387015A Muni","GB_MANAGEMENT_PROCEEDS")</f>
        <v>#NAME?</v>
      </c>
      <c r="M655" t="e">
        <f ca="1">BDP("4387015A Muni","GB_REPORTING")</f>
        <v>#NAME?</v>
      </c>
      <c r="N655" t="e">
        <f ca="1">BDP("4387015A Muni","GB_ASSURANCE_PROVIDERS")</f>
        <v>#NAME?</v>
      </c>
      <c r="O655" t="e">
        <f ca="1">BDP("4387015A Muni","GB_PROJECT_SELECTION_PROCESS")</f>
        <v>#NAME?</v>
      </c>
      <c r="P655" t="e">
        <f ca="1">BDP("4387015A Muni","ESG_FRAMEWORK_INDICATOR")</f>
        <v>#NAME?</v>
      </c>
      <c r="Q655" t="e">
        <f ca="1">BDP("4387015A Muni","BLOOMBERG_SECTOR_CODE")</f>
        <v>#NAME?</v>
      </c>
      <c r="R655" t="e">
        <f ca="1">BDP("4387015A Muni","ISSUER_TYPE")</f>
        <v>#NAME?</v>
      </c>
      <c r="S655" t="e">
        <f ca="1">BDS("4387015A Muni","ESG_PROJECT_CATEGORY", "aggregate=y")</f>
        <v>#NAME?</v>
      </c>
      <c r="T655" t="e">
        <f ca="1">BDS("4387015A Muni","ESG_PROJECT_SUBCATEGORY", "aggregate=y")</f>
        <v>#NAME?</v>
      </c>
    </row>
    <row r="656" spans="1:20" x14ac:dyDescent="0.25">
      <c r="A656" t="e">
        <f ca="1">BDP("4387015G Muni","ID_CUSIP")</f>
        <v>#NAME?</v>
      </c>
      <c r="B656" t="e">
        <f ca="1">BDP("4387015G Muni","STATE_CODE")</f>
        <v>#NAME?</v>
      </c>
      <c r="C656" t="s">
        <v>49</v>
      </c>
      <c r="D656" t="e">
        <f ca="1">BDP("4387015G Muni","YIELD_ON_ISSUE_DATE")</f>
        <v>#NAME?</v>
      </c>
      <c r="E656">
        <v>87960000</v>
      </c>
      <c r="F656" t="e">
        <f ca="1">BDP("4387015G Muni","ISSUE_DT")</f>
        <v>#NAME?</v>
      </c>
      <c r="G656" t="e">
        <f ca="1">BDP("4387015G Muni","MATURITY")</f>
        <v>#NAME?</v>
      </c>
      <c r="H656" t="e">
        <f ca="1">BDP("4387015G Muni","MUNI_TAX_PROV")</f>
        <v>#NAME?</v>
      </c>
      <c r="I656" t="e">
        <f ca="1">BDP("4387015G Muni","FINANCING_TYPE")</f>
        <v>#NAME?</v>
      </c>
      <c r="J656" t="e">
        <f ca="1">BDP("4387015G Muni","BICS_LEVEL_2_INDUSTRY_GROUP_NAME")</f>
        <v>#NAME?</v>
      </c>
      <c r="K656" t="e">
        <f ca="1">BDP("4387015G Muni","SELF_REPRTD_GREEN_INSTR_INDCTR")</f>
        <v>#NAME?</v>
      </c>
      <c r="L656" t="e">
        <f ca="1">BDP("4387015G Muni","GB_MANAGEMENT_PROCEEDS")</f>
        <v>#NAME?</v>
      </c>
      <c r="M656" t="e">
        <f ca="1">BDP("4387015G Muni","GB_REPORTING")</f>
        <v>#NAME?</v>
      </c>
      <c r="N656" t="e">
        <f ca="1">BDP("4387015G Muni","GB_ASSURANCE_PROVIDERS")</f>
        <v>#NAME?</v>
      </c>
      <c r="O656" t="e">
        <f ca="1">BDP("4387015G Muni","GB_PROJECT_SELECTION_PROCESS")</f>
        <v>#NAME?</v>
      </c>
      <c r="P656" t="e">
        <f ca="1">BDP("4387015G Muni","ESG_FRAMEWORK_INDICATOR")</f>
        <v>#NAME?</v>
      </c>
      <c r="Q656" t="e">
        <f ca="1">BDP("4387015G Muni","BLOOMBERG_SECTOR_CODE")</f>
        <v>#NAME?</v>
      </c>
      <c r="R656" t="e">
        <f ca="1">BDP("4387015G Muni","ISSUER_TYPE")</f>
        <v>#NAME?</v>
      </c>
      <c r="S656" t="e">
        <f ca="1">BDS("4387015G Muni","ESG_PROJECT_CATEGORY", "aggregate=y")</f>
        <v>#NAME?</v>
      </c>
      <c r="T656" t="e">
        <f ca="1">BDS("4387015G Muni","ESG_PROJECT_SUBCATEGORY", "aggregate=y")</f>
        <v>#NAME?</v>
      </c>
    </row>
    <row r="657" spans="1:20" x14ac:dyDescent="0.25">
      <c r="A657" t="e">
        <f ca="1">BDP("4387014Y Muni","ID_CUSIP")</f>
        <v>#NAME?</v>
      </c>
      <c r="B657" t="e">
        <f ca="1">BDP("4387014Y Muni","STATE_CODE")</f>
        <v>#NAME?</v>
      </c>
      <c r="C657" t="s">
        <v>49</v>
      </c>
      <c r="D657" t="e">
        <f ca="1">BDP("4387014Y Muni","YIELD_ON_ISSUE_DATE")</f>
        <v>#NAME?</v>
      </c>
      <c r="E657">
        <v>9935000</v>
      </c>
      <c r="F657" t="e">
        <f ca="1">BDP("4387014Y Muni","ISSUE_DT")</f>
        <v>#NAME?</v>
      </c>
      <c r="G657" t="e">
        <f ca="1">BDP("4387014Y Muni","MATURITY")</f>
        <v>#NAME?</v>
      </c>
      <c r="H657" t="e">
        <f ca="1">BDP("4387014Y Muni","MUNI_TAX_PROV")</f>
        <v>#NAME?</v>
      </c>
      <c r="I657" t="e">
        <f ca="1">BDP("4387014Y Muni","FINANCING_TYPE")</f>
        <v>#NAME?</v>
      </c>
      <c r="J657" t="e">
        <f ca="1">BDP("4387014Y Muni","BICS_LEVEL_2_INDUSTRY_GROUP_NAME")</f>
        <v>#NAME?</v>
      </c>
      <c r="K657" t="e">
        <f ca="1">BDP("4387014Y Muni","SELF_REPRTD_GREEN_INSTR_INDCTR")</f>
        <v>#NAME?</v>
      </c>
      <c r="L657" t="e">
        <f ca="1">BDP("4387014Y Muni","GB_MANAGEMENT_PROCEEDS")</f>
        <v>#NAME?</v>
      </c>
      <c r="M657" t="e">
        <f ca="1">BDP("4387014Y Muni","GB_REPORTING")</f>
        <v>#NAME?</v>
      </c>
      <c r="N657" t="e">
        <f ca="1">BDP("4387014Y Muni","GB_ASSURANCE_PROVIDERS")</f>
        <v>#NAME?</v>
      </c>
      <c r="O657" t="e">
        <f ca="1">BDP("4387014Y Muni","GB_PROJECT_SELECTION_PROCESS")</f>
        <v>#NAME?</v>
      </c>
      <c r="P657" t="e">
        <f ca="1">BDP("4387014Y Muni","ESG_FRAMEWORK_INDICATOR")</f>
        <v>#NAME?</v>
      </c>
      <c r="Q657" t="e">
        <f ca="1">BDP("4387014Y Muni","BLOOMBERG_SECTOR_CODE")</f>
        <v>#NAME?</v>
      </c>
      <c r="R657" t="e">
        <f ca="1">BDP("4387014Y Muni","ISSUER_TYPE")</f>
        <v>#NAME?</v>
      </c>
      <c r="S657" t="e">
        <f ca="1">BDS("4387014Y Muni","ESG_PROJECT_CATEGORY", "aggregate=y")</f>
        <v>#NAME?</v>
      </c>
      <c r="T657" t="e">
        <f ca="1">BDS("4387014Y Muni","ESG_PROJECT_SUBCATEGORY", "aggregate=y")</f>
        <v>#NAME?</v>
      </c>
    </row>
    <row r="658" spans="1:20" x14ac:dyDescent="0.25">
      <c r="A658" t="e">
        <f ca="1">BDP("4387014W Muni","ID_CUSIP")</f>
        <v>#NAME?</v>
      </c>
      <c r="B658" t="e">
        <f ca="1">BDP("4387014W Muni","STATE_CODE")</f>
        <v>#NAME?</v>
      </c>
      <c r="C658" t="s">
        <v>49</v>
      </c>
      <c r="D658" t="e">
        <f ca="1">BDP("4387014W Muni","YIELD_ON_ISSUE_DATE")</f>
        <v>#NAME?</v>
      </c>
      <c r="E658">
        <v>8975000</v>
      </c>
      <c r="F658" t="e">
        <f ca="1">BDP("4387014W Muni","ISSUE_DT")</f>
        <v>#NAME?</v>
      </c>
      <c r="G658" t="e">
        <f ca="1">BDP("4387014W Muni","MATURITY")</f>
        <v>#NAME?</v>
      </c>
      <c r="H658" t="e">
        <f ca="1">BDP("4387014W Muni","MUNI_TAX_PROV")</f>
        <v>#NAME?</v>
      </c>
      <c r="I658" t="e">
        <f ca="1">BDP("4387014W Muni","FINANCING_TYPE")</f>
        <v>#NAME?</v>
      </c>
      <c r="J658" t="e">
        <f ca="1">BDP("4387014W Muni","BICS_LEVEL_2_INDUSTRY_GROUP_NAME")</f>
        <v>#NAME?</v>
      </c>
      <c r="K658" t="e">
        <f ca="1">BDP("4387014W Muni","SELF_REPRTD_GREEN_INSTR_INDCTR")</f>
        <v>#NAME?</v>
      </c>
      <c r="L658" t="e">
        <f ca="1">BDP("4387014W Muni","GB_MANAGEMENT_PROCEEDS")</f>
        <v>#NAME?</v>
      </c>
      <c r="M658" t="e">
        <f ca="1">BDP("4387014W Muni","GB_REPORTING")</f>
        <v>#NAME?</v>
      </c>
      <c r="N658" t="e">
        <f ca="1">BDP("4387014W Muni","GB_ASSURANCE_PROVIDERS")</f>
        <v>#NAME?</v>
      </c>
      <c r="O658" t="e">
        <f ca="1">BDP("4387014W Muni","GB_PROJECT_SELECTION_PROCESS")</f>
        <v>#NAME?</v>
      </c>
      <c r="P658" t="e">
        <f ca="1">BDP("4387014W Muni","ESG_FRAMEWORK_INDICATOR")</f>
        <v>#NAME?</v>
      </c>
      <c r="Q658" t="e">
        <f ca="1">BDP("4387014W Muni","BLOOMBERG_SECTOR_CODE")</f>
        <v>#NAME?</v>
      </c>
      <c r="R658" t="e">
        <f ca="1">BDP("4387014W Muni","ISSUER_TYPE")</f>
        <v>#NAME?</v>
      </c>
      <c r="S658" t="e">
        <f ca="1">BDS("4387014W Muni","ESG_PROJECT_CATEGORY", "aggregate=y")</f>
        <v>#NAME?</v>
      </c>
      <c r="T658" t="e">
        <f ca="1">BDS("4387014W Muni","ESG_PROJECT_SUBCATEGORY", "aggregate=y")</f>
        <v>#NAME?</v>
      </c>
    </row>
    <row r="659" spans="1:20" x14ac:dyDescent="0.25">
      <c r="A659" t="e">
        <f ca="1">BDP("4387014X Muni","ID_CUSIP")</f>
        <v>#NAME?</v>
      </c>
      <c r="B659" t="e">
        <f ca="1">BDP("4387014X Muni","STATE_CODE")</f>
        <v>#NAME?</v>
      </c>
      <c r="C659" t="s">
        <v>49</v>
      </c>
      <c r="D659" t="e">
        <f ca="1">BDP("4387014X Muni","YIELD_ON_ISSUE_DATE")</f>
        <v>#NAME?</v>
      </c>
      <c r="E659">
        <v>9450000</v>
      </c>
      <c r="F659" t="e">
        <f ca="1">BDP("4387014X Muni","ISSUE_DT")</f>
        <v>#NAME?</v>
      </c>
      <c r="G659" t="e">
        <f ca="1">BDP("4387014X Muni","MATURITY")</f>
        <v>#NAME?</v>
      </c>
      <c r="H659" t="e">
        <f ca="1">BDP("4387014X Muni","MUNI_TAX_PROV")</f>
        <v>#NAME?</v>
      </c>
      <c r="I659" t="e">
        <f ca="1">BDP("4387014X Muni","FINANCING_TYPE")</f>
        <v>#NAME?</v>
      </c>
      <c r="J659" t="e">
        <f ca="1">BDP("4387014X Muni","BICS_LEVEL_2_INDUSTRY_GROUP_NAME")</f>
        <v>#NAME?</v>
      </c>
      <c r="K659" t="e">
        <f ca="1">BDP("4387014X Muni","SELF_REPRTD_GREEN_INSTR_INDCTR")</f>
        <v>#NAME?</v>
      </c>
      <c r="L659" t="e">
        <f ca="1">BDP("4387014X Muni","GB_MANAGEMENT_PROCEEDS")</f>
        <v>#NAME?</v>
      </c>
      <c r="M659" t="e">
        <f ca="1">BDP("4387014X Muni","GB_REPORTING")</f>
        <v>#NAME?</v>
      </c>
      <c r="N659" t="e">
        <f ca="1">BDP("4387014X Muni","GB_ASSURANCE_PROVIDERS")</f>
        <v>#NAME?</v>
      </c>
      <c r="O659" t="e">
        <f ca="1">BDP("4387014X Muni","GB_PROJECT_SELECTION_PROCESS")</f>
        <v>#NAME?</v>
      </c>
      <c r="P659" t="e">
        <f ca="1">BDP("4387014X Muni","ESG_FRAMEWORK_INDICATOR")</f>
        <v>#NAME?</v>
      </c>
      <c r="Q659" t="e">
        <f ca="1">BDP("4387014X Muni","BLOOMBERG_SECTOR_CODE")</f>
        <v>#NAME?</v>
      </c>
      <c r="R659" t="e">
        <f ca="1">BDP("4387014X Muni","ISSUER_TYPE")</f>
        <v>#NAME?</v>
      </c>
      <c r="S659" t="e">
        <f ca="1">BDS("4387014X Muni","ESG_PROJECT_CATEGORY", "aggregate=y")</f>
        <v>#NAME?</v>
      </c>
      <c r="T659" t="e">
        <f ca="1">BDS("4387014X Muni","ESG_PROJECT_SUBCATEGORY", "aggregate=y")</f>
        <v>#NAME?</v>
      </c>
    </row>
    <row r="660" spans="1:20" x14ac:dyDescent="0.25">
      <c r="A660" t="e">
        <f ca="1">BDP("4387014Z Muni","ID_CUSIP")</f>
        <v>#NAME?</v>
      </c>
      <c r="B660" t="e">
        <f ca="1">BDP("4387014Z Muni","STATE_CODE")</f>
        <v>#NAME?</v>
      </c>
      <c r="C660" t="s">
        <v>49</v>
      </c>
      <c r="D660" t="e">
        <f ca="1">BDP("4387014Z Muni","YIELD_ON_ISSUE_DATE")</f>
        <v>#NAME?</v>
      </c>
      <c r="E660">
        <v>10440000</v>
      </c>
      <c r="F660" t="e">
        <f ca="1">BDP("4387014Z Muni","ISSUE_DT")</f>
        <v>#NAME?</v>
      </c>
      <c r="G660" t="e">
        <f ca="1">BDP("4387014Z Muni","MATURITY")</f>
        <v>#NAME?</v>
      </c>
      <c r="H660" t="e">
        <f ca="1">BDP("4387014Z Muni","MUNI_TAX_PROV")</f>
        <v>#NAME?</v>
      </c>
      <c r="I660" t="e">
        <f ca="1">BDP("4387014Z Muni","FINANCING_TYPE")</f>
        <v>#NAME?</v>
      </c>
      <c r="J660" t="e">
        <f ca="1">BDP("4387014Z Muni","BICS_LEVEL_2_INDUSTRY_GROUP_NAME")</f>
        <v>#NAME?</v>
      </c>
      <c r="K660" t="e">
        <f ca="1">BDP("4387014Z Muni","SELF_REPRTD_GREEN_INSTR_INDCTR")</f>
        <v>#NAME?</v>
      </c>
      <c r="L660" t="e">
        <f ca="1">BDP("4387014Z Muni","GB_MANAGEMENT_PROCEEDS")</f>
        <v>#NAME?</v>
      </c>
      <c r="M660" t="e">
        <f ca="1">BDP("4387014Z Muni","GB_REPORTING")</f>
        <v>#NAME?</v>
      </c>
      <c r="N660" t="e">
        <f ca="1">BDP("4387014Z Muni","GB_ASSURANCE_PROVIDERS")</f>
        <v>#NAME?</v>
      </c>
      <c r="O660" t="e">
        <f ca="1">BDP("4387014Z Muni","GB_PROJECT_SELECTION_PROCESS")</f>
        <v>#NAME?</v>
      </c>
      <c r="P660" t="e">
        <f ca="1">BDP("4387014Z Muni","ESG_FRAMEWORK_INDICATOR")</f>
        <v>#NAME?</v>
      </c>
      <c r="Q660" t="e">
        <f ca="1">BDP("4387014Z Muni","BLOOMBERG_SECTOR_CODE")</f>
        <v>#NAME?</v>
      </c>
      <c r="R660" t="e">
        <f ca="1">BDP("4387014Z Muni","ISSUER_TYPE")</f>
        <v>#NAME?</v>
      </c>
      <c r="S660" t="e">
        <f ca="1">BDS("4387014Z Muni","ESG_PROJECT_CATEGORY", "aggregate=y")</f>
        <v>#NAME?</v>
      </c>
      <c r="T660" t="e">
        <f ca="1">BDS("4387014Z Muni","ESG_PROJECT_SUBCATEGORY", "aggregate=y")</f>
        <v>#NAME?</v>
      </c>
    </row>
    <row r="661" spans="1:20" x14ac:dyDescent="0.25">
      <c r="A661" t="e">
        <f ca="1">BDP("4387015C Muni","ID_CUSIP")</f>
        <v>#NAME?</v>
      </c>
      <c r="B661" t="e">
        <f ca="1">BDP("4387015C Muni","STATE_CODE")</f>
        <v>#NAME?</v>
      </c>
      <c r="C661" t="s">
        <v>49</v>
      </c>
      <c r="D661" t="e">
        <f ca="1">BDP("4387015C Muni","YIELD_ON_ISSUE_DATE")</f>
        <v>#NAME?</v>
      </c>
      <c r="E661">
        <v>12150000</v>
      </c>
      <c r="F661" t="e">
        <f ca="1">BDP("4387015C Muni","ISSUE_DT")</f>
        <v>#NAME?</v>
      </c>
      <c r="G661" t="e">
        <f ca="1">BDP("4387015C Muni","MATURITY")</f>
        <v>#NAME?</v>
      </c>
      <c r="H661" t="e">
        <f ca="1">BDP("4387015C Muni","MUNI_TAX_PROV")</f>
        <v>#NAME?</v>
      </c>
      <c r="I661" t="e">
        <f ca="1">BDP("4387015C Muni","FINANCING_TYPE")</f>
        <v>#NAME?</v>
      </c>
      <c r="J661" t="e">
        <f ca="1">BDP("4387015C Muni","BICS_LEVEL_2_INDUSTRY_GROUP_NAME")</f>
        <v>#NAME?</v>
      </c>
      <c r="K661" t="e">
        <f ca="1">BDP("4387015C Muni","SELF_REPRTD_GREEN_INSTR_INDCTR")</f>
        <v>#NAME?</v>
      </c>
      <c r="L661" t="e">
        <f ca="1">BDP("4387015C Muni","GB_MANAGEMENT_PROCEEDS")</f>
        <v>#NAME?</v>
      </c>
      <c r="M661" t="e">
        <f ca="1">BDP("4387015C Muni","GB_REPORTING")</f>
        <v>#NAME?</v>
      </c>
      <c r="N661" t="e">
        <f ca="1">BDP("4387015C Muni","GB_ASSURANCE_PROVIDERS")</f>
        <v>#NAME?</v>
      </c>
      <c r="O661" t="e">
        <f ca="1">BDP("4387015C Muni","GB_PROJECT_SELECTION_PROCESS")</f>
        <v>#NAME?</v>
      </c>
      <c r="P661" t="e">
        <f ca="1">BDP("4387015C Muni","ESG_FRAMEWORK_INDICATOR")</f>
        <v>#NAME?</v>
      </c>
      <c r="Q661" t="e">
        <f ca="1">BDP("4387015C Muni","BLOOMBERG_SECTOR_CODE")</f>
        <v>#NAME?</v>
      </c>
      <c r="R661" t="e">
        <f ca="1">BDP("4387015C Muni","ISSUER_TYPE")</f>
        <v>#NAME?</v>
      </c>
      <c r="S661" t="e">
        <f ca="1">BDS("4387015C Muni","ESG_PROJECT_CATEGORY", "aggregate=y")</f>
        <v>#NAME?</v>
      </c>
      <c r="T661" t="e">
        <f ca="1">BDS("4387015C Muni","ESG_PROJECT_SUBCATEGORY", "aggregate=y")</f>
        <v>#NAME?</v>
      </c>
    </row>
    <row r="662" spans="1:20" x14ac:dyDescent="0.25">
      <c r="A662" t="e">
        <f ca="1">BDP("4387015E Muni","ID_CUSIP")</f>
        <v>#NAME?</v>
      </c>
      <c r="B662" t="e">
        <f ca="1">BDP("4387015E Muni","STATE_CODE")</f>
        <v>#NAME?</v>
      </c>
      <c r="C662" t="s">
        <v>49</v>
      </c>
      <c r="D662" t="e">
        <f ca="1">BDP("4387015E Muni","YIELD_ON_ISSUE_DATE")</f>
        <v>#NAME?</v>
      </c>
      <c r="E662">
        <v>13495000</v>
      </c>
      <c r="F662" t="e">
        <f ca="1">BDP("4387015E Muni","ISSUE_DT")</f>
        <v>#NAME?</v>
      </c>
      <c r="G662" t="e">
        <f ca="1">BDP("4387015E Muni","MATURITY")</f>
        <v>#NAME?</v>
      </c>
      <c r="H662" t="e">
        <f ca="1">BDP("4387015E Muni","MUNI_TAX_PROV")</f>
        <v>#NAME?</v>
      </c>
      <c r="I662" t="e">
        <f ca="1">BDP("4387015E Muni","FINANCING_TYPE")</f>
        <v>#NAME?</v>
      </c>
      <c r="J662" t="e">
        <f ca="1">BDP("4387015E Muni","BICS_LEVEL_2_INDUSTRY_GROUP_NAME")</f>
        <v>#NAME?</v>
      </c>
      <c r="K662" t="e">
        <f ca="1">BDP("4387015E Muni","SELF_REPRTD_GREEN_INSTR_INDCTR")</f>
        <v>#NAME?</v>
      </c>
      <c r="L662" t="e">
        <f ca="1">BDP("4387015E Muni","GB_MANAGEMENT_PROCEEDS")</f>
        <v>#NAME?</v>
      </c>
      <c r="M662" t="e">
        <f ca="1">BDP("4387015E Muni","GB_REPORTING")</f>
        <v>#NAME?</v>
      </c>
      <c r="N662" t="e">
        <f ca="1">BDP("4387015E Muni","GB_ASSURANCE_PROVIDERS")</f>
        <v>#NAME?</v>
      </c>
      <c r="O662" t="e">
        <f ca="1">BDP("4387015E Muni","GB_PROJECT_SELECTION_PROCESS")</f>
        <v>#NAME?</v>
      </c>
      <c r="P662" t="e">
        <f ca="1">BDP("4387015E Muni","ESG_FRAMEWORK_INDICATOR")</f>
        <v>#NAME?</v>
      </c>
      <c r="Q662" t="e">
        <f ca="1">BDP("4387015E Muni","BLOOMBERG_SECTOR_CODE")</f>
        <v>#NAME?</v>
      </c>
      <c r="R662" t="e">
        <f ca="1">BDP("4387015E Muni","ISSUER_TYPE")</f>
        <v>#NAME?</v>
      </c>
      <c r="S662" t="e">
        <f ca="1">BDS("4387015E Muni","ESG_PROJECT_CATEGORY", "aggregate=y")</f>
        <v>#NAME?</v>
      </c>
      <c r="T662" t="e">
        <f ca="1">BDS("4387015E Muni","ESG_PROJECT_SUBCATEGORY", "aggregate=y")</f>
        <v>#NAME?</v>
      </c>
    </row>
    <row r="663" spans="1:20" x14ac:dyDescent="0.25">
      <c r="A663" t="e">
        <f ca="1">BDP("46247SFZ Muni","ID_CUSIP")</f>
        <v>#NAME?</v>
      </c>
      <c r="B663" t="e">
        <f ca="1">BDP("46247SFZ Muni","STATE_CODE")</f>
        <v>#NAME?</v>
      </c>
      <c r="C663" t="s">
        <v>50</v>
      </c>
      <c r="D663" t="e">
        <f ca="1">BDP("46247SFZ Muni","YIELD_ON_ISSUE_DATE")</f>
        <v>#NAME?</v>
      </c>
      <c r="E663">
        <v>8620000</v>
      </c>
      <c r="F663" t="e">
        <f ca="1">BDP("46247SFZ Muni","ISSUE_DT")</f>
        <v>#NAME?</v>
      </c>
      <c r="G663" t="e">
        <f ca="1">BDP("46247SFZ Muni","MATURITY")</f>
        <v>#NAME?</v>
      </c>
      <c r="H663" t="e">
        <f ca="1">BDP("46247SFZ Muni","MUNI_TAX_PROV")</f>
        <v>#NAME?</v>
      </c>
      <c r="I663" t="e">
        <f ca="1">BDP("46247SFZ Muni","FINANCING_TYPE")</f>
        <v>#NAME?</v>
      </c>
      <c r="J663" t="e">
        <f ca="1">BDP("46247SFZ Muni","BICS_LEVEL_2_INDUSTRY_GROUP_NAME")</f>
        <v>#NAME?</v>
      </c>
      <c r="K663" t="e">
        <f ca="1">BDP("46247SFZ Muni","SELF_REPRTD_GREEN_INSTR_INDCTR")</f>
        <v>#NAME?</v>
      </c>
      <c r="L663" t="e">
        <f ca="1">BDP("46247SFZ Muni","GB_MANAGEMENT_PROCEEDS")</f>
        <v>#NAME?</v>
      </c>
      <c r="M663" t="e">
        <f ca="1">BDP("46247SFZ Muni","GB_REPORTING")</f>
        <v>#NAME?</v>
      </c>
      <c r="N663" t="e">
        <f ca="1">BDP("46247SFZ Muni","GB_ASSURANCE_PROVIDERS")</f>
        <v>#NAME?</v>
      </c>
      <c r="O663" t="e">
        <f ca="1">BDP("46247SFZ Muni","GB_PROJECT_SELECTION_PROCESS")</f>
        <v>#NAME?</v>
      </c>
      <c r="P663" t="e">
        <f ca="1">BDP("46247SFZ Muni","ESG_FRAMEWORK_INDICATOR")</f>
        <v>#NAME?</v>
      </c>
      <c r="Q663" t="e">
        <f ca="1">BDP("46247SFZ Muni","BLOOMBERG_SECTOR_CODE")</f>
        <v>#NAME?</v>
      </c>
      <c r="R663" t="e">
        <f ca="1">BDP("46247SFZ Muni","ISSUER_TYPE")</f>
        <v>#NAME?</v>
      </c>
      <c r="S663" t="e">
        <f ca="1">BDS("46247SFZ Muni","ESG_PROJECT_CATEGORY", "aggregate=y")</f>
        <v>#NAME?</v>
      </c>
      <c r="T663" t="e">
        <f ca="1">BDS("46247SFZ Muni","ESG_PROJECT_SUBCATEGORY", "aggregate=y")</f>
        <v>#NAME?</v>
      </c>
    </row>
    <row r="664" spans="1:20" x14ac:dyDescent="0.25">
      <c r="A664" t="e">
        <f ca="1">BDP("46247SGA Muni","ID_CUSIP")</f>
        <v>#NAME?</v>
      </c>
      <c r="B664" t="e">
        <f ca="1">BDP("46247SGA Muni","STATE_CODE")</f>
        <v>#NAME?</v>
      </c>
      <c r="C664" t="s">
        <v>50</v>
      </c>
      <c r="D664" t="e">
        <f ca="1">BDP("46247SGA Muni","YIELD_ON_ISSUE_DATE")</f>
        <v>#NAME?</v>
      </c>
      <c r="E664">
        <v>5140000</v>
      </c>
      <c r="F664" t="e">
        <f ca="1">BDP("46247SGA Muni","ISSUE_DT")</f>
        <v>#NAME?</v>
      </c>
      <c r="G664" t="e">
        <f ca="1">BDP("46247SGA Muni","MATURITY")</f>
        <v>#NAME?</v>
      </c>
      <c r="H664" t="e">
        <f ca="1">BDP("46247SGA Muni","MUNI_TAX_PROV")</f>
        <v>#NAME?</v>
      </c>
      <c r="I664" t="e">
        <f ca="1">BDP("46247SGA Muni","FINANCING_TYPE")</f>
        <v>#NAME?</v>
      </c>
      <c r="J664" t="e">
        <f ca="1">BDP("46247SGA Muni","BICS_LEVEL_2_INDUSTRY_GROUP_NAME")</f>
        <v>#NAME?</v>
      </c>
      <c r="K664" t="e">
        <f ca="1">BDP("46247SGA Muni","SELF_REPRTD_GREEN_INSTR_INDCTR")</f>
        <v>#NAME?</v>
      </c>
      <c r="L664" t="e">
        <f ca="1">BDP("46247SGA Muni","GB_MANAGEMENT_PROCEEDS")</f>
        <v>#NAME?</v>
      </c>
      <c r="M664" t="e">
        <f ca="1">BDP("46247SGA Muni","GB_REPORTING")</f>
        <v>#NAME?</v>
      </c>
      <c r="N664" t="e">
        <f ca="1">BDP("46247SGA Muni","GB_ASSURANCE_PROVIDERS")</f>
        <v>#NAME?</v>
      </c>
      <c r="O664" t="e">
        <f ca="1">BDP("46247SGA Muni","GB_PROJECT_SELECTION_PROCESS")</f>
        <v>#NAME?</v>
      </c>
      <c r="P664" t="e">
        <f ca="1">BDP("46247SGA Muni","ESG_FRAMEWORK_INDICATOR")</f>
        <v>#NAME?</v>
      </c>
      <c r="Q664" t="e">
        <f ca="1">BDP("46247SGA Muni","BLOOMBERG_SECTOR_CODE")</f>
        <v>#NAME?</v>
      </c>
      <c r="R664" t="e">
        <f ca="1">BDP("46247SGA Muni","ISSUER_TYPE")</f>
        <v>#NAME?</v>
      </c>
      <c r="S664" t="e">
        <f ca="1">BDS("46247SGA Muni","ESG_PROJECT_CATEGORY", "aggregate=y")</f>
        <v>#NAME?</v>
      </c>
      <c r="T664" t="e">
        <f ca="1">BDS("46247SGA Muni","ESG_PROJECT_SUBCATEGORY", "aggregate=y")</f>
        <v>#NAME?</v>
      </c>
    </row>
    <row r="665" spans="1:20" x14ac:dyDescent="0.25">
      <c r="A665" t="e">
        <f ca="1">BDP("46247SGB Muni","ID_CUSIP")</f>
        <v>#NAME?</v>
      </c>
      <c r="B665" t="e">
        <f ca="1">BDP("46247SGB Muni","STATE_CODE")</f>
        <v>#NAME?</v>
      </c>
      <c r="C665" t="s">
        <v>50</v>
      </c>
      <c r="D665" t="e">
        <f ca="1">BDP("46247SGB Muni","YIELD_ON_ISSUE_DATE")</f>
        <v>#NAME?</v>
      </c>
      <c r="E665">
        <v>8365000</v>
      </c>
      <c r="F665" t="e">
        <f ca="1">BDP("46247SGB Muni","ISSUE_DT")</f>
        <v>#NAME?</v>
      </c>
      <c r="G665" t="e">
        <f ca="1">BDP("46247SGB Muni","MATURITY")</f>
        <v>#NAME?</v>
      </c>
      <c r="H665" t="e">
        <f ca="1">BDP("46247SGB Muni","MUNI_TAX_PROV")</f>
        <v>#NAME?</v>
      </c>
      <c r="I665" t="e">
        <f ca="1">BDP("46247SGB Muni","FINANCING_TYPE")</f>
        <v>#NAME?</v>
      </c>
      <c r="J665" t="e">
        <f ca="1">BDP("46247SGB Muni","BICS_LEVEL_2_INDUSTRY_GROUP_NAME")</f>
        <v>#NAME?</v>
      </c>
      <c r="K665" t="e">
        <f ca="1">BDP("46247SGB Muni","SELF_REPRTD_GREEN_INSTR_INDCTR")</f>
        <v>#NAME?</v>
      </c>
      <c r="L665" t="e">
        <f ca="1">BDP("46247SGB Muni","GB_MANAGEMENT_PROCEEDS")</f>
        <v>#NAME?</v>
      </c>
      <c r="M665" t="e">
        <f ca="1">BDP("46247SGB Muni","GB_REPORTING")</f>
        <v>#NAME?</v>
      </c>
      <c r="N665" t="e">
        <f ca="1">BDP("46247SGB Muni","GB_ASSURANCE_PROVIDERS")</f>
        <v>#NAME?</v>
      </c>
      <c r="O665" t="e">
        <f ca="1">BDP("46247SGB Muni","GB_PROJECT_SELECTION_PROCESS")</f>
        <v>#NAME?</v>
      </c>
      <c r="P665" t="e">
        <f ca="1">BDP("46247SGB Muni","ESG_FRAMEWORK_INDICATOR")</f>
        <v>#NAME?</v>
      </c>
      <c r="Q665" t="e">
        <f ca="1">BDP("46247SGB Muni","BLOOMBERG_SECTOR_CODE")</f>
        <v>#NAME?</v>
      </c>
      <c r="R665" t="e">
        <f ca="1">BDP("46247SGB Muni","ISSUER_TYPE")</f>
        <v>#NAME?</v>
      </c>
      <c r="S665" t="e">
        <f ca="1">BDS("46247SGB Muni","ESG_PROJECT_CATEGORY", "aggregate=y")</f>
        <v>#NAME?</v>
      </c>
      <c r="T665" t="e">
        <f ca="1">BDS("46247SGB Muni","ESG_PROJECT_SUBCATEGORY", "aggregate=y")</f>
        <v>#NAME?</v>
      </c>
    </row>
    <row r="666" spans="1:20" x14ac:dyDescent="0.25">
      <c r="A666" t="e">
        <f ca="1">BDP("46247SGC Muni","ID_CUSIP")</f>
        <v>#NAME?</v>
      </c>
      <c r="B666" t="e">
        <f ca="1">BDP("46247SGC Muni","STATE_CODE")</f>
        <v>#NAME?</v>
      </c>
      <c r="C666" t="s">
        <v>50</v>
      </c>
      <c r="D666" t="e">
        <f ca="1">BDP("46247SGC Muni","YIELD_ON_ISSUE_DATE")</f>
        <v>#NAME?</v>
      </c>
      <c r="E666">
        <v>2630000</v>
      </c>
      <c r="F666" t="e">
        <f ca="1">BDP("46247SGC Muni","ISSUE_DT")</f>
        <v>#NAME?</v>
      </c>
      <c r="G666" t="e">
        <f ca="1">BDP("46247SGC Muni","MATURITY")</f>
        <v>#NAME?</v>
      </c>
      <c r="H666" t="e">
        <f ca="1">BDP("46247SGC Muni","MUNI_TAX_PROV")</f>
        <v>#NAME?</v>
      </c>
      <c r="I666" t="e">
        <f ca="1">BDP("46247SGC Muni","FINANCING_TYPE")</f>
        <v>#NAME?</v>
      </c>
      <c r="J666" t="e">
        <f ca="1">BDP("46247SGC Muni","BICS_LEVEL_2_INDUSTRY_GROUP_NAME")</f>
        <v>#NAME?</v>
      </c>
      <c r="K666" t="e">
        <f ca="1">BDP("46247SGC Muni","SELF_REPRTD_GREEN_INSTR_INDCTR")</f>
        <v>#NAME?</v>
      </c>
      <c r="L666" t="e">
        <f ca="1">BDP("46247SGC Muni","GB_MANAGEMENT_PROCEEDS")</f>
        <v>#NAME?</v>
      </c>
      <c r="M666" t="e">
        <f ca="1">BDP("46247SGC Muni","GB_REPORTING")</f>
        <v>#NAME?</v>
      </c>
      <c r="N666" t="e">
        <f ca="1">BDP("46247SGC Muni","GB_ASSURANCE_PROVIDERS")</f>
        <v>#NAME?</v>
      </c>
      <c r="O666" t="e">
        <f ca="1">BDP("46247SGC Muni","GB_PROJECT_SELECTION_PROCESS")</f>
        <v>#NAME?</v>
      </c>
      <c r="P666" t="e">
        <f ca="1">BDP("46247SGC Muni","ESG_FRAMEWORK_INDICATOR")</f>
        <v>#NAME?</v>
      </c>
      <c r="Q666" t="e">
        <f ca="1">BDP("46247SGC Muni","BLOOMBERG_SECTOR_CODE")</f>
        <v>#NAME?</v>
      </c>
      <c r="R666" t="e">
        <f ca="1">BDP("46247SGC Muni","ISSUER_TYPE")</f>
        <v>#NAME?</v>
      </c>
      <c r="S666" t="e">
        <f ca="1">BDS("46247SGC Muni","ESG_PROJECT_CATEGORY", "aggregate=y")</f>
        <v>#NAME?</v>
      </c>
      <c r="T666" t="e">
        <f ca="1">BDS("46247SGC Muni","ESG_PROJECT_SUBCATEGORY", "aggregate=y")</f>
        <v>#NAME?</v>
      </c>
    </row>
    <row r="667" spans="1:20" x14ac:dyDescent="0.25">
      <c r="A667" t="e">
        <f ca="1">BDP("46247SGD Muni","ID_CUSIP")</f>
        <v>#NAME?</v>
      </c>
      <c r="B667" t="e">
        <f ca="1">BDP("46247SGD Muni","STATE_CODE")</f>
        <v>#NAME?</v>
      </c>
      <c r="C667" t="s">
        <v>50</v>
      </c>
      <c r="D667" t="e">
        <f ca="1">BDP("46247SGD Muni","YIELD_ON_ISSUE_DATE")</f>
        <v>#NAME?</v>
      </c>
      <c r="E667">
        <v>4695000</v>
      </c>
      <c r="F667" t="e">
        <f ca="1">BDP("46247SGD Muni","ISSUE_DT")</f>
        <v>#NAME?</v>
      </c>
      <c r="G667" t="e">
        <f ca="1">BDP("46247SGD Muni","MATURITY")</f>
        <v>#NAME?</v>
      </c>
      <c r="H667" t="e">
        <f ca="1">BDP("46247SGD Muni","MUNI_TAX_PROV")</f>
        <v>#NAME?</v>
      </c>
      <c r="I667" t="e">
        <f ca="1">BDP("46247SGD Muni","FINANCING_TYPE")</f>
        <v>#NAME?</v>
      </c>
      <c r="J667" t="e">
        <f ca="1">BDP("46247SGD Muni","BICS_LEVEL_2_INDUSTRY_GROUP_NAME")</f>
        <v>#NAME?</v>
      </c>
      <c r="K667" t="e">
        <f ca="1">BDP("46247SGD Muni","SELF_REPRTD_GREEN_INSTR_INDCTR")</f>
        <v>#NAME?</v>
      </c>
      <c r="L667" t="e">
        <f ca="1">BDP("46247SGD Muni","GB_MANAGEMENT_PROCEEDS")</f>
        <v>#NAME?</v>
      </c>
      <c r="M667" t="e">
        <f ca="1">BDP("46247SGD Muni","GB_REPORTING")</f>
        <v>#NAME?</v>
      </c>
      <c r="N667" t="e">
        <f ca="1">BDP("46247SGD Muni","GB_ASSURANCE_PROVIDERS")</f>
        <v>#NAME?</v>
      </c>
      <c r="O667" t="e">
        <f ca="1">BDP("46247SGD Muni","GB_PROJECT_SELECTION_PROCESS")</f>
        <v>#NAME?</v>
      </c>
      <c r="P667" t="e">
        <f ca="1">BDP("46247SGD Muni","ESG_FRAMEWORK_INDICATOR")</f>
        <v>#NAME?</v>
      </c>
      <c r="Q667" t="e">
        <f ca="1">BDP("46247SGD Muni","BLOOMBERG_SECTOR_CODE")</f>
        <v>#NAME?</v>
      </c>
      <c r="R667" t="e">
        <f ca="1">BDP("46247SGD Muni","ISSUER_TYPE")</f>
        <v>#NAME?</v>
      </c>
      <c r="S667" t="e">
        <f ca="1">BDS("46247SGD Muni","ESG_PROJECT_CATEGORY", "aggregate=y")</f>
        <v>#NAME?</v>
      </c>
      <c r="T667" t="e">
        <f ca="1">BDS("46247SGD Muni","ESG_PROJECT_SUBCATEGORY", "aggregate=y")</f>
        <v>#NAME?</v>
      </c>
    </row>
    <row r="668" spans="1:20" x14ac:dyDescent="0.25">
      <c r="A668" t="e">
        <f ca="1">BDP("46247SGE Muni","ID_CUSIP")</f>
        <v>#NAME?</v>
      </c>
      <c r="B668" t="e">
        <f ca="1">BDP("46247SGE Muni","STATE_CODE")</f>
        <v>#NAME?</v>
      </c>
      <c r="C668" t="s">
        <v>50</v>
      </c>
      <c r="D668" t="e">
        <f ca="1">BDP("46247SGE Muni","YIELD_ON_ISSUE_DATE")</f>
        <v>#NAME?</v>
      </c>
      <c r="E668">
        <v>5130000</v>
      </c>
      <c r="F668" t="e">
        <f ca="1">BDP("46247SGE Muni","ISSUE_DT")</f>
        <v>#NAME?</v>
      </c>
      <c r="G668" t="e">
        <f ca="1">BDP("46247SGE Muni","MATURITY")</f>
        <v>#NAME?</v>
      </c>
      <c r="H668" t="e">
        <f ca="1">BDP("46247SGE Muni","MUNI_TAX_PROV")</f>
        <v>#NAME?</v>
      </c>
      <c r="I668" t="e">
        <f ca="1">BDP("46247SGE Muni","FINANCING_TYPE")</f>
        <v>#NAME?</v>
      </c>
      <c r="J668" t="e">
        <f ca="1">BDP("46247SGE Muni","BICS_LEVEL_2_INDUSTRY_GROUP_NAME")</f>
        <v>#NAME?</v>
      </c>
      <c r="K668" t="e">
        <f ca="1">BDP("46247SGE Muni","SELF_REPRTD_GREEN_INSTR_INDCTR")</f>
        <v>#NAME?</v>
      </c>
      <c r="L668" t="e">
        <f ca="1">BDP("46247SGE Muni","GB_MANAGEMENT_PROCEEDS")</f>
        <v>#NAME?</v>
      </c>
      <c r="M668" t="e">
        <f ca="1">BDP("46247SGE Muni","GB_REPORTING")</f>
        <v>#NAME?</v>
      </c>
      <c r="N668" t="e">
        <f ca="1">BDP("46247SGE Muni","GB_ASSURANCE_PROVIDERS")</f>
        <v>#NAME?</v>
      </c>
      <c r="O668" t="e">
        <f ca="1">BDP("46247SGE Muni","GB_PROJECT_SELECTION_PROCESS")</f>
        <v>#NAME?</v>
      </c>
      <c r="P668" t="e">
        <f ca="1">BDP("46247SGE Muni","ESG_FRAMEWORK_INDICATOR")</f>
        <v>#NAME?</v>
      </c>
      <c r="Q668" t="e">
        <f ca="1">BDP("46247SGE Muni","BLOOMBERG_SECTOR_CODE")</f>
        <v>#NAME?</v>
      </c>
      <c r="R668" t="e">
        <f ca="1">BDP("46247SGE Muni","ISSUER_TYPE")</f>
        <v>#NAME?</v>
      </c>
      <c r="S668" t="e">
        <f ca="1">BDS("46247SGE Muni","ESG_PROJECT_CATEGORY", "aggregate=y")</f>
        <v>#NAME?</v>
      </c>
      <c r="T668" t="e">
        <f ca="1">BDS("46247SGE Muni","ESG_PROJECT_SUBCATEGORY", "aggregate=y")</f>
        <v>#NAME?</v>
      </c>
    </row>
    <row r="669" spans="1:20" x14ac:dyDescent="0.25">
      <c r="A669" t="e">
        <f ca="1">BDP("46247SGG Muni","ID_CUSIP")</f>
        <v>#NAME?</v>
      </c>
      <c r="B669" t="e">
        <f ca="1">BDP("46247SGG Muni","STATE_CODE")</f>
        <v>#NAME?</v>
      </c>
      <c r="C669" t="s">
        <v>50</v>
      </c>
      <c r="D669" t="e">
        <f ca="1">BDP("46247SGG Muni","YIELD_ON_ISSUE_DATE")</f>
        <v>#NAME?</v>
      </c>
      <c r="E669">
        <v>7740000</v>
      </c>
      <c r="F669" t="e">
        <f ca="1">BDP("46247SGG Muni","ISSUE_DT")</f>
        <v>#NAME?</v>
      </c>
      <c r="G669" t="e">
        <f ca="1">BDP("46247SGG Muni","MATURITY")</f>
        <v>#NAME?</v>
      </c>
      <c r="H669" t="e">
        <f ca="1">BDP("46247SGG Muni","MUNI_TAX_PROV")</f>
        <v>#NAME?</v>
      </c>
      <c r="I669" t="e">
        <f ca="1">BDP("46247SGG Muni","FINANCING_TYPE")</f>
        <v>#NAME?</v>
      </c>
      <c r="J669" t="e">
        <f ca="1">BDP("46247SGG Muni","BICS_LEVEL_2_INDUSTRY_GROUP_NAME")</f>
        <v>#NAME?</v>
      </c>
      <c r="K669" t="e">
        <f ca="1">BDP("46247SGG Muni","SELF_REPRTD_GREEN_INSTR_INDCTR")</f>
        <v>#NAME?</v>
      </c>
      <c r="L669" t="e">
        <f ca="1">BDP("46247SGG Muni","GB_MANAGEMENT_PROCEEDS")</f>
        <v>#NAME?</v>
      </c>
      <c r="M669" t="e">
        <f ca="1">BDP("46247SGG Muni","GB_REPORTING")</f>
        <v>#NAME?</v>
      </c>
      <c r="N669" t="e">
        <f ca="1">BDP("46247SGG Muni","GB_ASSURANCE_PROVIDERS")</f>
        <v>#NAME?</v>
      </c>
      <c r="O669" t="e">
        <f ca="1">BDP("46247SGG Muni","GB_PROJECT_SELECTION_PROCESS")</f>
        <v>#NAME?</v>
      </c>
      <c r="P669" t="e">
        <f ca="1">BDP("46247SGG Muni","ESG_FRAMEWORK_INDICATOR")</f>
        <v>#NAME?</v>
      </c>
      <c r="Q669" t="e">
        <f ca="1">BDP("46247SGG Muni","BLOOMBERG_SECTOR_CODE")</f>
        <v>#NAME?</v>
      </c>
      <c r="R669" t="e">
        <f ca="1">BDP("46247SGG Muni","ISSUER_TYPE")</f>
        <v>#NAME?</v>
      </c>
      <c r="S669" t="e">
        <f ca="1">BDS("46247SGG Muni","ESG_PROJECT_CATEGORY", "aggregate=y")</f>
        <v>#NAME?</v>
      </c>
      <c r="T669" t="e">
        <f ca="1">BDS("46247SGG Muni","ESG_PROJECT_SUBCATEGORY", "aggregate=y")</f>
        <v>#NAME?</v>
      </c>
    </row>
    <row r="670" spans="1:20" x14ac:dyDescent="0.25">
      <c r="A670" t="e">
        <f ca="1">BDP("46247SGJ Muni","ID_CUSIP")</f>
        <v>#NAME?</v>
      </c>
      <c r="B670" t="e">
        <f ca="1">BDP("46247SGJ Muni","STATE_CODE")</f>
        <v>#NAME?</v>
      </c>
      <c r="C670" t="s">
        <v>50</v>
      </c>
      <c r="D670" t="e">
        <f ca="1">BDP("46247SGJ Muni","YIELD_ON_ISSUE_DATE")</f>
        <v>#NAME?</v>
      </c>
      <c r="E670">
        <v>8525000</v>
      </c>
      <c r="F670" t="e">
        <f ca="1">BDP("46247SGJ Muni","ISSUE_DT")</f>
        <v>#NAME?</v>
      </c>
      <c r="G670" t="e">
        <f ca="1">BDP("46247SGJ Muni","MATURITY")</f>
        <v>#NAME?</v>
      </c>
      <c r="H670" t="e">
        <f ca="1">BDP("46247SGJ Muni","MUNI_TAX_PROV")</f>
        <v>#NAME?</v>
      </c>
      <c r="I670" t="e">
        <f ca="1">BDP("46247SGJ Muni","FINANCING_TYPE")</f>
        <v>#NAME?</v>
      </c>
      <c r="J670" t="e">
        <f ca="1">BDP("46247SGJ Muni","BICS_LEVEL_2_INDUSTRY_GROUP_NAME")</f>
        <v>#NAME?</v>
      </c>
      <c r="K670" t="e">
        <f ca="1">BDP("46247SGJ Muni","SELF_REPRTD_GREEN_INSTR_INDCTR")</f>
        <v>#NAME?</v>
      </c>
      <c r="L670" t="e">
        <f ca="1">BDP("46247SGJ Muni","GB_MANAGEMENT_PROCEEDS")</f>
        <v>#NAME?</v>
      </c>
      <c r="M670" t="e">
        <f ca="1">BDP("46247SGJ Muni","GB_REPORTING")</f>
        <v>#NAME?</v>
      </c>
      <c r="N670" t="e">
        <f ca="1">BDP("46247SGJ Muni","GB_ASSURANCE_PROVIDERS")</f>
        <v>#NAME?</v>
      </c>
      <c r="O670" t="e">
        <f ca="1">BDP("46247SGJ Muni","GB_PROJECT_SELECTION_PROCESS")</f>
        <v>#NAME?</v>
      </c>
      <c r="P670" t="e">
        <f ca="1">BDP("46247SGJ Muni","ESG_FRAMEWORK_INDICATOR")</f>
        <v>#NAME?</v>
      </c>
      <c r="Q670" t="e">
        <f ca="1">BDP("46247SGJ Muni","BLOOMBERG_SECTOR_CODE")</f>
        <v>#NAME?</v>
      </c>
      <c r="R670" t="e">
        <f ca="1">BDP("46247SGJ Muni","ISSUER_TYPE")</f>
        <v>#NAME?</v>
      </c>
      <c r="S670" t="e">
        <f ca="1">BDS("46247SGJ Muni","ESG_PROJECT_CATEGORY", "aggregate=y")</f>
        <v>#NAME?</v>
      </c>
      <c r="T670" t="e">
        <f ca="1">BDS("46247SGJ Muni","ESG_PROJECT_SUBCATEGORY", "aggregate=y")</f>
        <v>#NAME?</v>
      </c>
    </row>
    <row r="671" spans="1:20" x14ac:dyDescent="0.25">
      <c r="A671" t="e">
        <f ca="1">BDP("46247SGK Muni","ID_CUSIP")</f>
        <v>#NAME?</v>
      </c>
      <c r="B671" t="e">
        <f ca="1">BDP("46247SGK Muni","STATE_CODE")</f>
        <v>#NAME?</v>
      </c>
      <c r="C671" t="s">
        <v>50</v>
      </c>
      <c r="D671" t="e">
        <f ca="1">BDP("46247SGK Muni","YIELD_ON_ISSUE_DATE")</f>
        <v>#NAME?</v>
      </c>
      <c r="E671">
        <v>8350000</v>
      </c>
      <c r="F671" t="e">
        <f ca="1">BDP("46247SGK Muni","ISSUE_DT")</f>
        <v>#NAME?</v>
      </c>
      <c r="G671" t="e">
        <f ca="1">BDP("46247SGK Muni","MATURITY")</f>
        <v>#NAME?</v>
      </c>
      <c r="H671" t="e">
        <f ca="1">BDP("46247SGK Muni","MUNI_TAX_PROV")</f>
        <v>#NAME?</v>
      </c>
      <c r="I671" t="e">
        <f ca="1">BDP("46247SGK Muni","FINANCING_TYPE")</f>
        <v>#NAME?</v>
      </c>
      <c r="J671" t="e">
        <f ca="1">BDP("46247SGK Muni","BICS_LEVEL_2_INDUSTRY_GROUP_NAME")</f>
        <v>#NAME?</v>
      </c>
      <c r="K671" t="e">
        <f ca="1">BDP("46247SGK Muni","SELF_REPRTD_GREEN_INSTR_INDCTR")</f>
        <v>#NAME?</v>
      </c>
      <c r="L671" t="e">
        <f ca="1">BDP("46247SGK Muni","GB_MANAGEMENT_PROCEEDS")</f>
        <v>#NAME?</v>
      </c>
      <c r="M671" t="e">
        <f ca="1">BDP("46247SGK Muni","GB_REPORTING")</f>
        <v>#NAME?</v>
      </c>
      <c r="N671" t="e">
        <f ca="1">BDP("46247SGK Muni","GB_ASSURANCE_PROVIDERS")</f>
        <v>#NAME?</v>
      </c>
      <c r="O671" t="e">
        <f ca="1">BDP("46247SGK Muni","GB_PROJECT_SELECTION_PROCESS")</f>
        <v>#NAME?</v>
      </c>
      <c r="P671" t="e">
        <f ca="1">BDP("46247SGK Muni","ESG_FRAMEWORK_INDICATOR")</f>
        <v>#NAME?</v>
      </c>
      <c r="Q671" t="e">
        <f ca="1">BDP("46247SGK Muni","BLOOMBERG_SECTOR_CODE")</f>
        <v>#NAME?</v>
      </c>
      <c r="R671" t="e">
        <f ca="1">BDP("46247SGK Muni","ISSUER_TYPE")</f>
        <v>#NAME?</v>
      </c>
      <c r="S671" t="e">
        <f ca="1">BDS("46247SGK Muni","ESG_PROJECT_CATEGORY", "aggregate=y")</f>
        <v>#NAME?</v>
      </c>
      <c r="T671" t="e">
        <f ca="1">BDS("46247SGK Muni","ESG_PROJECT_SUBCATEGORY", "aggregate=y")</f>
        <v>#NAME?</v>
      </c>
    </row>
    <row r="672" spans="1:20" x14ac:dyDescent="0.25">
      <c r="A672" t="e">
        <f ca="1">BDP("46247SGN Muni","ID_CUSIP")</f>
        <v>#NAME?</v>
      </c>
      <c r="B672" t="e">
        <f ca="1">BDP("46247SGN Muni","STATE_CODE")</f>
        <v>#NAME?</v>
      </c>
      <c r="C672" t="s">
        <v>50</v>
      </c>
      <c r="D672" t="e">
        <f ca="1">BDP("46247SGN Muni","YIELD_ON_ISSUE_DATE")</f>
        <v>#NAME?</v>
      </c>
      <c r="E672">
        <v>8155000</v>
      </c>
      <c r="F672" t="e">
        <f ca="1">BDP("46247SGN Muni","ISSUE_DT")</f>
        <v>#NAME?</v>
      </c>
      <c r="G672" t="e">
        <f ca="1">BDP("46247SGN Muni","MATURITY")</f>
        <v>#NAME?</v>
      </c>
      <c r="H672" t="e">
        <f ca="1">BDP("46247SGN Muni","MUNI_TAX_PROV")</f>
        <v>#NAME?</v>
      </c>
      <c r="I672" t="e">
        <f ca="1">BDP("46247SGN Muni","FINANCING_TYPE")</f>
        <v>#NAME?</v>
      </c>
      <c r="J672" t="e">
        <f ca="1">BDP("46247SGN Muni","BICS_LEVEL_2_INDUSTRY_GROUP_NAME")</f>
        <v>#NAME?</v>
      </c>
      <c r="K672" t="e">
        <f ca="1">BDP("46247SGN Muni","SELF_REPRTD_GREEN_INSTR_INDCTR")</f>
        <v>#NAME?</v>
      </c>
      <c r="L672" t="e">
        <f ca="1">BDP("46247SGN Muni","GB_MANAGEMENT_PROCEEDS")</f>
        <v>#NAME?</v>
      </c>
      <c r="M672" t="e">
        <f ca="1">BDP("46247SGN Muni","GB_REPORTING")</f>
        <v>#NAME?</v>
      </c>
      <c r="N672" t="e">
        <f ca="1">BDP("46247SGN Muni","GB_ASSURANCE_PROVIDERS")</f>
        <v>#NAME?</v>
      </c>
      <c r="O672" t="e">
        <f ca="1">BDP("46247SGN Muni","GB_PROJECT_SELECTION_PROCESS")</f>
        <v>#NAME?</v>
      </c>
      <c r="P672" t="e">
        <f ca="1">BDP("46247SGN Muni","ESG_FRAMEWORK_INDICATOR")</f>
        <v>#NAME?</v>
      </c>
      <c r="Q672" t="e">
        <f ca="1">BDP("46247SGN Muni","BLOOMBERG_SECTOR_CODE")</f>
        <v>#NAME?</v>
      </c>
      <c r="R672" t="e">
        <f ca="1">BDP("46247SGN Muni","ISSUER_TYPE")</f>
        <v>#NAME?</v>
      </c>
      <c r="S672" t="e">
        <f ca="1">BDS("46247SGN Muni","ESG_PROJECT_CATEGORY", "aggregate=y")</f>
        <v>#NAME?</v>
      </c>
      <c r="T672" t="e">
        <f ca="1">BDS("46247SGN Muni","ESG_PROJECT_SUBCATEGORY", "aggregate=y")</f>
        <v>#NAME?</v>
      </c>
    </row>
    <row r="673" spans="1:20" x14ac:dyDescent="0.25">
      <c r="A673" t="e">
        <f ca="1">BDP("46247SGQ Muni","ID_CUSIP")</f>
        <v>#NAME?</v>
      </c>
      <c r="B673" t="e">
        <f ca="1">BDP("46247SGQ Muni","STATE_CODE")</f>
        <v>#NAME?</v>
      </c>
      <c r="C673" t="s">
        <v>50</v>
      </c>
      <c r="D673" t="e">
        <f ca="1">BDP("46247SGQ Muni","YIELD_ON_ISSUE_DATE")</f>
        <v>#NAME?</v>
      </c>
      <c r="E673">
        <v>6050000</v>
      </c>
      <c r="F673" t="e">
        <f ca="1">BDP("46247SGQ Muni","ISSUE_DT")</f>
        <v>#NAME?</v>
      </c>
      <c r="G673" t="e">
        <f ca="1">BDP("46247SGQ Muni","MATURITY")</f>
        <v>#NAME?</v>
      </c>
      <c r="H673" t="e">
        <f ca="1">BDP("46247SGQ Muni","MUNI_TAX_PROV")</f>
        <v>#NAME?</v>
      </c>
      <c r="I673" t="e">
        <f ca="1">BDP("46247SGQ Muni","FINANCING_TYPE")</f>
        <v>#NAME?</v>
      </c>
      <c r="J673" t="e">
        <f ca="1">BDP("46247SGQ Muni","BICS_LEVEL_2_INDUSTRY_GROUP_NAME")</f>
        <v>#NAME?</v>
      </c>
      <c r="K673" t="e">
        <f ca="1">BDP("46247SGQ Muni","SELF_REPRTD_GREEN_INSTR_INDCTR")</f>
        <v>#NAME?</v>
      </c>
      <c r="L673" t="e">
        <f ca="1">BDP("46247SGQ Muni","GB_MANAGEMENT_PROCEEDS")</f>
        <v>#NAME?</v>
      </c>
      <c r="M673" t="e">
        <f ca="1">BDP("46247SGQ Muni","GB_REPORTING")</f>
        <v>#NAME?</v>
      </c>
      <c r="N673" t="e">
        <f ca="1">BDP("46247SGQ Muni","GB_ASSURANCE_PROVIDERS")</f>
        <v>#NAME?</v>
      </c>
      <c r="O673" t="e">
        <f ca="1">BDP("46247SGQ Muni","GB_PROJECT_SELECTION_PROCESS")</f>
        <v>#NAME?</v>
      </c>
      <c r="P673" t="e">
        <f ca="1">BDP("46247SGQ Muni","ESG_FRAMEWORK_INDICATOR")</f>
        <v>#NAME?</v>
      </c>
      <c r="Q673" t="e">
        <f ca="1">BDP("46247SGQ Muni","BLOOMBERG_SECTOR_CODE")</f>
        <v>#NAME?</v>
      </c>
      <c r="R673" t="e">
        <f ca="1">BDP("46247SGQ Muni","ISSUER_TYPE")</f>
        <v>#NAME?</v>
      </c>
      <c r="S673" t="e">
        <f ca="1">BDS("46247SGQ Muni","ESG_PROJECT_CATEGORY", "aggregate=y")</f>
        <v>#NAME?</v>
      </c>
      <c r="T673" t="e">
        <f ca="1">BDS("46247SGQ Muni","ESG_PROJECT_SUBCATEGORY", "aggregate=y")</f>
        <v>#NAME?</v>
      </c>
    </row>
    <row r="674" spans="1:20" x14ac:dyDescent="0.25">
      <c r="A674" t="e">
        <f ca="1">BDP("46247SGR Muni","ID_CUSIP")</f>
        <v>#NAME?</v>
      </c>
      <c r="B674" t="e">
        <f ca="1">BDP("46247SGR Muni","STATE_CODE")</f>
        <v>#NAME?</v>
      </c>
      <c r="C674" t="s">
        <v>50</v>
      </c>
      <c r="D674" t="e">
        <f ca="1">BDP("46247SGR Muni","YIELD_ON_ISSUE_DATE")</f>
        <v>#NAME?</v>
      </c>
      <c r="E674">
        <v>7610000</v>
      </c>
      <c r="F674" t="e">
        <f ca="1">BDP("46247SGR Muni","ISSUE_DT")</f>
        <v>#NAME?</v>
      </c>
      <c r="G674" t="e">
        <f ca="1">BDP("46247SGR Muni","MATURITY")</f>
        <v>#NAME?</v>
      </c>
      <c r="H674" t="e">
        <f ca="1">BDP("46247SGR Muni","MUNI_TAX_PROV")</f>
        <v>#NAME?</v>
      </c>
      <c r="I674" t="e">
        <f ca="1">BDP("46247SGR Muni","FINANCING_TYPE")</f>
        <v>#NAME?</v>
      </c>
      <c r="J674" t="e">
        <f ca="1">BDP("46247SGR Muni","BICS_LEVEL_2_INDUSTRY_GROUP_NAME")</f>
        <v>#NAME?</v>
      </c>
      <c r="K674" t="e">
        <f ca="1">BDP("46247SGR Muni","SELF_REPRTD_GREEN_INSTR_INDCTR")</f>
        <v>#NAME?</v>
      </c>
      <c r="L674" t="e">
        <f ca="1">BDP("46247SGR Muni","GB_MANAGEMENT_PROCEEDS")</f>
        <v>#NAME?</v>
      </c>
      <c r="M674" t="e">
        <f ca="1">BDP("46247SGR Muni","GB_REPORTING")</f>
        <v>#NAME?</v>
      </c>
      <c r="N674" t="e">
        <f ca="1">BDP("46247SGR Muni","GB_ASSURANCE_PROVIDERS")</f>
        <v>#NAME?</v>
      </c>
      <c r="O674" t="e">
        <f ca="1">BDP("46247SGR Muni","GB_PROJECT_SELECTION_PROCESS")</f>
        <v>#NAME?</v>
      </c>
      <c r="P674" t="e">
        <f ca="1">BDP("46247SGR Muni","ESG_FRAMEWORK_INDICATOR")</f>
        <v>#NAME?</v>
      </c>
      <c r="Q674" t="e">
        <f ca="1">BDP("46247SGR Muni","BLOOMBERG_SECTOR_CODE")</f>
        <v>#NAME?</v>
      </c>
      <c r="R674" t="e">
        <f ca="1">BDP("46247SGR Muni","ISSUER_TYPE")</f>
        <v>#NAME?</v>
      </c>
      <c r="S674" t="e">
        <f ca="1">BDS("46247SGR Muni","ESG_PROJECT_CATEGORY", "aggregate=y")</f>
        <v>#NAME?</v>
      </c>
      <c r="T674" t="e">
        <f ca="1">BDS("46247SGR Muni","ESG_PROJECT_SUBCATEGORY", "aggregate=y")</f>
        <v>#NAME?</v>
      </c>
    </row>
    <row r="675" spans="1:20" x14ac:dyDescent="0.25">
      <c r="A675" t="e">
        <f ca="1">BDP("46247SGS Muni","ID_CUSIP")</f>
        <v>#NAME?</v>
      </c>
      <c r="B675" t="e">
        <f ca="1">BDP("46247SGS Muni","STATE_CODE")</f>
        <v>#NAME?</v>
      </c>
      <c r="C675" t="s">
        <v>50</v>
      </c>
      <c r="D675" t="e">
        <f ca="1">BDP("46247SGS Muni","YIELD_ON_ISSUE_DATE")</f>
        <v>#NAME?</v>
      </c>
      <c r="E675">
        <v>8000000</v>
      </c>
      <c r="F675" t="e">
        <f ca="1">BDP("46247SGS Muni","ISSUE_DT")</f>
        <v>#NAME?</v>
      </c>
      <c r="G675" t="e">
        <f ca="1">BDP("46247SGS Muni","MATURITY")</f>
        <v>#NAME?</v>
      </c>
      <c r="H675" t="e">
        <f ca="1">BDP("46247SGS Muni","MUNI_TAX_PROV")</f>
        <v>#NAME?</v>
      </c>
      <c r="I675" t="e">
        <f ca="1">BDP("46247SGS Muni","FINANCING_TYPE")</f>
        <v>#NAME?</v>
      </c>
      <c r="J675" t="e">
        <f ca="1">BDP("46247SGS Muni","BICS_LEVEL_2_INDUSTRY_GROUP_NAME")</f>
        <v>#NAME?</v>
      </c>
      <c r="K675" t="e">
        <f ca="1">BDP("46247SGS Muni","SELF_REPRTD_GREEN_INSTR_INDCTR")</f>
        <v>#NAME?</v>
      </c>
      <c r="L675" t="e">
        <f ca="1">BDP("46247SGS Muni","GB_MANAGEMENT_PROCEEDS")</f>
        <v>#NAME?</v>
      </c>
      <c r="M675" t="e">
        <f ca="1">BDP("46247SGS Muni","GB_REPORTING")</f>
        <v>#NAME?</v>
      </c>
      <c r="N675" t="e">
        <f ca="1">BDP("46247SGS Muni","GB_ASSURANCE_PROVIDERS")</f>
        <v>#NAME?</v>
      </c>
      <c r="O675" t="e">
        <f ca="1">BDP("46247SGS Muni","GB_PROJECT_SELECTION_PROCESS")</f>
        <v>#NAME?</v>
      </c>
      <c r="P675" t="e">
        <f ca="1">BDP("46247SGS Muni","ESG_FRAMEWORK_INDICATOR")</f>
        <v>#NAME?</v>
      </c>
      <c r="Q675" t="e">
        <f ca="1">BDP("46247SGS Muni","BLOOMBERG_SECTOR_CODE")</f>
        <v>#NAME?</v>
      </c>
      <c r="R675" t="e">
        <f ca="1">BDP("46247SGS Muni","ISSUER_TYPE")</f>
        <v>#NAME?</v>
      </c>
      <c r="S675" t="e">
        <f ca="1">BDS("46247SGS Muni","ESG_PROJECT_CATEGORY", "aggregate=y")</f>
        <v>#NAME?</v>
      </c>
      <c r="T675" t="e">
        <f ca="1">BDS("46247SGS Muni","ESG_PROJECT_SUBCATEGORY", "aggregate=y")</f>
        <v>#NAME?</v>
      </c>
    </row>
    <row r="676" spans="1:20" x14ac:dyDescent="0.25">
      <c r="A676" t="e">
        <f ca="1">BDP("46247SGT Muni","ID_CUSIP")</f>
        <v>#NAME?</v>
      </c>
      <c r="B676" t="e">
        <f ca="1">BDP("46247SGT Muni","STATE_CODE")</f>
        <v>#NAME?</v>
      </c>
      <c r="C676" t="s">
        <v>50</v>
      </c>
      <c r="D676" t="e">
        <f ca="1">BDP("46247SGT Muni","YIELD_ON_ISSUE_DATE")</f>
        <v>#NAME?</v>
      </c>
      <c r="E676">
        <v>4775000</v>
      </c>
      <c r="F676" t="e">
        <f ca="1">BDP("46247SGT Muni","ISSUE_DT")</f>
        <v>#NAME?</v>
      </c>
      <c r="G676" t="e">
        <f ca="1">BDP("46247SGT Muni","MATURITY")</f>
        <v>#NAME?</v>
      </c>
      <c r="H676" t="e">
        <f ca="1">BDP("46247SGT Muni","MUNI_TAX_PROV")</f>
        <v>#NAME?</v>
      </c>
      <c r="I676" t="e">
        <f ca="1">BDP("46247SGT Muni","FINANCING_TYPE")</f>
        <v>#NAME?</v>
      </c>
      <c r="J676" t="e">
        <f ca="1">BDP("46247SGT Muni","BICS_LEVEL_2_INDUSTRY_GROUP_NAME")</f>
        <v>#NAME?</v>
      </c>
      <c r="K676" t="e">
        <f ca="1">BDP("46247SGT Muni","SELF_REPRTD_GREEN_INSTR_INDCTR")</f>
        <v>#NAME?</v>
      </c>
      <c r="L676" t="e">
        <f ca="1">BDP("46247SGT Muni","GB_MANAGEMENT_PROCEEDS")</f>
        <v>#NAME?</v>
      </c>
      <c r="M676" t="e">
        <f ca="1">BDP("46247SGT Muni","GB_REPORTING")</f>
        <v>#NAME?</v>
      </c>
      <c r="N676" t="e">
        <f ca="1">BDP("46247SGT Muni","GB_ASSURANCE_PROVIDERS")</f>
        <v>#NAME?</v>
      </c>
      <c r="O676" t="e">
        <f ca="1">BDP("46247SGT Muni","GB_PROJECT_SELECTION_PROCESS")</f>
        <v>#NAME?</v>
      </c>
      <c r="P676" t="e">
        <f ca="1">BDP("46247SGT Muni","ESG_FRAMEWORK_INDICATOR")</f>
        <v>#NAME?</v>
      </c>
      <c r="Q676" t="e">
        <f ca="1">BDP("46247SGT Muni","BLOOMBERG_SECTOR_CODE")</f>
        <v>#NAME?</v>
      </c>
      <c r="R676" t="e">
        <f ca="1">BDP("46247SGT Muni","ISSUER_TYPE")</f>
        <v>#NAME?</v>
      </c>
      <c r="S676" t="e">
        <f ca="1">BDS("46247SGT Muni","ESG_PROJECT_CATEGORY", "aggregate=y")</f>
        <v>#NAME?</v>
      </c>
      <c r="T676" t="e">
        <f ca="1">BDS("46247SGT Muni","ESG_PROJECT_SUBCATEGORY", "aggregate=y")</f>
        <v>#NAME?</v>
      </c>
    </row>
    <row r="677" spans="1:20" x14ac:dyDescent="0.25">
      <c r="A677" t="e">
        <f ca="1">BDP("46247SGU Muni","ID_CUSIP")</f>
        <v>#NAME?</v>
      </c>
      <c r="B677" t="e">
        <f ca="1">BDP("46247SGU Muni","STATE_CODE")</f>
        <v>#NAME?</v>
      </c>
      <c r="C677" t="s">
        <v>50</v>
      </c>
      <c r="D677" t="e">
        <f ca="1">BDP("46247SGU Muni","YIELD_ON_ISSUE_DATE")</f>
        <v>#NAME?</v>
      </c>
      <c r="E677">
        <v>4985000</v>
      </c>
      <c r="F677" t="e">
        <f ca="1">BDP("46247SGU Muni","ISSUE_DT")</f>
        <v>#NAME?</v>
      </c>
      <c r="G677" t="e">
        <f ca="1">BDP("46247SGU Muni","MATURITY")</f>
        <v>#NAME?</v>
      </c>
      <c r="H677" t="e">
        <f ca="1">BDP("46247SGU Muni","MUNI_TAX_PROV")</f>
        <v>#NAME?</v>
      </c>
      <c r="I677" t="e">
        <f ca="1">BDP("46247SGU Muni","FINANCING_TYPE")</f>
        <v>#NAME?</v>
      </c>
      <c r="J677" t="e">
        <f ca="1">BDP("46247SGU Muni","BICS_LEVEL_2_INDUSTRY_GROUP_NAME")</f>
        <v>#NAME?</v>
      </c>
      <c r="K677" t="e">
        <f ca="1">BDP("46247SGU Muni","SELF_REPRTD_GREEN_INSTR_INDCTR")</f>
        <v>#NAME?</v>
      </c>
      <c r="L677" t="e">
        <f ca="1">BDP("46247SGU Muni","GB_MANAGEMENT_PROCEEDS")</f>
        <v>#NAME?</v>
      </c>
      <c r="M677" t="e">
        <f ca="1">BDP("46247SGU Muni","GB_REPORTING")</f>
        <v>#NAME?</v>
      </c>
      <c r="N677" t="e">
        <f ca="1">BDP("46247SGU Muni","GB_ASSURANCE_PROVIDERS")</f>
        <v>#NAME?</v>
      </c>
      <c r="O677" t="e">
        <f ca="1">BDP("46247SGU Muni","GB_PROJECT_SELECTION_PROCESS")</f>
        <v>#NAME?</v>
      </c>
      <c r="P677" t="e">
        <f ca="1">BDP("46247SGU Muni","ESG_FRAMEWORK_INDICATOR")</f>
        <v>#NAME?</v>
      </c>
      <c r="Q677" t="e">
        <f ca="1">BDP("46247SGU Muni","BLOOMBERG_SECTOR_CODE")</f>
        <v>#NAME?</v>
      </c>
      <c r="R677" t="e">
        <f ca="1">BDP("46247SGU Muni","ISSUER_TYPE")</f>
        <v>#NAME?</v>
      </c>
      <c r="S677" t="e">
        <f ca="1">BDS("46247SGU Muni","ESG_PROJECT_CATEGORY", "aggregate=y")</f>
        <v>#NAME?</v>
      </c>
      <c r="T677" t="e">
        <f ca="1">BDS("46247SGU Muni","ESG_PROJECT_SUBCATEGORY", "aggregate=y")</f>
        <v>#NAME?</v>
      </c>
    </row>
    <row r="678" spans="1:20" x14ac:dyDescent="0.25">
      <c r="A678" t="e">
        <f ca="1">BDP("46247SGV Muni","ID_CUSIP")</f>
        <v>#NAME?</v>
      </c>
      <c r="B678" t="e">
        <f ca="1">BDP("46247SGV Muni","STATE_CODE")</f>
        <v>#NAME?</v>
      </c>
      <c r="C678" t="s">
        <v>50</v>
      </c>
      <c r="D678" t="e">
        <f ca="1">BDP("46247SGV Muni","YIELD_ON_ISSUE_DATE")</f>
        <v>#NAME?</v>
      </c>
      <c r="E678">
        <v>5215000</v>
      </c>
      <c r="F678" t="e">
        <f ca="1">BDP("46247SGV Muni","ISSUE_DT")</f>
        <v>#NAME?</v>
      </c>
      <c r="G678" t="e">
        <f ca="1">BDP("46247SGV Muni","MATURITY")</f>
        <v>#NAME?</v>
      </c>
      <c r="H678" t="e">
        <f ca="1">BDP("46247SGV Muni","MUNI_TAX_PROV")</f>
        <v>#NAME?</v>
      </c>
      <c r="I678" t="e">
        <f ca="1">BDP("46247SGV Muni","FINANCING_TYPE")</f>
        <v>#NAME?</v>
      </c>
      <c r="J678" t="e">
        <f ca="1">BDP("46247SGV Muni","BICS_LEVEL_2_INDUSTRY_GROUP_NAME")</f>
        <v>#NAME?</v>
      </c>
      <c r="K678" t="e">
        <f ca="1">BDP("46247SGV Muni","SELF_REPRTD_GREEN_INSTR_INDCTR")</f>
        <v>#NAME?</v>
      </c>
      <c r="L678" t="e">
        <f ca="1">BDP("46247SGV Muni","GB_MANAGEMENT_PROCEEDS")</f>
        <v>#NAME?</v>
      </c>
      <c r="M678" t="e">
        <f ca="1">BDP("46247SGV Muni","GB_REPORTING")</f>
        <v>#NAME?</v>
      </c>
      <c r="N678" t="e">
        <f ca="1">BDP("46247SGV Muni","GB_ASSURANCE_PROVIDERS")</f>
        <v>#NAME?</v>
      </c>
      <c r="O678" t="e">
        <f ca="1">BDP("46247SGV Muni","GB_PROJECT_SELECTION_PROCESS")</f>
        <v>#NAME?</v>
      </c>
      <c r="P678" t="e">
        <f ca="1">BDP("46247SGV Muni","ESG_FRAMEWORK_INDICATOR")</f>
        <v>#NAME?</v>
      </c>
      <c r="Q678" t="e">
        <f ca="1">BDP("46247SGV Muni","BLOOMBERG_SECTOR_CODE")</f>
        <v>#NAME?</v>
      </c>
      <c r="R678" t="e">
        <f ca="1">BDP("46247SGV Muni","ISSUER_TYPE")</f>
        <v>#NAME?</v>
      </c>
      <c r="S678" t="e">
        <f ca="1">BDS("46247SGV Muni","ESG_PROJECT_CATEGORY", "aggregate=y")</f>
        <v>#NAME?</v>
      </c>
      <c r="T678" t="e">
        <f ca="1">BDS("46247SGV Muni","ESG_PROJECT_SUBCATEGORY", "aggregate=y")</f>
        <v>#NAME?</v>
      </c>
    </row>
    <row r="679" spans="1:20" x14ac:dyDescent="0.25">
      <c r="A679" t="e">
        <f ca="1">BDP("46247SGX Muni","ID_CUSIP")</f>
        <v>#NAME?</v>
      </c>
      <c r="B679" t="e">
        <f ca="1">BDP("46247SGX Muni","STATE_CODE")</f>
        <v>#NAME?</v>
      </c>
      <c r="C679" t="s">
        <v>50</v>
      </c>
      <c r="D679" t="e">
        <f ca="1">BDP("46247SGX Muni","YIELD_ON_ISSUE_DATE")</f>
        <v>#NAME?</v>
      </c>
      <c r="E679">
        <v>6530000</v>
      </c>
      <c r="F679" t="e">
        <f ca="1">BDP("46247SGX Muni","ISSUE_DT")</f>
        <v>#NAME?</v>
      </c>
      <c r="G679" t="e">
        <f ca="1">BDP("46247SGX Muni","MATURITY")</f>
        <v>#NAME?</v>
      </c>
      <c r="H679" t="e">
        <f ca="1">BDP("46247SGX Muni","MUNI_TAX_PROV")</f>
        <v>#NAME?</v>
      </c>
      <c r="I679" t="e">
        <f ca="1">BDP("46247SGX Muni","FINANCING_TYPE")</f>
        <v>#NAME?</v>
      </c>
      <c r="J679" t="e">
        <f ca="1">BDP("46247SGX Muni","BICS_LEVEL_2_INDUSTRY_GROUP_NAME")</f>
        <v>#NAME?</v>
      </c>
      <c r="K679" t="e">
        <f ca="1">BDP("46247SGX Muni","SELF_REPRTD_GREEN_INSTR_INDCTR")</f>
        <v>#NAME?</v>
      </c>
      <c r="L679" t="e">
        <f ca="1">BDP("46247SGX Muni","GB_MANAGEMENT_PROCEEDS")</f>
        <v>#NAME?</v>
      </c>
      <c r="M679" t="e">
        <f ca="1">BDP("46247SGX Muni","GB_REPORTING")</f>
        <v>#NAME?</v>
      </c>
      <c r="N679" t="e">
        <f ca="1">BDP("46247SGX Muni","GB_ASSURANCE_PROVIDERS")</f>
        <v>#NAME?</v>
      </c>
      <c r="O679" t="e">
        <f ca="1">BDP("46247SGX Muni","GB_PROJECT_SELECTION_PROCESS")</f>
        <v>#NAME?</v>
      </c>
      <c r="P679" t="e">
        <f ca="1">BDP("46247SGX Muni","ESG_FRAMEWORK_INDICATOR")</f>
        <v>#NAME?</v>
      </c>
      <c r="Q679" t="e">
        <f ca="1">BDP("46247SGX Muni","BLOOMBERG_SECTOR_CODE")</f>
        <v>#NAME?</v>
      </c>
      <c r="R679" t="e">
        <f ca="1">BDP("46247SGX Muni","ISSUER_TYPE")</f>
        <v>#NAME?</v>
      </c>
      <c r="S679" t="e">
        <f ca="1">BDS("46247SGX Muni","ESG_PROJECT_CATEGORY", "aggregate=y")</f>
        <v>#NAME?</v>
      </c>
      <c r="T679" t="e">
        <f ca="1">BDS("46247SGX Muni","ESG_PROJECT_SUBCATEGORY", "aggregate=y")</f>
        <v>#NAME?</v>
      </c>
    </row>
    <row r="680" spans="1:20" x14ac:dyDescent="0.25">
      <c r="A680" t="e">
        <f ca="1">BDP("46247SGY Muni","ID_CUSIP")</f>
        <v>#NAME?</v>
      </c>
      <c r="B680" t="e">
        <f ca="1">BDP("46247SGY Muni","STATE_CODE")</f>
        <v>#NAME?</v>
      </c>
      <c r="C680" t="s">
        <v>50</v>
      </c>
      <c r="D680" t="e">
        <f ca="1">BDP("46247SGY Muni","YIELD_ON_ISSUE_DATE")</f>
        <v>#NAME?</v>
      </c>
      <c r="E680">
        <v>6805000</v>
      </c>
      <c r="F680" t="e">
        <f ca="1">BDP("46247SGY Muni","ISSUE_DT")</f>
        <v>#NAME?</v>
      </c>
      <c r="G680" t="e">
        <f ca="1">BDP("46247SGY Muni","MATURITY")</f>
        <v>#NAME?</v>
      </c>
      <c r="H680" t="e">
        <f ca="1">BDP("46247SGY Muni","MUNI_TAX_PROV")</f>
        <v>#NAME?</v>
      </c>
      <c r="I680" t="e">
        <f ca="1">BDP("46247SGY Muni","FINANCING_TYPE")</f>
        <v>#NAME?</v>
      </c>
      <c r="J680" t="e">
        <f ca="1">BDP("46247SGY Muni","BICS_LEVEL_2_INDUSTRY_GROUP_NAME")</f>
        <v>#NAME?</v>
      </c>
      <c r="K680" t="e">
        <f ca="1">BDP("46247SGY Muni","SELF_REPRTD_GREEN_INSTR_INDCTR")</f>
        <v>#NAME?</v>
      </c>
      <c r="L680" t="e">
        <f ca="1">BDP("46247SGY Muni","GB_MANAGEMENT_PROCEEDS")</f>
        <v>#NAME?</v>
      </c>
      <c r="M680" t="e">
        <f ca="1">BDP("46247SGY Muni","GB_REPORTING")</f>
        <v>#NAME?</v>
      </c>
      <c r="N680" t="e">
        <f ca="1">BDP("46247SGY Muni","GB_ASSURANCE_PROVIDERS")</f>
        <v>#NAME?</v>
      </c>
      <c r="O680" t="e">
        <f ca="1">BDP("46247SGY Muni","GB_PROJECT_SELECTION_PROCESS")</f>
        <v>#NAME?</v>
      </c>
      <c r="P680" t="e">
        <f ca="1">BDP("46247SGY Muni","ESG_FRAMEWORK_INDICATOR")</f>
        <v>#NAME?</v>
      </c>
      <c r="Q680" t="e">
        <f ca="1">BDP("46247SGY Muni","BLOOMBERG_SECTOR_CODE")</f>
        <v>#NAME?</v>
      </c>
      <c r="R680" t="e">
        <f ca="1">BDP("46247SGY Muni","ISSUER_TYPE")</f>
        <v>#NAME?</v>
      </c>
      <c r="S680" t="e">
        <f ca="1">BDS("46247SGY Muni","ESG_PROJECT_CATEGORY", "aggregate=y")</f>
        <v>#NAME?</v>
      </c>
      <c r="T680" t="e">
        <f ca="1">BDS("46247SGY Muni","ESG_PROJECT_SUBCATEGORY", "aggregate=y")</f>
        <v>#NAME?</v>
      </c>
    </row>
    <row r="681" spans="1:20" x14ac:dyDescent="0.25">
      <c r="A681" t="e">
        <f ca="1">BDP("46247SGZ Muni","ID_CUSIP")</f>
        <v>#NAME?</v>
      </c>
      <c r="B681" t="e">
        <f ca="1">BDP("46247SGZ Muni","STATE_CODE")</f>
        <v>#NAME?</v>
      </c>
      <c r="C681" t="s">
        <v>50</v>
      </c>
      <c r="D681" t="e">
        <f ca="1">BDP("46247SGZ Muni","YIELD_ON_ISSUE_DATE")</f>
        <v>#NAME?</v>
      </c>
      <c r="E681">
        <v>7085000</v>
      </c>
      <c r="F681" t="e">
        <f ca="1">BDP("46247SGZ Muni","ISSUE_DT")</f>
        <v>#NAME?</v>
      </c>
      <c r="G681" t="e">
        <f ca="1">BDP("46247SGZ Muni","MATURITY")</f>
        <v>#NAME?</v>
      </c>
      <c r="H681" t="e">
        <f ca="1">BDP("46247SGZ Muni","MUNI_TAX_PROV")</f>
        <v>#NAME?</v>
      </c>
      <c r="I681" t="e">
        <f ca="1">BDP("46247SGZ Muni","FINANCING_TYPE")</f>
        <v>#NAME?</v>
      </c>
      <c r="J681" t="e">
        <f ca="1">BDP("46247SGZ Muni","BICS_LEVEL_2_INDUSTRY_GROUP_NAME")</f>
        <v>#NAME?</v>
      </c>
      <c r="K681" t="e">
        <f ca="1">BDP("46247SGZ Muni","SELF_REPRTD_GREEN_INSTR_INDCTR")</f>
        <v>#NAME?</v>
      </c>
      <c r="L681" t="e">
        <f ca="1">BDP("46247SGZ Muni","GB_MANAGEMENT_PROCEEDS")</f>
        <v>#NAME?</v>
      </c>
      <c r="M681" t="e">
        <f ca="1">BDP("46247SGZ Muni","GB_REPORTING")</f>
        <v>#NAME?</v>
      </c>
      <c r="N681" t="e">
        <f ca="1">BDP("46247SGZ Muni","GB_ASSURANCE_PROVIDERS")</f>
        <v>#NAME?</v>
      </c>
      <c r="O681" t="e">
        <f ca="1">BDP("46247SGZ Muni","GB_PROJECT_SELECTION_PROCESS")</f>
        <v>#NAME?</v>
      </c>
      <c r="P681" t="e">
        <f ca="1">BDP("46247SGZ Muni","ESG_FRAMEWORK_INDICATOR")</f>
        <v>#NAME?</v>
      </c>
      <c r="Q681" t="e">
        <f ca="1">BDP("46247SGZ Muni","BLOOMBERG_SECTOR_CODE")</f>
        <v>#NAME?</v>
      </c>
      <c r="R681" t="e">
        <f ca="1">BDP("46247SGZ Muni","ISSUER_TYPE")</f>
        <v>#NAME?</v>
      </c>
      <c r="S681" t="e">
        <f ca="1">BDS("46247SGZ Muni","ESG_PROJECT_CATEGORY", "aggregate=y")</f>
        <v>#NAME?</v>
      </c>
      <c r="T681" t="e">
        <f ca="1">BDS("46247SGZ Muni","ESG_PROJECT_SUBCATEGORY", "aggregate=y")</f>
        <v>#NAME?</v>
      </c>
    </row>
    <row r="682" spans="1:20" x14ac:dyDescent="0.25">
      <c r="A682" t="e">
        <f ca="1">BDP("46247SHA Muni","ID_CUSIP")</f>
        <v>#NAME?</v>
      </c>
      <c r="B682" t="e">
        <f ca="1">BDP("46247SHA Muni","STATE_CODE")</f>
        <v>#NAME?</v>
      </c>
      <c r="C682" t="s">
        <v>50</v>
      </c>
      <c r="D682" t="e">
        <f ca="1">BDP("46247SHA Muni","YIELD_ON_ISSUE_DATE")</f>
        <v>#NAME?</v>
      </c>
      <c r="E682">
        <v>7390000</v>
      </c>
      <c r="F682" t="e">
        <f ca="1">BDP("46247SHA Muni","ISSUE_DT")</f>
        <v>#NAME?</v>
      </c>
      <c r="G682" t="e">
        <f ca="1">BDP("46247SHA Muni","MATURITY")</f>
        <v>#NAME?</v>
      </c>
      <c r="H682" t="e">
        <f ca="1">BDP("46247SHA Muni","MUNI_TAX_PROV")</f>
        <v>#NAME?</v>
      </c>
      <c r="I682" t="e">
        <f ca="1">BDP("46247SHA Muni","FINANCING_TYPE")</f>
        <v>#NAME?</v>
      </c>
      <c r="J682" t="e">
        <f ca="1">BDP("46247SHA Muni","BICS_LEVEL_2_INDUSTRY_GROUP_NAME")</f>
        <v>#NAME?</v>
      </c>
      <c r="K682" t="e">
        <f ca="1">BDP("46247SHA Muni","SELF_REPRTD_GREEN_INSTR_INDCTR")</f>
        <v>#NAME?</v>
      </c>
      <c r="L682" t="e">
        <f ca="1">BDP("46247SHA Muni","GB_MANAGEMENT_PROCEEDS")</f>
        <v>#NAME?</v>
      </c>
      <c r="M682" t="e">
        <f ca="1">BDP("46247SHA Muni","GB_REPORTING")</f>
        <v>#NAME?</v>
      </c>
      <c r="N682" t="e">
        <f ca="1">BDP("46247SHA Muni","GB_ASSURANCE_PROVIDERS")</f>
        <v>#NAME?</v>
      </c>
      <c r="O682" t="e">
        <f ca="1">BDP("46247SHA Muni","GB_PROJECT_SELECTION_PROCESS")</f>
        <v>#NAME?</v>
      </c>
      <c r="P682" t="e">
        <f ca="1">BDP("46247SHA Muni","ESG_FRAMEWORK_INDICATOR")</f>
        <v>#NAME?</v>
      </c>
      <c r="Q682" t="e">
        <f ca="1">BDP("46247SHA Muni","BLOOMBERG_SECTOR_CODE")</f>
        <v>#NAME?</v>
      </c>
      <c r="R682" t="e">
        <f ca="1">BDP("46247SHA Muni","ISSUER_TYPE")</f>
        <v>#NAME?</v>
      </c>
      <c r="S682" t="e">
        <f ca="1">BDS("46247SHA Muni","ESG_PROJECT_CATEGORY", "aggregate=y")</f>
        <v>#NAME?</v>
      </c>
      <c r="T682" t="e">
        <f ca="1">BDS("46247SHA Muni","ESG_PROJECT_SUBCATEGORY", "aggregate=y")</f>
        <v>#NAME?</v>
      </c>
    </row>
    <row r="683" spans="1:20" x14ac:dyDescent="0.25">
      <c r="A683" t="e">
        <f ca="1">BDP("46247SHB Muni","ID_CUSIP")</f>
        <v>#NAME?</v>
      </c>
      <c r="B683" t="e">
        <f ca="1">BDP("46247SHB Muni","STATE_CODE")</f>
        <v>#NAME?</v>
      </c>
      <c r="C683" t="s">
        <v>50</v>
      </c>
      <c r="D683" t="e">
        <f ca="1">BDP("46247SHB Muni","YIELD_ON_ISSUE_DATE")</f>
        <v>#NAME?</v>
      </c>
      <c r="E683">
        <v>7705000</v>
      </c>
      <c r="F683" t="e">
        <f ca="1">BDP("46247SHB Muni","ISSUE_DT")</f>
        <v>#NAME?</v>
      </c>
      <c r="G683" t="e">
        <f ca="1">BDP("46247SHB Muni","MATURITY")</f>
        <v>#NAME?</v>
      </c>
      <c r="H683" t="e">
        <f ca="1">BDP("46247SHB Muni","MUNI_TAX_PROV")</f>
        <v>#NAME?</v>
      </c>
      <c r="I683" t="e">
        <f ca="1">BDP("46247SHB Muni","FINANCING_TYPE")</f>
        <v>#NAME?</v>
      </c>
      <c r="J683" t="e">
        <f ca="1">BDP("46247SHB Muni","BICS_LEVEL_2_INDUSTRY_GROUP_NAME")</f>
        <v>#NAME?</v>
      </c>
      <c r="K683" t="e">
        <f ca="1">BDP("46247SHB Muni","SELF_REPRTD_GREEN_INSTR_INDCTR")</f>
        <v>#NAME?</v>
      </c>
      <c r="L683" t="e">
        <f ca="1">BDP("46247SHB Muni","GB_MANAGEMENT_PROCEEDS")</f>
        <v>#NAME?</v>
      </c>
      <c r="M683" t="e">
        <f ca="1">BDP("46247SHB Muni","GB_REPORTING")</f>
        <v>#NAME?</v>
      </c>
      <c r="N683" t="e">
        <f ca="1">BDP("46247SHB Muni","GB_ASSURANCE_PROVIDERS")</f>
        <v>#NAME?</v>
      </c>
      <c r="O683" t="e">
        <f ca="1">BDP("46247SHB Muni","GB_PROJECT_SELECTION_PROCESS")</f>
        <v>#NAME?</v>
      </c>
      <c r="P683" t="e">
        <f ca="1">BDP("46247SHB Muni","ESG_FRAMEWORK_INDICATOR")</f>
        <v>#NAME?</v>
      </c>
      <c r="Q683" t="e">
        <f ca="1">BDP("46247SHB Muni","BLOOMBERG_SECTOR_CODE")</f>
        <v>#NAME?</v>
      </c>
      <c r="R683" t="e">
        <f ca="1">BDP("46247SHB Muni","ISSUER_TYPE")</f>
        <v>#NAME?</v>
      </c>
      <c r="S683" t="e">
        <f ca="1">BDS("46247SHB Muni","ESG_PROJECT_CATEGORY", "aggregate=y")</f>
        <v>#NAME?</v>
      </c>
      <c r="T683" t="e">
        <f ca="1">BDS("46247SHB Muni","ESG_PROJECT_SUBCATEGORY", "aggregate=y")</f>
        <v>#NAME?</v>
      </c>
    </row>
    <row r="684" spans="1:20" x14ac:dyDescent="0.25">
      <c r="A684" t="e">
        <f ca="1">BDP("46247SHC Muni","ID_CUSIP")</f>
        <v>#NAME?</v>
      </c>
      <c r="B684" t="e">
        <f ca="1">BDP("46247SHC Muni","STATE_CODE")</f>
        <v>#NAME?</v>
      </c>
      <c r="C684" t="s">
        <v>50</v>
      </c>
      <c r="D684" t="e">
        <f ca="1">BDP("46247SHC Muni","YIELD_ON_ISSUE_DATE")</f>
        <v>#NAME?</v>
      </c>
      <c r="E684">
        <v>6495000</v>
      </c>
      <c r="F684" t="e">
        <f ca="1">BDP("46247SHC Muni","ISSUE_DT")</f>
        <v>#NAME?</v>
      </c>
      <c r="G684" t="e">
        <f ca="1">BDP("46247SHC Muni","MATURITY")</f>
        <v>#NAME?</v>
      </c>
      <c r="H684" t="e">
        <f ca="1">BDP("46247SHC Muni","MUNI_TAX_PROV")</f>
        <v>#NAME?</v>
      </c>
      <c r="I684" t="e">
        <f ca="1">BDP("46247SHC Muni","FINANCING_TYPE")</f>
        <v>#NAME?</v>
      </c>
      <c r="J684" t="e">
        <f ca="1">BDP("46247SHC Muni","BICS_LEVEL_2_INDUSTRY_GROUP_NAME")</f>
        <v>#NAME?</v>
      </c>
      <c r="K684" t="e">
        <f ca="1">BDP("46247SHC Muni","SELF_REPRTD_GREEN_INSTR_INDCTR")</f>
        <v>#NAME?</v>
      </c>
      <c r="L684" t="e">
        <f ca="1">BDP("46247SHC Muni","GB_MANAGEMENT_PROCEEDS")</f>
        <v>#NAME?</v>
      </c>
      <c r="M684" t="e">
        <f ca="1">BDP("46247SHC Muni","GB_REPORTING")</f>
        <v>#NAME?</v>
      </c>
      <c r="N684" t="e">
        <f ca="1">BDP("46247SHC Muni","GB_ASSURANCE_PROVIDERS")</f>
        <v>#NAME?</v>
      </c>
      <c r="O684" t="e">
        <f ca="1">BDP("46247SHC Muni","GB_PROJECT_SELECTION_PROCESS")</f>
        <v>#NAME?</v>
      </c>
      <c r="P684" t="e">
        <f ca="1">BDP("46247SHC Muni","ESG_FRAMEWORK_INDICATOR")</f>
        <v>#NAME?</v>
      </c>
      <c r="Q684" t="e">
        <f ca="1">BDP("46247SHC Muni","BLOOMBERG_SECTOR_CODE")</f>
        <v>#NAME?</v>
      </c>
      <c r="R684" t="e">
        <f ca="1">BDP("46247SHC Muni","ISSUER_TYPE")</f>
        <v>#NAME?</v>
      </c>
      <c r="S684" t="e">
        <f ca="1">BDS("46247SHC Muni","ESG_PROJECT_CATEGORY", "aggregate=y")</f>
        <v>#NAME?</v>
      </c>
      <c r="T684" t="e">
        <f ca="1">BDS("46247SHC Muni","ESG_PROJECT_SUBCATEGORY", "aggregate=y")</f>
        <v>#NAME?</v>
      </c>
    </row>
    <row r="685" spans="1:20" x14ac:dyDescent="0.25">
      <c r="A685" t="e">
        <f ca="1">BDP("46247SHD Muni","ID_CUSIP")</f>
        <v>#NAME?</v>
      </c>
      <c r="B685" t="e">
        <f ca="1">BDP("46247SHD Muni","STATE_CODE")</f>
        <v>#NAME?</v>
      </c>
      <c r="C685" t="s">
        <v>50</v>
      </c>
      <c r="D685" t="e">
        <f ca="1">BDP("46247SHD Muni","YIELD_ON_ISSUE_DATE")</f>
        <v>#NAME?</v>
      </c>
      <c r="E685">
        <v>4425000</v>
      </c>
      <c r="F685" t="e">
        <f ca="1">BDP("46247SHD Muni","ISSUE_DT")</f>
        <v>#NAME?</v>
      </c>
      <c r="G685" t="e">
        <f ca="1">BDP("46247SHD Muni","MATURITY")</f>
        <v>#NAME?</v>
      </c>
      <c r="H685" t="e">
        <f ca="1">BDP("46247SHD Muni","MUNI_TAX_PROV")</f>
        <v>#NAME?</v>
      </c>
      <c r="I685" t="e">
        <f ca="1">BDP("46247SHD Muni","FINANCING_TYPE")</f>
        <v>#NAME?</v>
      </c>
      <c r="J685" t="e">
        <f ca="1">BDP("46247SHD Muni","BICS_LEVEL_2_INDUSTRY_GROUP_NAME")</f>
        <v>#NAME?</v>
      </c>
      <c r="K685" t="e">
        <f ca="1">BDP("46247SHD Muni","SELF_REPRTD_GREEN_INSTR_INDCTR")</f>
        <v>#NAME?</v>
      </c>
      <c r="L685" t="e">
        <f ca="1">BDP("46247SHD Muni","GB_MANAGEMENT_PROCEEDS")</f>
        <v>#NAME?</v>
      </c>
      <c r="M685" t="e">
        <f ca="1">BDP("46247SHD Muni","GB_REPORTING")</f>
        <v>#NAME?</v>
      </c>
      <c r="N685" t="e">
        <f ca="1">BDP("46247SHD Muni","GB_ASSURANCE_PROVIDERS")</f>
        <v>#NAME?</v>
      </c>
      <c r="O685" t="e">
        <f ca="1">BDP("46247SHD Muni","GB_PROJECT_SELECTION_PROCESS")</f>
        <v>#NAME?</v>
      </c>
      <c r="P685" t="e">
        <f ca="1">BDP("46247SHD Muni","ESG_FRAMEWORK_INDICATOR")</f>
        <v>#NAME?</v>
      </c>
      <c r="Q685" t="e">
        <f ca="1">BDP("46247SHD Muni","BLOOMBERG_SECTOR_CODE")</f>
        <v>#NAME?</v>
      </c>
      <c r="R685" t="e">
        <f ca="1">BDP("46247SHD Muni","ISSUER_TYPE")</f>
        <v>#NAME?</v>
      </c>
      <c r="S685" t="e">
        <f ca="1">BDS("46247SHD Muni","ESG_PROJECT_CATEGORY", "aggregate=y")</f>
        <v>#NAME?</v>
      </c>
      <c r="T685" t="e">
        <f ca="1">BDS("46247SHD Muni","ESG_PROJECT_SUBCATEGORY", "aggregate=y")</f>
        <v>#NAME?</v>
      </c>
    </row>
    <row r="686" spans="1:20" x14ac:dyDescent="0.25">
      <c r="A686" t="e">
        <f ca="1">BDP("46247SHE Muni","ID_CUSIP")</f>
        <v>#NAME?</v>
      </c>
      <c r="B686" t="e">
        <f ca="1">BDP("46247SHE Muni","STATE_CODE")</f>
        <v>#NAME?</v>
      </c>
      <c r="C686" t="s">
        <v>50</v>
      </c>
      <c r="D686" t="e">
        <f ca="1">BDP("46247SHE Muni","YIELD_ON_ISSUE_DATE")</f>
        <v>#NAME?</v>
      </c>
      <c r="E686">
        <v>4135000</v>
      </c>
      <c r="F686" t="e">
        <f ca="1">BDP("46247SHE Muni","ISSUE_DT")</f>
        <v>#NAME?</v>
      </c>
      <c r="G686" t="e">
        <f ca="1">BDP("46247SHE Muni","MATURITY")</f>
        <v>#NAME?</v>
      </c>
      <c r="H686" t="e">
        <f ca="1">BDP("46247SHE Muni","MUNI_TAX_PROV")</f>
        <v>#NAME?</v>
      </c>
      <c r="I686" t="e">
        <f ca="1">BDP("46247SHE Muni","FINANCING_TYPE")</f>
        <v>#NAME?</v>
      </c>
      <c r="J686" t="e">
        <f ca="1">BDP("46247SHE Muni","BICS_LEVEL_2_INDUSTRY_GROUP_NAME")</f>
        <v>#NAME?</v>
      </c>
      <c r="K686" t="e">
        <f ca="1">BDP("46247SHE Muni","SELF_REPRTD_GREEN_INSTR_INDCTR")</f>
        <v>#NAME?</v>
      </c>
      <c r="L686" t="e">
        <f ca="1">BDP("46247SHE Muni","GB_MANAGEMENT_PROCEEDS")</f>
        <v>#NAME?</v>
      </c>
      <c r="M686" t="e">
        <f ca="1">BDP("46247SHE Muni","GB_REPORTING")</f>
        <v>#NAME?</v>
      </c>
      <c r="N686" t="e">
        <f ca="1">BDP("46247SHE Muni","GB_ASSURANCE_PROVIDERS")</f>
        <v>#NAME?</v>
      </c>
      <c r="O686" t="e">
        <f ca="1">BDP("46247SHE Muni","GB_PROJECT_SELECTION_PROCESS")</f>
        <v>#NAME?</v>
      </c>
      <c r="P686" t="e">
        <f ca="1">BDP("46247SHE Muni","ESG_FRAMEWORK_INDICATOR")</f>
        <v>#NAME?</v>
      </c>
      <c r="Q686" t="e">
        <f ca="1">BDP("46247SHE Muni","BLOOMBERG_SECTOR_CODE")</f>
        <v>#NAME?</v>
      </c>
      <c r="R686" t="e">
        <f ca="1">BDP("46247SHE Muni","ISSUER_TYPE")</f>
        <v>#NAME?</v>
      </c>
      <c r="S686" t="e">
        <f ca="1">BDS("46247SHE Muni","ESG_PROJECT_CATEGORY", "aggregate=y")</f>
        <v>#NAME?</v>
      </c>
      <c r="T686" t="e">
        <f ca="1">BDS("46247SHE Muni","ESG_PROJECT_SUBCATEGORY", "aggregate=y")</f>
        <v>#NAME?</v>
      </c>
    </row>
    <row r="687" spans="1:20" x14ac:dyDescent="0.25">
      <c r="A687" t="e">
        <f ca="1">BDP("46247SHF Muni","ID_CUSIP")</f>
        <v>#NAME?</v>
      </c>
      <c r="B687" t="e">
        <f ca="1">BDP("46247SHF Muni","STATE_CODE")</f>
        <v>#NAME?</v>
      </c>
      <c r="C687" t="s">
        <v>50</v>
      </c>
      <c r="D687" t="e">
        <f ca="1">BDP("46247SHF Muni","YIELD_ON_ISSUE_DATE")</f>
        <v>#NAME?</v>
      </c>
      <c r="E687">
        <v>6760000</v>
      </c>
      <c r="F687" t="e">
        <f ca="1">BDP("46247SHF Muni","ISSUE_DT")</f>
        <v>#NAME?</v>
      </c>
      <c r="G687" t="e">
        <f ca="1">BDP("46247SHF Muni","MATURITY")</f>
        <v>#NAME?</v>
      </c>
      <c r="H687" t="e">
        <f ca="1">BDP("46247SHF Muni","MUNI_TAX_PROV")</f>
        <v>#NAME?</v>
      </c>
      <c r="I687" t="e">
        <f ca="1">BDP("46247SHF Muni","FINANCING_TYPE")</f>
        <v>#NAME?</v>
      </c>
      <c r="J687" t="e">
        <f ca="1">BDP("46247SHF Muni","BICS_LEVEL_2_INDUSTRY_GROUP_NAME")</f>
        <v>#NAME?</v>
      </c>
      <c r="K687" t="e">
        <f ca="1">BDP("46247SHF Muni","SELF_REPRTD_GREEN_INSTR_INDCTR")</f>
        <v>#NAME?</v>
      </c>
      <c r="L687" t="e">
        <f ca="1">BDP("46247SHF Muni","GB_MANAGEMENT_PROCEEDS")</f>
        <v>#NAME?</v>
      </c>
      <c r="M687" t="e">
        <f ca="1">BDP("46247SHF Muni","GB_REPORTING")</f>
        <v>#NAME?</v>
      </c>
      <c r="N687" t="e">
        <f ca="1">BDP("46247SHF Muni","GB_ASSURANCE_PROVIDERS")</f>
        <v>#NAME?</v>
      </c>
      <c r="O687" t="e">
        <f ca="1">BDP("46247SHF Muni","GB_PROJECT_SELECTION_PROCESS")</f>
        <v>#NAME?</v>
      </c>
      <c r="P687" t="e">
        <f ca="1">BDP("46247SHF Muni","ESG_FRAMEWORK_INDICATOR")</f>
        <v>#NAME?</v>
      </c>
      <c r="Q687" t="e">
        <f ca="1">BDP("46247SHF Muni","BLOOMBERG_SECTOR_CODE")</f>
        <v>#NAME?</v>
      </c>
      <c r="R687" t="e">
        <f ca="1">BDP("46247SHF Muni","ISSUER_TYPE")</f>
        <v>#NAME?</v>
      </c>
      <c r="S687" t="e">
        <f ca="1">BDS("46247SHF Muni","ESG_PROJECT_CATEGORY", "aggregate=y")</f>
        <v>#NAME?</v>
      </c>
      <c r="T687" t="e">
        <f ca="1">BDS("46247SHF Muni","ESG_PROJECT_SUBCATEGORY", "aggregate=y")</f>
        <v>#NAME?</v>
      </c>
    </row>
    <row r="688" spans="1:20" x14ac:dyDescent="0.25">
      <c r="A688" t="e">
        <f ca="1">BDP("46247SHG Muni","ID_CUSIP")</f>
        <v>#NAME?</v>
      </c>
      <c r="B688" t="e">
        <f ca="1">BDP("46247SHG Muni","STATE_CODE")</f>
        <v>#NAME?</v>
      </c>
      <c r="C688" t="s">
        <v>50</v>
      </c>
      <c r="D688" t="e">
        <f ca="1">BDP("46247SHG Muni","YIELD_ON_ISSUE_DATE")</f>
        <v>#NAME?</v>
      </c>
      <c r="E688">
        <v>2205000</v>
      </c>
      <c r="F688" t="e">
        <f ca="1">BDP("46247SHG Muni","ISSUE_DT")</f>
        <v>#NAME?</v>
      </c>
      <c r="G688" t="e">
        <f ca="1">BDP("46247SHG Muni","MATURITY")</f>
        <v>#NAME?</v>
      </c>
      <c r="H688" t="e">
        <f ca="1">BDP("46247SHG Muni","MUNI_TAX_PROV")</f>
        <v>#NAME?</v>
      </c>
      <c r="I688" t="e">
        <f ca="1">BDP("46247SHG Muni","FINANCING_TYPE")</f>
        <v>#NAME?</v>
      </c>
      <c r="J688" t="e">
        <f ca="1">BDP("46247SHG Muni","BICS_LEVEL_2_INDUSTRY_GROUP_NAME")</f>
        <v>#NAME?</v>
      </c>
      <c r="K688" t="e">
        <f ca="1">BDP("46247SHG Muni","SELF_REPRTD_GREEN_INSTR_INDCTR")</f>
        <v>#NAME?</v>
      </c>
      <c r="L688" t="e">
        <f ca="1">BDP("46247SHG Muni","GB_MANAGEMENT_PROCEEDS")</f>
        <v>#NAME?</v>
      </c>
      <c r="M688" t="e">
        <f ca="1">BDP("46247SHG Muni","GB_REPORTING")</f>
        <v>#NAME?</v>
      </c>
      <c r="N688" t="e">
        <f ca="1">BDP("46247SHG Muni","GB_ASSURANCE_PROVIDERS")</f>
        <v>#NAME?</v>
      </c>
      <c r="O688" t="e">
        <f ca="1">BDP("46247SHG Muni","GB_PROJECT_SELECTION_PROCESS")</f>
        <v>#NAME?</v>
      </c>
      <c r="P688" t="e">
        <f ca="1">BDP("46247SHG Muni","ESG_FRAMEWORK_INDICATOR")</f>
        <v>#NAME?</v>
      </c>
      <c r="Q688" t="e">
        <f ca="1">BDP("46247SHG Muni","BLOOMBERG_SECTOR_CODE")</f>
        <v>#NAME?</v>
      </c>
      <c r="R688" t="e">
        <f ca="1">BDP("46247SHG Muni","ISSUER_TYPE")</f>
        <v>#NAME?</v>
      </c>
      <c r="S688" t="e">
        <f ca="1">BDS("46247SHG Muni","ESG_PROJECT_CATEGORY", "aggregate=y")</f>
        <v>#NAME?</v>
      </c>
      <c r="T688" t="e">
        <f ca="1">BDS("46247SHG Muni","ESG_PROJECT_SUBCATEGORY", "aggregate=y")</f>
        <v>#NAME?</v>
      </c>
    </row>
    <row r="689" spans="1:20" x14ac:dyDescent="0.25">
      <c r="A689" t="e">
        <f ca="1">BDP("46247SHH Muni","ID_CUSIP")</f>
        <v>#NAME?</v>
      </c>
      <c r="B689" t="e">
        <f ca="1">BDP("46247SHH Muni","STATE_CODE")</f>
        <v>#NAME?</v>
      </c>
      <c r="C689" t="s">
        <v>50</v>
      </c>
      <c r="D689" t="e">
        <f ca="1">BDP("46247SHH Muni","YIELD_ON_ISSUE_DATE")</f>
        <v>#NAME?</v>
      </c>
      <c r="E689">
        <v>3030000</v>
      </c>
      <c r="F689" t="e">
        <f ca="1">BDP("46247SHH Muni","ISSUE_DT")</f>
        <v>#NAME?</v>
      </c>
      <c r="G689" t="e">
        <f ca="1">BDP("46247SHH Muni","MATURITY")</f>
        <v>#NAME?</v>
      </c>
      <c r="H689" t="e">
        <f ca="1">BDP("46247SHH Muni","MUNI_TAX_PROV")</f>
        <v>#NAME?</v>
      </c>
      <c r="I689" t="e">
        <f ca="1">BDP("46247SHH Muni","FINANCING_TYPE")</f>
        <v>#NAME?</v>
      </c>
      <c r="J689" t="e">
        <f ca="1">BDP("46247SHH Muni","BICS_LEVEL_2_INDUSTRY_GROUP_NAME")</f>
        <v>#NAME?</v>
      </c>
      <c r="K689" t="e">
        <f ca="1">BDP("46247SHH Muni","SELF_REPRTD_GREEN_INSTR_INDCTR")</f>
        <v>#NAME?</v>
      </c>
      <c r="L689" t="e">
        <f ca="1">BDP("46247SHH Muni","GB_MANAGEMENT_PROCEEDS")</f>
        <v>#NAME?</v>
      </c>
      <c r="M689" t="e">
        <f ca="1">BDP("46247SHH Muni","GB_REPORTING")</f>
        <v>#NAME?</v>
      </c>
      <c r="N689" t="e">
        <f ca="1">BDP("46247SHH Muni","GB_ASSURANCE_PROVIDERS")</f>
        <v>#NAME?</v>
      </c>
      <c r="O689" t="e">
        <f ca="1">BDP("46247SHH Muni","GB_PROJECT_SELECTION_PROCESS")</f>
        <v>#NAME?</v>
      </c>
      <c r="P689" t="e">
        <f ca="1">BDP("46247SHH Muni","ESG_FRAMEWORK_INDICATOR")</f>
        <v>#NAME?</v>
      </c>
      <c r="Q689" t="e">
        <f ca="1">BDP("46247SHH Muni","BLOOMBERG_SECTOR_CODE")</f>
        <v>#NAME?</v>
      </c>
      <c r="R689" t="e">
        <f ca="1">BDP("46247SHH Muni","ISSUER_TYPE")</f>
        <v>#NAME?</v>
      </c>
      <c r="S689" t="e">
        <f ca="1">BDS("46247SHH Muni","ESG_PROJECT_CATEGORY", "aggregate=y")</f>
        <v>#NAME?</v>
      </c>
      <c r="T689" t="e">
        <f ca="1">BDS("46247SHH Muni","ESG_PROJECT_SUBCATEGORY", "aggregate=y")</f>
        <v>#NAME?</v>
      </c>
    </row>
    <row r="690" spans="1:20" x14ac:dyDescent="0.25">
      <c r="A690" t="e">
        <f ca="1">BDP("46247SHJ Muni","ID_CUSIP")</f>
        <v>#NAME?</v>
      </c>
      <c r="B690" t="e">
        <f ca="1">BDP("46247SHJ Muni","STATE_CODE")</f>
        <v>#NAME?</v>
      </c>
      <c r="C690" t="s">
        <v>50</v>
      </c>
      <c r="D690" t="e">
        <f ca="1">BDP("46247SHJ Muni","YIELD_ON_ISSUE_DATE")</f>
        <v>#NAME?</v>
      </c>
      <c r="E690">
        <v>4245000</v>
      </c>
      <c r="F690" t="e">
        <f ca="1">BDP("46247SHJ Muni","ISSUE_DT")</f>
        <v>#NAME?</v>
      </c>
      <c r="G690" t="e">
        <f ca="1">BDP("46247SHJ Muni","MATURITY")</f>
        <v>#NAME?</v>
      </c>
      <c r="H690" t="e">
        <f ca="1">BDP("46247SHJ Muni","MUNI_TAX_PROV")</f>
        <v>#NAME?</v>
      </c>
      <c r="I690" t="e">
        <f ca="1">BDP("46247SHJ Muni","FINANCING_TYPE")</f>
        <v>#NAME?</v>
      </c>
      <c r="J690" t="e">
        <f ca="1">BDP("46247SHJ Muni","BICS_LEVEL_2_INDUSTRY_GROUP_NAME")</f>
        <v>#NAME?</v>
      </c>
      <c r="K690" t="e">
        <f ca="1">BDP("46247SHJ Muni","SELF_REPRTD_GREEN_INSTR_INDCTR")</f>
        <v>#NAME?</v>
      </c>
      <c r="L690" t="e">
        <f ca="1">BDP("46247SHJ Muni","GB_MANAGEMENT_PROCEEDS")</f>
        <v>#NAME?</v>
      </c>
      <c r="M690" t="e">
        <f ca="1">BDP("46247SHJ Muni","GB_REPORTING")</f>
        <v>#NAME?</v>
      </c>
      <c r="N690" t="e">
        <f ca="1">BDP("46247SHJ Muni","GB_ASSURANCE_PROVIDERS")</f>
        <v>#NAME?</v>
      </c>
      <c r="O690" t="e">
        <f ca="1">BDP("46247SHJ Muni","GB_PROJECT_SELECTION_PROCESS")</f>
        <v>#NAME?</v>
      </c>
      <c r="P690" t="e">
        <f ca="1">BDP("46247SHJ Muni","ESG_FRAMEWORK_INDICATOR")</f>
        <v>#NAME?</v>
      </c>
      <c r="Q690" t="e">
        <f ca="1">BDP("46247SHJ Muni","BLOOMBERG_SECTOR_CODE")</f>
        <v>#NAME?</v>
      </c>
      <c r="R690" t="e">
        <f ca="1">BDP("46247SHJ Muni","ISSUER_TYPE")</f>
        <v>#NAME?</v>
      </c>
      <c r="S690" t="e">
        <f ca="1">BDS("46247SHJ Muni","ESG_PROJECT_CATEGORY", "aggregate=y")</f>
        <v>#NAME?</v>
      </c>
      <c r="T690" t="e">
        <f ca="1">BDS("46247SHJ Muni","ESG_PROJECT_SUBCATEGORY", "aggregate=y")</f>
        <v>#NAME?</v>
      </c>
    </row>
    <row r="691" spans="1:20" x14ac:dyDescent="0.25">
      <c r="A691" t="e">
        <f ca="1">BDP("46247SHK Muni","ID_CUSIP")</f>
        <v>#NAME?</v>
      </c>
      <c r="B691" t="e">
        <f ca="1">BDP("46247SHK Muni","STATE_CODE")</f>
        <v>#NAME?</v>
      </c>
      <c r="C691" t="s">
        <v>50</v>
      </c>
      <c r="D691" t="e">
        <f ca="1">BDP("46247SHK Muni","YIELD_ON_ISSUE_DATE")</f>
        <v>#NAME?</v>
      </c>
      <c r="E691">
        <v>5855000</v>
      </c>
      <c r="F691" t="e">
        <f ca="1">BDP("46247SHK Muni","ISSUE_DT")</f>
        <v>#NAME?</v>
      </c>
      <c r="G691" t="e">
        <f ca="1">BDP("46247SHK Muni","MATURITY")</f>
        <v>#NAME?</v>
      </c>
      <c r="H691" t="e">
        <f ca="1">BDP("46247SHK Muni","MUNI_TAX_PROV")</f>
        <v>#NAME?</v>
      </c>
      <c r="I691" t="e">
        <f ca="1">BDP("46247SHK Muni","FINANCING_TYPE")</f>
        <v>#NAME?</v>
      </c>
      <c r="J691" t="e">
        <f ca="1">BDP("46247SHK Muni","BICS_LEVEL_2_INDUSTRY_GROUP_NAME")</f>
        <v>#NAME?</v>
      </c>
      <c r="K691" t="e">
        <f ca="1">BDP("46247SHK Muni","SELF_REPRTD_GREEN_INSTR_INDCTR")</f>
        <v>#NAME?</v>
      </c>
      <c r="L691" t="e">
        <f ca="1">BDP("46247SHK Muni","GB_MANAGEMENT_PROCEEDS")</f>
        <v>#NAME?</v>
      </c>
      <c r="M691" t="e">
        <f ca="1">BDP("46247SHK Muni","GB_REPORTING")</f>
        <v>#NAME?</v>
      </c>
      <c r="N691" t="e">
        <f ca="1">BDP("46247SHK Muni","GB_ASSURANCE_PROVIDERS")</f>
        <v>#NAME?</v>
      </c>
      <c r="O691" t="e">
        <f ca="1">BDP("46247SHK Muni","GB_PROJECT_SELECTION_PROCESS")</f>
        <v>#NAME?</v>
      </c>
      <c r="P691" t="e">
        <f ca="1">BDP("46247SHK Muni","ESG_FRAMEWORK_INDICATOR")</f>
        <v>#NAME?</v>
      </c>
      <c r="Q691" t="e">
        <f ca="1">BDP("46247SHK Muni","BLOOMBERG_SECTOR_CODE")</f>
        <v>#NAME?</v>
      </c>
      <c r="R691" t="e">
        <f ca="1">BDP("46247SHK Muni","ISSUER_TYPE")</f>
        <v>#NAME?</v>
      </c>
      <c r="S691" t="e">
        <f ca="1">BDS("46247SHK Muni","ESG_PROJECT_CATEGORY", "aggregate=y")</f>
        <v>#NAME?</v>
      </c>
      <c r="T691" t="e">
        <f ca="1">BDS("46247SHK Muni","ESG_PROJECT_SUBCATEGORY", "aggregate=y")</f>
        <v>#NAME?</v>
      </c>
    </row>
    <row r="692" spans="1:20" x14ac:dyDescent="0.25">
      <c r="A692" t="e">
        <f ca="1">BDP("46247SHL Muni","ID_CUSIP")</f>
        <v>#NAME?</v>
      </c>
      <c r="B692" t="e">
        <f ca="1">BDP("46247SHL Muni","STATE_CODE")</f>
        <v>#NAME?</v>
      </c>
      <c r="C692" t="s">
        <v>50</v>
      </c>
      <c r="D692" t="e">
        <f ca="1">BDP("46247SHL Muni","YIELD_ON_ISSUE_DATE")</f>
        <v>#NAME?</v>
      </c>
      <c r="E692">
        <v>3615000</v>
      </c>
      <c r="F692" t="e">
        <f ca="1">BDP("46247SHL Muni","ISSUE_DT")</f>
        <v>#NAME?</v>
      </c>
      <c r="G692" t="e">
        <f ca="1">BDP("46247SHL Muni","MATURITY")</f>
        <v>#NAME?</v>
      </c>
      <c r="H692" t="e">
        <f ca="1">BDP("46247SHL Muni","MUNI_TAX_PROV")</f>
        <v>#NAME?</v>
      </c>
      <c r="I692" t="e">
        <f ca="1">BDP("46247SHL Muni","FINANCING_TYPE")</f>
        <v>#NAME?</v>
      </c>
      <c r="J692" t="e">
        <f ca="1">BDP("46247SHL Muni","BICS_LEVEL_2_INDUSTRY_GROUP_NAME")</f>
        <v>#NAME?</v>
      </c>
      <c r="K692" t="e">
        <f ca="1">BDP("46247SHL Muni","SELF_REPRTD_GREEN_INSTR_INDCTR")</f>
        <v>#NAME?</v>
      </c>
      <c r="L692" t="e">
        <f ca="1">BDP("46247SHL Muni","GB_MANAGEMENT_PROCEEDS")</f>
        <v>#NAME?</v>
      </c>
      <c r="M692" t="e">
        <f ca="1">BDP("46247SHL Muni","GB_REPORTING")</f>
        <v>#NAME?</v>
      </c>
      <c r="N692" t="e">
        <f ca="1">BDP("46247SHL Muni","GB_ASSURANCE_PROVIDERS")</f>
        <v>#NAME?</v>
      </c>
      <c r="O692" t="e">
        <f ca="1">BDP("46247SHL Muni","GB_PROJECT_SELECTION_PROCESS")</f>
        <v>#NAME?</v>
      </c>
      <c r="P692" t="e">
        <f ca="1">BDP("46247SHL Muni","ESG_FRAMEWORK_INDICATOR")</f>
        <v>#NAME?</v>
      </c>
      <c r="Q692" t="e">
        <f ca="1">BDP("46247SHL Muni","BLOOMBERG_SECTOR_CODE")</f>
        <v>#NAME?</v>
      </c>
      <c r="R692" t="e">
        <f ca="1">BDP("46247SHL Muni","ISSUER_TYPE")</f>
        <v>#NAME?</v>
      </c>
      <c r="S692" t="e">
        <f ca="1">BDS("46247SHL Muni","ESG_PROJECT_CATEGORY", "aggregate=y")</f>
        <v>#NAME?</v>
      </c>
      <c r="T692" t="e">
        <f ca="1">BDS("46247SHL Muni","ESG_PROJECT_SUBCATEGORY", "aggregate=y")</f>
        <v>#NAME?</v>
      </c>
    </row>
    <row r="693" spans="1:20" x14ac:dyDescent="0.25">
      <c r="A693" t="e">
        <f ca="1">BDP("46247SHM Muni","ID_CUSIP")</f>
        <v>#NAME?</v>
      </c>
      <c r="B693" t="e">
        <f ca="1">BDP("46247SHM Muni","STATE_CODE")</f>
        <v>#NAME?</v>
      </c>
      <c r="C693" t="s">
        <v>50</v>
      </c>
      <c r="D693" t="e">
        <f ca="1">BDP("46247SHM Muni","YIELD_ON_ISSUE_DATE")</f>
        <v>#NAME?</v>
      </c>
      <c r="E693">
        <v>3475000</v>
      </c>
      <c r="F693" t="e">
        <f ca="1">BDP("46247SHM Muni","ISSUE_DT")</f>
        <v>#NAME?</v>
      </c>
      <c r="G693" t="e">
        <f ca="1">BDP("46247SHM Muni","MATURITY")</f>
        <v>#NAME?</v>
      </c>
      <c r="H693" t="e">
        <f ca="1">BDP("46247SHM Muni","MUNI_TAX_PROV")</f>
        <v>#NAME?</v>
      </c>
      <c r="I693" t="e">
        <f ca="1">BDP("46247SHM Muni","FINANCING_TYPE")</f>
        <v>#NAME?</v>
      </c>
      <c r="J693" t="e">
        <f ca="1">BDP("46247SHM Muni","BICS_LEVEL_2_INDUSTRY_GROUP_NAME")</f>
        <v>#NAME?</v>
      </c>
      <c r="K693" t="e">
        <f ca="1">BDP("46247SHM Muni","SELF_REPRTD_GREEN_INSTR_INDCTR")</f>
        <v>#NAME?</v>
      </c>
      <c r="L693" t="e">
        <f ca="1">BDP("46247SHM Muni","GB_MANAGEMENT_PROCEEDS")</f>
        <v>#NAME?</v>
      </c>
      <c r="M693" t="e">
        <f ca="1">BDP("46247SHM Muni","GB_REPORTING")</f>
        <v>#NAME?</v>
      </c>
      <c r="N693" t="e">
        <f ca="1">BDP("46247SHM Muni","GB_ASSURANCE_PROVIDERS")</f>
        <v>#NAME?</v>
      </c>
      <c r="O693" t="e">
        <f ca="1">BDP("46247SHM Muni","GB_PROJECT_SELECTION_PROCESS")</f>
        <v>#NAME?</v>
      </c>
      <c r="P693" t="e">
        <f ca="1">BDP("46247SHM Muni","ESG_FRAMEWORK_INDICATOR")</f>
        <v>#NAME?</v>
      </c>
      <c r="Q693" t="e">
        <f ca="1">BDP("46247SHM Muni","BLOOMBERG_SECTOR_CODE")</f>
        <v>#NAME?</v>
      </c>
      <c r="R693" t="e">
        <f ca="1">BDP("46247SHM Muni","ISSUER_TYPE")</f>
        <v>#NAME?</v>
      </c>
      <c r="S693" t="e">
        <f ca="1">BDS("46247SHM Muni","ESG_PROJECT_CATEGORY", "aggregate=y")</f>
        <v>#NAME?</v>
      </c>
      <c r="T693" t="e">
        <f ca="1">BDS("46247SHM Muni","ESG_PROJECT_SUBCATEGORY", "aggregate=y")</f>
        <v>#NAME?</v>
      </c>
    </row>
    <row r="694" spans="1:20" x14ac:dyDescent="0.25">
      <c r="A694" t="e">
        <f ca="1">BDP("46247SHN Muni","ID_CUSIP")</f>
        <v>#NAME?</v>
      </c>
      <c r="B694" t="e">
        <f ca="1">BDP("46247SHN Muni","STATE_CODE")</f>
        <v>#NAME?</v>
      </c>
      <c r="C694" t="s">
        <v>50</v>
      </c>
      <c r="D694" t="e">
        <f ca="1">BDP("46247SHN Muni","YIELD_ON_ISSUE_DATE")</f>
        <v>#NAME?</v>
      </c>
      <c r="E694">
        <v>3120000</v>
      </c>
      <c r="F694" t="e">
        <f ca="1">BDP("46247SHN Muni","ISSUE_DT")</f>
        <v>#NAME?</v>
      </c>
      <c r="G694" t="e">
        <f ca="1">BDP("46247SHN Muni","MATURITY")</f>
        <v>#NAME?</v>
      </c>
      <c r="H694" t="e">
        <f ca="1">BDP("46247SHN Muni","MUNI_TAX_PROV")</f>
        <v>#NAME?</v>
      </c>
      <c r="I694" t="e">
        <f ca="1">BDP("46247SHN Muni","FINANCING_TYPE")</f>
        <v>#NAME?</v>
      </c>
      <c r="J694" t="e">
        <f ca="1">BDP("46247SHN Muni","BICS_LEVEL_2_INDUSTRY_GROUP_NAME")</f>
        <v>#NAME?</v>
      </c>
      <c r="K694" t="e">
        <f ca="1">BDP("46247SHN Muni","SELF_REPRTD_GREEN_INSTR_INDCTR")</f>
        <v>#NAME?</v>
      </c>
      <c r="L694" t="e">
        <f ca="1">BDP("46247SHN Muni","GB_MANAGEMENT_PROCEEDS")</f>
        <v>#NAME?</v>
      </c>
      <c r="M694" t="e">
        <f ca="1">BDP("46247SHN Muni","GB_REPORTING")</f>
        <v>#NAME?</v>
      </c>
      <c r="N694" t="e">
        <f ca="1">BDP("46247SHN Muni","GB_ASSURANCE_PROVIDERS")</f>
        <v>#NAME?</v>
      </c>
      <c r="O694" t="e">
        <f ca="1">BDP("46247SHN Muni","GB_PROJECT_SELECTION_PROCESS")</f>
        <v>#NAME?</v>
      </c>
      <c r="P694" t="e">
        <f ca="1">BDP("46247SHN Muni","ESG_FRAMEWORK_INDICATOR")</f>
        <v>#NAME?</v>
      </c>
      <c r="Q694" t="e">
        <f ca="1">BDP("46247SHN Muni","BLOOMBERG_SECTOR_CODE")</f>
        <v>#NAME?</v>
      </c>
      <c r="R694" t="e">
        <f ca="1">BDP("46247SHN Muni","ISSUER_TYPE")</f>
        <v>#NAME?</v>
      </c>
      <c r="S694" t="e">
        <f ca="1">BDS("46247SHN Muni","ESG_PROJECT_CATEGORY", "aggregate=y")</f>
        <v>#NAME?</v>
      </c>
      <c r="T694" t="e">
        <f ca="1">BDS("46247SHN Muni","ESG_PROJECT_SUBCATEGORY", "aggregate=y")</f>
        <v>#NAME?</v>
      </c>
    </row>
    <row r="695" spans="1:20" x14ac:dyDescent="0.25">
      <c r="A695" t="e">
        <f ca="1">BDP("46247SHP Muni","ID_CUSIP")</f>
        <v>#NAME?</v>
      </c>
      <c r="B695" t="e">
        <f ca="1">BDP("46247SHP Muni","STATE_CODE")</f>
        <v>#NAME?</v>
      </c>
      <c r="C695" t="s">
        <v>50</v>
      </c>
      <c r="D695" t="e">
        <f ca="1">BDP("46247SHP Muni","YIELD_ON_ISSUE_DATE")</f>
        <v>#NAME?</v>
      </c>
      <c r="E695">
        <v>6210000</v>
      </c>
      <c r="F695" t="e">
        <f ca="1">BDP("46247SHP Muni","ISSUE_DT")</f>
        <v>#NAME?</v>
      </c>
      <c r="G695" t="e">
        <f ca="1">BDP("46247SHP Muni","MATURITY")</f>
        <v>#NAME?</v>
      </c>
      <c r="H695" t="e">
        <f ca="1">BDP("46247SHP Muni","MUNI_TAX_PROV")</f>
        <v>#NAME?</v>
      </c>
      <c r="I695" t="e">
        <f ca="1">BDP("46247SHP Muni","FINANCING_TYPE")</f>
        <v>#NAME?</v>
      </c>
      <c r="J695" t="e">
        <f ca="1">BDP("46247SHP Muni","BICS_LEVEL_2_INDUSTRY_GROUP_NAME")</f>
        <v>#NAME?</v>
      </c>
      <c r="K695" t="e">
        <f ca="1">BDP("46247SHP Muni","SELF_REPRTD_GREEN_INSTR_INDCTR")</f>
        <v>#NAME?</v>
      </c>
      <c r="L695" t="e">
        <f ca="1">BDP("46247SHP Muni","GB_MANAGEMENT_PROCEEDS")</f>
        <v>#NAME?</v>
      </c>
      <c r="M695" t="e">
        <f ca="1">BDP("46247SHP Muni","GB_REPORTING")</f>
        <v>#NAME?</v>
      </c>
      <c r="N695" t="e">
        <f ca="1">BDP("46247SHP Muni","GB_ASSURANCE_PROVIDERS")</f>
        <v>#NAME?</v>
      </c>
      <c r="O695" t="e">
        <f ca="1">BDP("46247SHP Muni","GB_PROJECT_SELECTION_PROCESS")</f>
        <v>#NAME?</v>
      </c>
      <c r="P695" t="e">
        <f ca="1">BDP("46247SHP Muni","ESG_FRAMEWORK_INDICATOR")</f>
        <v>#NAME?</v>
      </c>
      <c r="Q695" t="e">
        <f ca="1">BDP("46247SHP Muni","BLOOMBERG_SECTOR_CODE")</f>
        <v>#NAME?</v>
      </c>
      <c r="R695" t="e">
        <f ca="1">BDP("46247SHP Muni","ISSUER_TYPE")</f>
        <v>#NAME?</v>
      </c>
      <c r="S695" t="e">
        <f ca="1">BDS("46247SHP Muni","ESG_PROJECT_CATEGORY", "aggregate=y")</f>
        <v>#NAME?</v>
      </c>
      <c r="T695" t="e">
        <f ca="1">BDS("46247SHP Muni","ESG_PROJECT_SUBCATEGORY", "aggregate=y")</f>
        <v>#NAME?</v>
      </c>
    </row>
    <row r="696" spans="1:20" x14ac:dyDescent="0.25">
      <c r="A696" t="e">
        <f ca="1">BDP("46247SHS Muni","ID_CUSIP")</f>
        <v>#NAME?</v>
      </c>
      <c r="B696" t="e">
        <f ca="1">BDP("46247SHS Muni","STATE_CODE")</f>
        <v>#NAME?</v>
      </c>
      <c r="C696" t="s">
        <v>50</v>
      </c>
      <c r="D696" t="e">
        <f ca="1">BDP("46247SHS Muni","YIELD_ON_ISSUE_DATE")</f>
        <v>#NAME?</v>
      </c>
      <c r="E696">
        <v>6550000</v>
      </c>
      <c r="F696" t="e">
        <f ca="1">BDP("46247SHS Muni","ISSUE_DT")</f>
        <v>#NAME?</v>
      </c>
      <c r="G696" t="e">
        <f ca="1">BDP("46247SHS Muni","MATURITY")</f>
        <v>#NAME?</v>
      </c>
      <c r="H696" t="e">
        <f ca="1">BDP("46247SHS Muni","MUNI_TAX_PROV")</f>
        <v>#NAME?</v>
      </c>
      <c r="I696" t="e">
        <f ca="1">BDP("46247SHS Muni","FINANCING_TYPE")</f>
        <v>#NAME?</v>
      </c>
      <c r="J696" t="e">
        <f ca="1">BDP("46247SHS Muni","BICS_LEVEL_2_INDUSTRY_GROUP_NAME")</f>
        <v>#NAME?</v>
      </c>
      <c r="K696" t="e">
        <f ca="1">BDP("46247SHS Muni","SELF_REPRTD_GREEN_INSTR_INDCTR")</f>
        <v>#NAME?</v>
      </c>
      <c r="L696" t="e">
        <f ca="1">BDP("46247SHS Muni","GB_MANAGEMENT_PROCEEDS")</f>
        <v>#NAME?</v>
      </c>
      <c r="M696" t="e">
        <f ca="1">BDP("46247SHS Muni","GB_REPORTING")</f>
        <v>#NAME?</v>
      </c>
      <c r="N696" t="e">
        <f ca="1">BDP("46247SHS Muni","GB_ASSURANCE_PROVIDERS")</f>
        <v>#NAME?</v>
      </c>
      <c r="O696" t="e">
        <f ca="1">BDP("46247SHS Muni","GB_PROJECT_SELECTION_PROCESS")</f>
        <v>#NAME?</v>
      </c>
      <c r="P696" t="e">
        <f ca="1">BDP("46247SHS Muni","ESG_FRAMEWORK_INDICATOR")</f>
        <v>#NAME?</v>
      </c>
      <c r="Q696" t="e">
        <f ca="1">BDP("46247SHS Muni","BLOOMBERG_SECTOR_CODE")</f>
        <v>#NAME?</v>
      </c>
      <c r="R696" t="e">
        <f ca="1">BDP("46247SHS Muni","ISSUER_TYPE")</f>
        <v>#NAME?</v>
      </c>
      <c r="S696" t="e">
        <f ca="1">BDS("46247SHS Muni","ESG_PROJECT_CATEGORY", "aggregate=y")</f>
        <v>#NAME?</v>
      </c>
      <c r="T696" t="e">
        <f ca="1">BDS("46247SHS Muni","ESG_PROJECT_SUBCATEGORY", "aggregate=y")</f>
        <v>#NAME?</v>
      </c>
    </row>
    <row r="697" spans="1:20" x14ac:dyDescent="0.25">
      <c r="A697" t="e">
        <f ca="1">BDP("46247SHU Muni","ID_CUSIP")</f>
        <v>#NAME?</v>
      </c>
      <c r="B697" t="e">
        <f ca="1">BDP("46247SHU Muni","STATE_CODE")</f>
        <v>#NAME?</v>
      </c>
      <c r="C697" t="s">
        <v>50</v>
      </c>
      <c r="D697" t="e">
        <f ca="1">BDP("46247SHU Muni","YIELD_ON_ISSUE_DATE")</f>
        <v>#NAME?</v>
      </c>
      <c r="E697">
        <v>10310000</v>
      </c>
      <c r="F697" t="e">
        <f ca="1">BDP("46247SHU Muni","ISSUE_DT")</f>
        <v>#NAME?</v>
      </c>
      <c r="G697" t="e">
        <f ca="1">BDP("46247SHU Muni","MATURITY")</f>
        <v>#NAME?</v>
      </c>
      <c r="H697" t="e">
        <f ca="1">BDP("46247SHU Muni","MUNI_TAX_PROV")</f>
        <v>#NAME?</v>
      </c>
      <c r="I697" t="e">
        <f ca="1">BDP("46247SHU Muni","FINANCING_TYPE")</f>
        <v>#NAME?</v>
      </c>
      <c r="J697" t="e">
        <f ca="1">BDP("46247SHU Muni","BICS_LEVEL_2_INDUSTRY_GROUP_NAME")</f>
        <v>#NAME?</v>
      </c>
      <c r="K697" t="e">
        <f ca="1">BDP("46247SHU Muni","SELF_REPRTD_GREEN_INSTR_INDCTR")</f>
        <v>#NAME?</v>
      </c>
      <c r="L697" t="e">
        <f ca="1">BDP("46247SHU Muni","GB_MANAGEMENT_PROCEEDS")</f>
        <v>#NAME?</v>
      </c>
      <c r="M697" t="e">
        <f ca="1">BDP("46247SHU Muni","GB_REPORTING")</f>
        <v>#NAME?</v>
      </c>
      <c r="N697" t="e">
        <f ca="1">BDP("46247SHU Muni","GB_ASSURANCE_PROVIDERS")</f>
        <v>#NAME?</v>
      </c>
      <c r="O697" t="e">
        <f ca="1">BDP("46247SHU Muni","GB_PROJECT_SELECTION_PROCESS")</f>
        <v>#NAME?</v>
      </c>
      <c r="P697" t="e">
        <f ca="1">BDP("46247SHU Muni","ESG_FRAMEWORK_INDICATOR")</f>
        <v>#NAME?</v>
      </c>
      <c r="Q697" t="e">
        <f ca="1">BDP("46247SHU Muni","BLOOMBERG_SECTOR_CODE")</f>
        <v>#NAME?</v>
      </c>
      <c r="R697" t="e">
        <f ca="1">BDP("46247SHU Muni","ISSUER_TYPE")</f>
        <v>#NAME?</v>
      </c>
      <c r="S697" t="e">
        <f ca="1">BDS("46247SHU Muni","ESG_PROJECT_CATEGORY", "aggregate=y")</f>
        <v>#NAME?</v>
      </c>
      <c r="T697" t="e">
        <f ca="1">BDS("46247SHU Muni","ESG_PROJECT_SUBCATEGORY", "aggregate=y")</f>
        <v>#NAME?</v>
      </c>
    </row>
    <row r="698" spans="1:20" x14ac:dyDescent="0.25">
      <c r="A698" t="e">
        <f ca="1">BDP("46247SHY Muni","ID_CUSIP")</f>
        <v>#NAME?</v>
      </c>
      <c r="B698" t="e">
        <f ca="1">BDP("46247SHY Muni","STATE_CODE")</f>
        <v>#NAME?</v>
      </c>
      <c r="C698" t="s">
        <v>50</v>
      </c>
      <c r="D698" t="e">
        <f ca="1">BDP("46247SHY Muni","YIELD_ON_ISSUE_DATE")</f>
        <v>#NAME?</v>
      </c>
      <c r="E698">
        <v>21670000</v>
      </c>
      <c r="F698" t="e">
        <f ca="1">BDP("46247SHY Muni","ISSUE_DT")</f>
        <v>#NAME?</v>
      </c>
      <c r="G698" t="e">
        <f ca="1">BDP("46247SHY Muni","MATURITY")</f>
        <v>#NAME?</v>
      </c>
      <c r="H698" t="e">
        <f ca="1">BDP("46247SHY Muni","MUNI_TAX_PROV")</f>
        <v>#NAME?</v>
      </c>
      <c r="I698" t="e">
        <f ca="1">BDP("46247SHY Muni","FINANCING_TYPE")</f>
        <v>#NAME?</v>
      </c>
      <c r="J698" t="e">
        <f ca="1">BDP("46247SHY Muni","BICS_LEVEL_2_INDUSTRY_GROUP_NAME")</f>
        <v>#NAME?</v>
      </c>
      <c r="K698" t="e">
        <f ca="1">BDP("46247SHY Muni","SELF_REPRTD_GREEN_INSTR_INDCTR")</f>
        <v>#NAME?</v>
      </c>
      <c r="L698" t="e">
        <f ca="1">BDP("46247SHY Muni","GB_MANAGEMENT_PROCEEDS")</f>
        <v>#NAME?</v>
      </c>
      <c r="M698" t="e">
        <f ca="1">BDP("46247SHY Muni","GB_REPORTING")</f>
        <v>#NAME?</v>
      </c>
      <c r="N698" t="e">
        <f ca="1">BDP("46247SHY Muni","GB_ASSURANCE_PROVIDERS")</f>
        <v>#NAME?</v>
      </c>
      <c r="O698" t="e">
        <f ca="1">BDP("46247SHY Muni","GB_PROJECT_SELECTION_PROCESS")</f>
        <v>#NAME?</v>
      </c>
      <c r="P698" t="e">
        <f ca="1">BDP("46247SHY Muni","ESG_FRAMEWORK_INDICATOR")</f>
        <v>#NAME?</v>
      </c>
      <c r="Q698" t="e">
        <f ca="1">BDP("46247SHY Muni","BLOOMBERG_SECTOR_CODE")</f>
        <v>#NAME?</v>
      </c>
      <c r="R698" t="e">
        <f ca="1">BDP("46247SHY Muni","ISSUER_TYPE")</f>
        <v>#NAME?</v>
      </c>
      <c r="S698" t="e">
        <f ca="1">BDS("46247SHY Muni","ESG_PROJECT_CATEGORY", "aggregate=y")</f>
        <v>#NAME?</v>
      </c>
      <c r="T698" t="e">
        <f ca="1">BDS("46247SHY Muni","ESG_PROJECT_SUBCATEGORY", "aggregate=y")</f>
        <v>#NAME?</v>
      </c>
    </row>
    <row r="699" spans="1:20" x14ac:dyDescent="0.25">
      <c r="A699" t="e">
        <f ca="1">BDP("46247SHZ Muni","ID_CUSIP")</f>
        <v>#NAME?</v>
      </c>
      <c r="B699" t="e">
        <f ca="1">BDP("46247SHZ Muni","STATE_CODE")</f>
        <v>#NAME?</v>
      </c>
      <c r="C699" t="s">
        <v>50</v>
      </c>
      <c r="D699" t="e">
        <f ca="1">BDP("46247SHZ Muni","YIELD_ON_ISSUE_DATE")</f>
        <v>#NAME?</v>
      </c>
      <c r="E699">
        <v>19660000</v>
      </c>
      <c r="F699" t="e">
        <f ca="1">BDP("46247SHZ Muni","ISSUE_DT")</f>
        <v>#NAME?</v>
      </c>
      <c r="G699" t="e">
        <f ca="1">BDP("46247SHZ Muni","MATURITY")</f>
        <v>#NAME?</v>
      </c>
      <c r="H699" t="e">
        <f ca="1">BDP("46247SHZ Muni","MUNI_TAX_PROV")</f>
        <v>#NAME?</v>
      </c>
      <c r="I699" t="e">
        <f ca="1">BDP("46247SHZ Muni","FINANCING_TYPE")</f>
        <v>#NAME?</v>
      </c>
      <c r="J699" t="e">
        <f ca="1">BDP("46247SHZ Muni","BICS_LEVEL_2_INDUSTRY_GROUP_NAME")</f>
        <v>#NAME?</v>
      </c>
      <c r="K699" t="e">
        <f ca="1">BDP("46247SHZ Muni","SELF_REPRTD_GREEN_INSTR_INDCTR")</f>
        <v>#NAME?</v>
      </c>
      <c r="L699" t="e">
        <f ca="1">BDP("46247SHZ Muni","GB_MANAGEMENT_PROCEEDS")</f>
        <v>#NAME?</v>
      </c>
      <c r="M699" t="e">
        <f ca="1">BDP("46247SHZ Muni","GB_REPORTING")</f>
        <v>#NAME?</v>
      </c>
      <c r="N699" t="e">
        <f ca="1">BDP("46247SHZ Muni","GB_ASSURANCE_PROVIDERS")</f>
        <v>#NAME?</v>
      </c>
      <c r="O699" t="e">
        <f ca="1">BDP("46247SHZ Muni","GB_PROJECT_SELECTION_PROCESS")</f>
        <v>#NAME?</v>
      </c>
      <c r="P699" t="e">
        <f ca="1">BDP("46247SHZ Muni","ESG_FRAMEWORK_INDICATOR")</f>
        <v>#NAME?</v>
      </c>
      <c r="Q699" t="e">
        <f ca="1">BDP("46247SHZ Muni","BLOOMBERG_SECTOR_CODE")</f>
        <v>#NAME?</v>
      </c>
      <c r="R699" t="e">
        <f ca="1">BDP("46247SHZ Muni","ISSUER_TYPE")</f>
        <v>#NAME?</v>
      </c>
      <c r="S699" t="e">
        <f ca="1">BDS("46247SHZ Muni","ESG_PROJECT_CATEGORY", "aggregate=y")</f>
        <v>#NAME?</v>
      </c>
      <c r="T699" t="e">
        <f ca="1">BDS("46247SHZ Muni","ESG_PROJECT_SUBCATEGORY", "aggregate=y")</f>
        <v>#NAME?</v>
      </c>
    </row>
    <row r="700" spans="1:20" x14ac:dyDescent="0.25">
      <c r="A700" t="e">
        <f ca="1">BDP("52129TAS Muni","ID_CUSIP")</f>
        <v>#NAME?</v>
      </c>
      <c r="B700" t="e">
        <f ca="1">BDP("52129TAS Muni","STATE_CODE")</f>
        <v>#NAME?</v>
      </c>
      <c r="C700" t="s">
        <v>51</v>
      </c>
      <c r="D700" t="e">
        <f ca="1">BDP("52129TAS Muni","YIELD_ON_ISSUE_DATE")</f>
        <v>#NAME?</v>
      </c>
      <c r="E700">
        <v>500000</v>
      </c>
      <c r="F700" t="e">
        <f ca="1">BDP("52129TAS Muni","ISSUE_DT")</f>
        <v>#NAME?</v>
      </c>
      <c r="G700" t="e">
        <f ca="1">BDP("52129TAS Muni","MATURITY")</f>
        <v>#NAME?</v>
      </c>
      <c r="H700" t="e">
        <f ca="1">BDP("52129TAS Muni","MUNI_TAX_PROV")</f>
        <v>#NAME?</v>
      </c>
      <c r="I700" t="e">
        <f ca="1">BDP("52129TAS Muni","FINANCING_TYPE")</f>
        <v>#NAME?</v>
      </c>
      <c r="J700" t="e">
        <f ca="1">BDP("52129TAS Muni","BICS_LEVEL_2_INDUSTRY_GROUP_NAME")</f>
        <v>#NAME?</v>
      </c>
      <c r="K700" t="e">
        <f ca="1">BDP("52129TAS Muni","SELF_REPRTD_GREEN_INSTR_INDCTR")</f>
        <v>#NAME?</v>
      </c>
      <c r="L700" t="e">
        <f ca="1">BDP("52129TAS Muni","GB_MANAGEMENT_PROCEEDS")</f>
        <v>#NAME?</v>
      </c>
      <c r="M700" t="e">
        <f ca="1">BDP("52129TAS Muni","GB_REPORTING")</f>
        <v>#NAME?</v>
      </c>
      <c r="N700" t="e">
        <f ca="1">BDP("52129TAS Muni","GB_ASSURANCE_PROVIDERS")</f>
        <v>#NAME?</v>
      </c>
      <c r="O700" t="e">
        <f ca="1">BDP("52129TAS Muni","GB_PROJECT_SELECTION_PROCESS")</f>
        <v>#NAME?</v>
      </c>
      <c r="P700" t="e">
        <f ca="1">BDP("52129TAS Muni","ESG_FRAMEWORK_INDICATOR")</f>
        <v>#NAME?</v>
      </c>
      <c r="Q700" t="e">
        <f ca="1">BDP("52129TAS Muni","BLOOMBERG_SECTOR_CODE")</f>
        <v>#NAME?</v>
      </c>
      <c r="R700" t="e">
        <f ca="1">BDP("52129TAS Muni","ISSUER_TYPE")</f>
        <v>#NAME?</v>
      </c>
      <c r="S700" t="e">
        <f ca="1">BDS("52129TAS Muni","ESG_PROJECT_CATEGORY", "aggregate=y")</f>
        <v>#NAME?</v>
      </c>
      <c r="T700" t="e">
        <f ca="1">BDS("52129TAS Muni","ESG_PROJECT_SUBCATEGORY", "aggregate=y")</f>
        <v>#NAME?</v>
      </c>
    </row>
    <row r="701" spans="1:20" x14ac:dyDescent="0.25">
      <c r="A701" t="e">
        <f ca="1">BDP("52129TAT Muni","ID_CUSIP")</f>
        <v>#NAME?</v>
      </c>
      <c r="B701" t="e">
        <f ca="1">BDP("52129TAT Muni","STATE_CODE")</f>
        <v>#NAME?</v>
      </c>
      <c r="C701" t="s">
        <v>51</v>
      </c>
      <c r="D701" t="e">
        <f ca="1">BDP("52129TAT Muni","YIELD_ON_ISSUE_DATE")</f>
        <v>#NAME?</v>
      </c>
      <c r="E701">
        <v>840000</v>
      </c>
      <c r="F701" t="e">
        <f ca="1">BDP("52129TAT Muni","ISSUE_DT")</f>
        <v>#NAME?</v>
      </c>
      <c r="G701" t="e">
        <f ca="1">BDP("52129TAT Muni","MATURITY")</f>
        <v>#NAME?</v>
      </c>
      <c r="H701" t="e">
        <f ca="1">BDP("52129TAT Muni","MUNI_TAX_PROV")</f>
        <v>#NAME?</v>
      </c>
      <c r="I701" t="e">
        <f ca="1">BDP("52129TAT Muni","FINANCING_TYPE")</f>
        <v>#NAME?</v>
      </c>
      <c r="J701" t="e">
        <f ca="1">BDP("52129TAT Muni","BICS_LEVEL_2_INDUSTRY_GROUP_NAME")</f>
        <v>#NAME?</v>
      </c>
      <c r="K701" t="e">
        <f ca="1">BDP("52129TAT Muni","SELF_REPRTD_GREEN_INSTR_INDCTR")</f>
        <v>#NAME?</v>
      </c>
      <c r="L701" t="e">
        <f ca="1">BDP("52129TAT Muni","GB_MANAGEMENT_PROCEEDS")</f>
        <v>#NAME?</v>
      </c>
      <c r="M701" t="e">
        <f ca="1">BDP("52129TAT Muni","GB_REPORTING")</f>
        <v>#NAME?</v>
      </c>
      <c r="N701" t="e">
        <f ca="1">BDP("52129TAT Muni","GB_ASSURANCE_PROVIDERS")</f>
        <v>#NAME?</v>
      </c>
      <c r="O701" t="e">
        <f ca="1">BDP("52129TAT Muni","GB_PROJECT_SELECTION_PROCESS")</f>
        <v>#NAME?</v>
      </c>
      <c r="P701" t="e">
        <f ca="1">BDP("52129TAT Muni","ESG_FRAMEWORK_INDICATOR")</f>
        <v>#NAME?</v>
      </c>
      <c r="Q701" t="e">
        <f ca="1">BDP("52129TAT Muni","BLOOMBERG_SECTOR_CODE")</f>
        <v>#NAME?</v>
      </c>
      <c r="R701" t="e">
        <f ca="1">BDP("52129TAT Muni","ISSUER_TYPE")</f>
        <v>#NAME?</v>
      </c>
      <c r="S701" t="e">
        <f ca="1">BDS("52129TAT Muni","ESG_PROJECT_CATEGORY", "aggregate=y")</f>
        <v>#NAME?</v>
      </c>
      <c r="T701" t="e">
        <f ca="1">BDS("52129TAT Muni","ESG_PROJECT_SUBCATEGORY", "aggregate=y")</f>
        <v>#NAME?</v>
      </c>
    </row>
    <row r="702" spans="1:20" x14ac:dyDescent="0.25">
      <c r="A702" t="e">
        <f ca="1">BDP("52129TAV Muni","ID_CUSIP")</f>
        <v>#NAME?</v>
      </c>
      <c r="B702" t="e">
        <f ca="1">BDP("52129TAV Muni","STATE_CODE")</f>
        <v>#NAME?</v>
      </c>
      <c r="C702" t="s">
        <v>51</v>
      </c>
      <c r="D702" t="e">
        <f ca="1">BDP("52129TAV Muni","YIELD_ON_ISSUE_DATE")</f>
        <v>#NAME?</v>
      </c>
      <c r="E702">
        <v>930000</v>
      </c>
      <c r="F702" t="e">
        <f ca="1">BDP("52129TAV Muni","ISSUE_DT")</f>
        <v>#NAME?</v>
      </c>
      <c r="G702" t="e">
        <f ca="1">BDP("52129TAV Muni","MATURITY")</f>
        <v>#NAME?</v>
      </c>
      <c r="H702" t="e">
        <f ca="1">BDP("52129TAV Muni","MUNI_TAX_PROV")</f>
        <v>#NAME?</v>
      </c>
      <c r="I702" t="e">
        <f ca="1">BDP("52129TAV Muni","FINANCING_TYPE")</f>
        <v>#NAME?</v>
      </c>
      <c r="J702" t="e">
        <f ca="1">BDP("52129TAV Muni","BICS_LEVEL_2_INDUSTRY_GROUP_NAME")</f>
        <v>#NAME?</v>
      </c>
      <c r="K702" t="e">
        <f ca="1">BDP("52129TAV Muni","SELF_REPRTD_GREEN_INSTR_INDCTR")</f>
        <v>#NAME?</v>
      </c>
      <c r="L702" t="e">
        <f ca="1">BDP("52129TAV Muni","GB_MANAGEMENT_PROCEEDS")</f>
        <v>#NAME?</v>
      </c>
      <c r="M702" t="e">
        <f ca="1">BDP("52129TAV Muni","GB_REPORTING")</f>
        <v>#NAME?</v>
      </c>
      <c r="N702" t="e">
        <f ca="1">BDP("52129TAV Muni","GB_ASSURANCE_PROVIDERS")</f>
        <v>#NAME?</v>
      </c>
      <c r="O702" t="e">
        <f ca="1">BDP("52129TAV Muni","GB_PROJECT_SELECTION_PROCESS")</f>
        <v>#NAME?</v>
      </c>
      <c r="P702" t="e">
        <f ca="1">BDP("52129TAV Muni","ESG_FRAMEWORK_INDICATOR")</f>
        <v>#NAME?</v>
      </c>
      <c r="Q702" t="e">
        <f ca="1">BDP("52129TAV Muni","BLOOMBERG_SECTOR_CODE")</f>
        <v>#NAME?</v>
      </c>
      <c r="R702" t="e">
        <f ca="1">BDP("52129TAV Muni","ISSUER_TYPE")</f>
        <v>#NAME?</v>
      </c>
      <c r="S702" t="e">
        <f ca="1">BDS("52129TAV Muni","ESG_PROJECT_CATEGORY", "aggregate=y")</f>
        <v>#NAME?</v>
      </c>
      <c r="T702" t="e">
        <f ca="1">BDS("52129TAV Muni","ESG_PROJECT_SUBCATEGORY", "aggregate=y")</f>
        <v>#NAME?</v>
      </c>
    </row>
    <row r="703" spans="1:20" x14ac:dyDescent="0.25">
      <c r="A703" t="e">
        <f ca="1">BDP("52129TAY Muni","ID_CUSIP")</f>
        <v>#NAME?</v>
      </c>
      <c r="B703" t="e">
        <f ca="1">BDP("52129TAY Muni","STATE_CODE")</f>
        <v>#NAME?</v>
      </c>
      <c r="C703" t="s">
        <v>51</v>
      </c>
      <c r="D703" t="e">
        <f ca="1">BDP("52129TAY Muni","YIELD_ON_ISSUE_DATE")</f>
        <v>#NAME?</v>
      </c>
      <c r="E703">
        <v>1075000</v>
      </c>
      <c r="F703" t="e">
        <f ca="1">BDP("52129TAY Muni","ISSUE_DT")</f>
        <v>#NAME?</v>
      </c>
      <c r="G703" t="e">
        <f ca="1">BDP("52129TAY Muni","MATURITY")</f>
        <v>#NAME?</v>
      </c>
      <c r="H703" t="e">
        <f ca="1">BDP("52129TAY Muni","MUNI_TAX_PROV")</f>
        <v>#NAME?</v>
      </c>
      <c r="I703" t="e">
        <f ca="1">BDP("52129TAY Muni","FINANCING_TYPE")</f>
        <v>#NAME?</v>
      </c>
      <c r="J703" t="e">
        <f ca="1">BDP("52129TAY Muni","BICS_LEVEL_2_INDUSTRY_GROUP_NAME")</f>
        <v>#NAME?</v>
      </c>
      <c r="K703" t="e">
        <f ca="1">BDP("52129TAY Muni","SELF_REPRTD_GREEN_INSTR_INDCTR")</f>
        <v>#NAME?</v>
      </c>
      <c r="L703" t="e">
        <f ca="1">BDP("52129TAY Muni","GB_MANAGEMENT_PROCEEDS")</f>
        <v>#NAME?</v>
      </c>
      <c r="M703" t="e">
        <f ca="1">BDP("52129TAY Muni","GB_REPORTING")</f>
        <v>#NAME?</v>
      </c>
      <c r="N703" t="e">
        <f ca="1">BDP("52129TAY Muni","GB_ASSURANCE_PROVIDERS")</f>
        <v>#NAME?</v>
      </c>
      <c r="O703" t="e">
        <f ca="1">BDP("52129TAY Muni","GB_PROJECT_SELECTION_PROCESS")</f>
        <v>#NAME?</v>
      </c>
      <c r="P703" t="e">
        <f ca="1">BDP("52129TAY Muni","ESG_FRAMEWORK_INDICATOR")</f>
        <v>#NAME?</v>
      </c>
      <c r="Q703" t="e">
        <f ca="1">BDP("52129TAY Muni","BLOOMBERG_SECTOR_CODE")</f>
        <v>#NAME?</v>
      </c>
      <c r="R703" t="e">
        <f ca="1">BDP("52129TAY Muni","ISSUER_TYPE")</f>
        <v>#NAME?</v>
      </c>
      <c r="S703" t="e">
        <f ca="1">BDS("52129TAY Muni","ESG_PROJECT_CATEGORY", "aggregate=y")</f>
        <v>#NAME?</v>
      </c>
      <c r="T703" t="e">
        <f ca="1">BDS("52129TAY Muni","ESG_PROJECT_SUBCATEGORY", "aggregate=y")</f>
        <v>#NAME?</v>
      </c>
    </row>
    <row r="704" spans="1:20" x14ac:dyDescent="0.25">
      <c r="A704" t="e">
        <f ca="1">BDP("52129TAZ Muni","ID_CUSIP")</f>
        <v>#NAME?</v>
      </c>
      <c r="B704" t="e">
        <f ca="1">BDP("52129TAZ Muni","STATE_CODE")</f>
        <v>#NAME?</v>
      </c>
      <c r="C704" t="s">
        <v>51</v>
      </c>
      <c r="D704" t="e">
        <f ca="1">BDP("52129TAZ Muni","YIELD_ON_ISSUE_DATE")</f>
        <v>#NAME?</v>
      </c>
      <c r="E704">
        <v>1130000</v>
      </c>
      <c r="F704" t="e">
        <f ca="1">BDP("52129TAZ Muni","ISSUE_DT")</f>
        <v>#NAME?</v>
      </c>
      <c r="G704" t="e">
        <f ca="1">BDP("52129TAZ Muni","MATURITY")</f>
        <v>#NAME?</v>
      </c>
      <c r="H704" t="e">
        <f ca="1">BDP("52129TAZ Muni","MUNI_TAX_PROV")</f>
        <v>#NAME?</v>
      </c>
      <c r="I704" t="e">
        <f ca="1">BDP("52129TAZ Muni","FINANCING_TYPE")</f>
        <v>#NAME?</v>
      </c>
      <c r="J704" t="e">
        <f ca="1">BDP("52129TAZ Muni","BICS_LEVEL_2_INDUSTRY_GROUP_NAME")</f>
        <v>#NAME?</v>
      </c>
      <c r="K704" t="e">
        <f ca="1">BDP("52129TAZ Muni","SELF_REPRTD_GREEN_INSTR_INDCTR")</f>
        <v>#NAME?</v>
      </c>
      <c r="L704" t="e">
        <f ca="1">BDP("52129TAZ Muni","GB_MANAGEMENT_PROCEEDS")</f>
        <v>#NAME?</v>
      </c>
      <c r="M704" t="e">
        <f ca="1">BDP("52129TAZ Muni","GB_REPORTING")</f>
        <v>#NAME?</v>
      </c>
      <c r="N704" t="e">
        <f ca="1">BDP("52129TAZ Muni","GB_ASSURANCE_PROVIDERS")</f>
        <v>#NAME?</v>
      </c>
      <c r="O704" t="e">
        <f ca="1">BDP("52129TAZ Muni","GB_PROJECT_SELECTION_PROCESS")</f>
        <v>#NAME?</v>
      </c>
      <c r="P704" t="e">
        <f ca="1">BDP("52129TAZ Muni","ESG_FRAMEWORK_INDICATOR")</f>
        <v>#NAME?</v>
      </c>
      <c r="Q704" t="e">
        <f ca="1">BDP("52129TAZ Muni","BLOOMBERG_SECTOR_CODE")</f>
        <v>#NAME?</v>
      </c>
      <c r="R704" t="e">
        <f ca="1">BDP("52129TAZ Muni","ISSUER_TYPE")</f>
        <v>#NAME?</v>
      </c>
      <c r="S704" t="e">
        <f ca="1">BDS("52129TAZ Muni","ESG_PROJECT_CATEGORY", "aggregate=y")</f>
        <v>#NAME?</v>
      </c>
      <c r="T704" t="e">
        <f ca="1">BDS("52129TAZ Muni","ESG_PROJECT_SUBCATEGORY", "aggregate=y")</f>
        <v>#NAME?</v>
      </c>
    </row>
    <row r="705" spans="1:20" x14ac:dyDescent="0.25">
      <c r="A705" t="e">
        <f ca="1">BDP("52129TBA Muni","ID_CUSIP")</f>
        <v>#NAME?</v>
      </c>
      <c r="B705" t="e">
        <f ca="1">BDP("52129TBA Muni","STATE_CODE")</f>
        <v>#NAME?</v>
      </c>
      <c r="C705" t="s">
        <v>51</v>
      </c>
      <c r="D705" t="e">
        <f ca="1">BDP("52129TBA Muni","YIELD_ON_ISSUE_DATE")</f>
        <v>#NAME?</v>
      </c>
      <c r="E705">
        <v>1235000</v>
      </c>
      <c r="F705" t="e">
        <f ca="1">BDP("52129TBA Muni","ISSUE_DT")</f>
        <v>#NAME?</v>
      </c>
      <c r="G705" t="e">
        <f ca="1">BDP("52129TBA Muni","MATURITY")</f>
        <v>#NAME?</v>
      </c>
      <c r="H705" t="e">
        <f ca="1">BDP("52129TBA Muni","MUNI_TAX_PROV")</f>
        <v>#NAME?</v>
      </c>
      <c r="I705" t="e">
        <f ca="1">BDP("52129TBA Muni","FINANCING_TYPE")</f>
        <v>#NAME?</v>
      </c>
      <c r="J705" t="e">
        <f ca="1">BDP("52129TBA Muni","BICS_LEVEL_2_INDUSTRY_GROUP_NAME")</f>
        <v>#NAME?</v>
      </c>
      <c r="K705" t="e">
        <f ca="1">BDP("52129TBA Muni","SELF_REPRTD_GREEN_INSTR_INDCTR")</f>
        <v>#NAME?</v>
      </c>
      <c r="L705" t="e">
        <f ca="1">BDP("52129TBA Muni","GB_MANAGEMENT_PROCEEDS")</f>
        <v>#NAME?</v>
      </c>
      <c r="M705" t="e">
        <f ca="1">BDP("52129TBA Muni","GB_REPORTING")</f>
        <v>#NAME?</v>
      </c>
      <c r="N705" t="e">
        <f ca="1">BDP("52129TBA Muni","GB_ASSURANCE_PROVIDERS")</f>
        <v>#NAME?</v>
      </c>
      <c r="O705" t="e">
        <f ca="1">BDP("52129TBA Muni","GB_PROJECT_SELECTION_PROCESS")</f>
        <v>#NAME?</v>
      </c>
      <c r="P705" t="e">
        <f ca="1">BDP("52129TBA Muni","ESG_FRAMEWORK_INDICATOR")</f>
        <v>#NAME?</v>
      </c>
      <c r="Q705" t="e">
        <f ca="1">BDP("52129TBA Muni","BLOOMBERG_SECTOR_CODE")</f>
        <v>#NAME?</v>
      </c>
      <c r="R705" t="e">
        <f ca="1">BDP("52129TBA Muni","ISSUER_TYPE")</f>
        <v>#NAME?</v>
      </c>
      <c r="S705" t="e">
        <f ca="1">BDS("52129TBA Muni","ESG_PROJECT_CATEGORY", "aggregate=y")</f>
        <v>#NAME?</v>
      </c>
      <c r="T705" t="e">
        <f ca="1">BDS("52129TBA Muni","ESG_PROJECT_SUBCATEGORY", "aggregate=y")</f>
        <v>#NAME?</v>
      </c>
    </row>
    <row r="706" spans="1:20" x14ac:dyDescent="0.25">
      <c r="A706" t="e">
        <f ca="1">BDP("52129TBB Muni","ID_CUSIP")</f>
        <v>#NAME?</v>
      </c>
      <c r="B706" t="e">
        <f ca="1">BDP("52129TBB Muni","STATE_CODE")</f>
        <v>#NAME?</v>
      </c>
      <c r="C706" t="s">
        <v>51</v>
      </c>
      <c r="D706" t="e">
        <f ca="1">BDP("52129TBB Muni","YIELD_ON_ISSUE_DATE")</f>
        <v>#NAME?</v>
      </c>
      <c r="E706">
        <v>1295000</v>
      </c>
      <c r="F706" t="e">
        <f ca="1">BDP("52129TBB Muni","ISSUE_DT")</f>
        <v>#NAME?</v>
      </c>
      <c r="G706" t="e">
        <f ca="1">BDP("52129TBB Muni","MATURITY")</f>
        <v>#NAME?</v>
      </c>
      <c r="H706" t="e">
        <f ca="1">BDP("52129TBB Muni","MUNI_TAX_PROV")</f>
        <v>#NAME?</v>
      </c>
      <c r="I706" t="e">
        <f ca="1">BDP("52129TBB Muni","FINANCING_TYPE")</f>
        <v>#NAME?</v>
      </c>
      <c r="J706" t="e">
        <f ca="1">BDP("52129TBB Muni","BICS_LEVEL_2_INDUSTRY_GROUP_NAME")</f>
        <v>#NAME?</v>
      </c>
      <c r="K706" t="e">
        <f ca="1">BDP("52129TBB Muni","SELF_REPRTD_GREEN_INSTR_INDCTR")</f>
        <v>#NAME?</v>
      </c>
      <c r="L706" t="e">
        <f ca="1">BDP("52129TBB Muni","GB_MANAGEMENT_PROCEEDS")</f>
        <v>#NAME?</v>
      </c>
      <c r="M706" t="e">
        <f ca="1">BDP("52129TBB Muni","GB_REPORTING")</f>
        <v>#NAME?</v>
      </c>
      <c r="N706" t="e">
        <f ca="1">BDP("52129TBB Muni","GB_ASSURANCE_PROVIDERS")</f>
        <v>#NAME?</v>
      </c>
      <c r="O706" t="e">
        <f ca="1">BDP("52129TBB Muni","GB_PROJECT_SELECTION_PROCESS")</f>
        <v>#NAME?</v>
      </c>
      <c r="P706" t="e">
        <f ca="1">BDP("52129TBB Muni","ESG_FRAMEWORK_INDICATOR")</f>
        <v>#NAME?</v>
      </c>
      <c r="Q706" t="e">
        <f ca="1">BDP("52129TBB Muni","BLOOMBERG_SECTOR_CODE")</f>
        <v>#NAME?</v>
      </c>
      <c r="R706" t="e">
        <f ca="1">BDP("52129TBB Muni","ISSUER_TYPE")</f>
        <v>#NAME?</v>
      </c>
      <c r="S706" t="e">
        <f ca="1">BDS("52129TBB Muni","ESG_PROJECT_CATEGORY", "aggregate=y")</f>
        <v>#NAME?</v>
      </c>
      <c r="T706" t="e">
        <f ca="1">BDS("52129TBB Muni","ESG_PROJECT_SUBCATEGORY", "aggregate=y")</f>
        <v>#NAME?</v>
      </c>
    </row>
    <row r="707" spans="1:20" x14ac:dyDescent="0.25">
      <c r="A707" t="e">
        <f ca="1">BDP("52129TBC Muni","ID_CUSIP")</f>
        <v>#NAME?</v>
      </c>
      <c r="B707" t="e">
        <f ca="1">BDP("52129TBC Muni","STATE_CODE")</f>
        <v>#NAME?</v>
      </c>
      <c r="C707" t="s">
        <v>51</v>
      </c>
      <c r="D707" t="e">
        <f ca="1">BDP("52129TBC Muni","YIELD_ON_ISSUE_DATE")</f>
        <v>#NAME?</v>
      </c>
      <c r="E707">
        <v>1360000</v>
      </c>
      <c r="F707" t="e">
        <f ca="1">BDP("52129TBC Muni","ISSUE_DT")</f>
        <v>#NAME?</v>
      </c>
      <c r="G707" t="e">
        <f ca="1">BDP("52129TBC Muni","MATURITY")</f>
        <v>#NAME?</v>
      </c>
      <c r="H707" t="e">
        <f ca="1">BDP("52129TBC Muni","MUNI_TAX_PROV")</f>
        <v>#NAME?</v>
      </c>
      <c r="I707" t="e">
        <f ca="1">BDP("52129TBC Muni","FINANCING_TYPE")</f>
        <v>#NAME?</v>
      </c>
      <c r="J707" t="e">
        <f ca="1">BDP("52129TBC Muni","BICS_LEVEL_2_INDUSTRY_GROUP_NAME")</f>
        <v>#NAME?</v>
      </c>
      <c r="K707" t="e">
        <f ca="1">BDP("52129TBC Muni","SELF_REPRTD_GREEN_INSTR_INDCTR")</f>
        <v>#NAME?</v>
      </c>
      <c r="L707" t="e">
        <f ca="1">BDP("52129TBC Muni","GB_MANAGEMENT_PROCEEDS")</f>
        <v>#NAME?</v>
      </c>
      <c r="M707" t="e">
        <f ca="1">BDP("52129TBC Muni","GB_REPORTING")</f>
        <v>#NAME?</v>
      </c>
      <c r="N707" t="e">
        <f ca="1">BDP("52129TBC Muni","GB_ASSURANCE_PROVIDERS")</f>
        <v>#NAME?</v>
      </c>
      <c r="O707" t="e">
        <f ca="1">BDP("52129TBC Muni","GB_PROJECT_SELECTION_PROCESS")</f>
        <v>#NAME?</v>
      </c>
      <c r="P707" t="e">
        <f ca="1">BDP("52129TBC Muni","ESG_FRAMEWORK_INDICATOR")</f>
        <v>#NAME?</v>
      </c>
      <c r="Q707" t="e">
        <f ca="1">BDP("52129TBC Muni","BLOOMBERG_SECTOR_CODE")</f>
        <v>#NAME?</v>
      </c>
      <c r="R707" t="e">
        <f ca="1">BDP("52129TBC Muni","ISSUER_TYPE")</f>
        <v>#NAME?</v>
      </c>
      <c r="S707" t="e">
        <f ca="1">BDS("52129TBC Muni","ESG_PROJECT_CATEGORY", "aggregate=y")</f>
        <v>#NAME?</v>
      </c>
      <c r="T707" t="e">
        <f ca="1">BDS("52129TBC Muni","ESG_PROJECT_SUBCATEGORY", "aggregate=y")</f>
        <v>#NAME?</v>
      </c>
    </row>
    <row r="708" spans="1:20" x14ac:dyDescent="0.25">
      <c r="A708" t="e">
        <f ca="1">BDP("52129TBD Muni","ID_CUSIP")</f>
        <v>#NAME?</v>
      </c>
      <c r="B708" t="e">
        <f ca="1">BDP("52129TBD Muni","STATE_CODE")</f>
        <v>#NAME?</v>
      </c>
      <c r="C708" t="s">
        <v>51</v>
      </c>
      <c r="D708" t="e">
        <f ca="1">BDP("52129TBD Muni","YIELD_ON_ISSUE_DATE")</f>
        <v>#NAME?</v>
      </c>
      <c r="E708">
        <v>1425000</v>
      </c>
      <c r="F708" t="e">
        <f ca="1">BDP("52129TBD Muni","ISSUE_DT")</f>
        <v>#NAME?</v>
      </c>
      <c r="G708" t="e">
        <f ca="1">BDP("52129TBD Muni","MATURITY")</f>
        <v>#NAME?</v>
      </c>
      <c r="H708" t="e">
        <f ca="1">BDP("52129TBD Muni","MUNI_TAX_PROV")</f>
        <v>#NAME?</v>
      </c>
      <c r="I708" t="e">
        <f ca="1">BDP("52129TBD Muni","FINANCING_TYPE")</f>
        <v>#NAME?</v>
      </c>
      <c r="J708" t="e">
        <f ca="1">BDP("52129TBD Muni","BICS_LEVEL_2_INDUSTRY_GROUP_NAME")</f>
        <v>#NAME?</v>
      </c>
      <c r="K708" t="e">
        <f ca="1">BDP("52129TBD Muni","SELF_REPRTD_GREEN_INSTR_INDCTR")</f>
        <v>#NAME?</v>
      </c>
      <c r="L708" t="e">
        <f ca="1">BDP("52129TBD Muni","GB_MANAGEMENT_PROCEEDS")</f>
        <v>#NAME?</v>
      </c>
      <c r="M708" t="e">
        <f ca="1">BDP("52129TBD Muni","GB_REPORTING")</f>
        <v>#NAME?</v>
      </c>
      <c r="N708" t="e">
        <f ca="1">BDP("52129TBD Muni","GB_ASSURANCE_PROVIDERS")</f>
        <v>#NAME?</v>
      </c>
      <c r="O708" t="e">
        <f ca="1">BDP("52129TBD Muni","GB_PROJECT_SELECTION_PROCESS")</f>
        <v>#NAME?</v>
      </c>
      <c r="P708" t="e">
        <f ca="1">BDP("52129TBD Muni","ESG_FRAMEWORK_INDICATOR")</f>
        <v>#NAME?</v>
      </c>
      <c r="Q708" t="e">
        <f ca="1">BDP("52129TBD Muni","BLOOMBERG_SECTOR_CODE")</f>
        <v>#NAME?</v>
      </c>
      <c r="R708" t="e">
        <f ca="1">BDP("52129TBD Muni","ISSUER_TYPE")</f>
        <v>#NAME?</v>
      </c>
      <c r="S708" t="e">
        <f ca="1">BDS("52129TBD Muni","ESG_PROJECT_CATEGORY", "aggregate=y")</f>
        <v>#NAME?</v>
      </c>
      <c r="T708" t="e">
        <f ca="1">BDS("52129TBD Muni","ESG_PROJECT_SUBCATEGORY", "aggregate=y")</f>
        <v>#NAME?</v>
      </c>
    </row>
    <row r="709" spans="1:20" x14ac:dyDescent="0.25">
      <c r="A709" t="e">
        <f ca="1">BDP("52129TBE Muni","ID_CUSIP")</f>
        <v>#NAME?</v>
      </c>
      <c r="B709" t="e">
        <f ca="1">BDP("52129TBE Muni","STATE_CODE")</f>
        <v>#NAME?</v>
      </c>
      <c r="C709" t="s">
        <v>51</v>
      </c>
      <c r="D709" t="e">
        <f ca="1">BDP("52129TBE Muni","YIELD_ON_ISSUE_DATE")</f>
        <v>#NAME?</v>
      </c>
      <c r="E709">
        <v>1500000</v>
      </c>
      <c r="F709" t="e">
        <f ca="1">BDP("52129TBE Muni","ISSUE_DT")</f>
        <v>#NAME?</v>
      </c>
      <c r="G709" t="e">
        <f ca="1">BDP("52129TBE Muni","MATURITY")</f>
        <v>#NAME?</v>
      </c>
      <c r="H709" t="e">
        <f ca="1">BDP("52129TBE Muni","MUNI_TAX_PROV")</f>
        <v>#NAME?</v>
      </c>
      <c r="I709" t="e">
        <f ca="1">BDP("52129TBE Muni","FINANCING_TYPE")</f>
        <v>#NAME?</v>
      </c>
      <c r="J709" t="e">
        <f ca="1">BDP("52129TBE Muni","BICS_LEVEL_2_INDUSTRY_GROUP_NAME")</f>
        <v>#NAME?</v>
      </c>
      <c r="K709" t="e">
        <f ca="1">BDP("52129TBE Muni","SELF_REPRTD_GREEN_INSTR_INDCTR")</f>
        <v>#NAME?</v>
      </c>
      <c r="L709" t="e">
        <f ca="1">BDP("52129TBE Muni","GB_MANAGEMENT_PROCEEDS")</f>
        <v>#NAME?</v>
      </c>
      <c r="M709" t="e">
        <f ca="1">BDP("52129TBE Muni","GB_REPORTING")</f>
        <v>#NAME?</v>
      </c>
      <c r="N709" t="e">
        <f ca="1">BDP("52129TBE Muni","GB_ASSURANCE_PROVIDERS")</f>
        <v>#NAME?</v>
      </c>
      <c r="O709" t="e">
        <f ca="1">BDP("52129TBE Muni","GB_PROJECT_SELECTION_PROCESS")</f>
        <v>#NAME?</v>
      </c>
      <c r="P709" t="e">
        <f ca="1">BDP("52129TBE Muni","ESG_FRAMEWORK_INDICATOR")</f>
        <v>#NAME?</v>
      </c>
      <c r="Q709" t="e">
        <f ca="1">BDP("52129TBE Muni","BLOOMBERG_SECTOR_CODE")</f>
        <v>#NAME?</v>
      </c>
      <c r="R709" t="e">
        <f ca="1">BDP("52129TBE Muni","ISSUER_TYPE")</f>
        <v>#NAME?</v>
      </c>
      <c r="S709" t="e">
        <f ca="1">BDS("52129TBE Muni","ESG_PROJECT_CATEGORY", "aggregate=y")</f>
        <v>#NAME?</v>
      </c>
      <c r="T709" t="e">
        <f ca="1">BDS("52129TBE Muni","ESG_PROJECT_SUBCATEGORY", "aggregate=y")</f>
        <v>#NAME?</v>
      </c>
    </row>
    <row r="710" spans="1:20" x14ac:dyDescent="0.25">
      <c r="A710" t="e">
        <f ca="1">BDP("52129TBF Muni","ID_CUSIP")</f>
        <v>#NAME?</v>
      </c>
      <c r="B710" t="e">
        <f ca="1">BDP("52129TBF Muni","STATE_CODE")</f>
        <v>#NAME?</v>
      </c>
      <c r="C710" t="s">
        <v>51</v>
      </c>
      <c r="D710" t="e">
        <f ca="1">BDP("52129TBF Muni","YIELD_ON_ISSUE_DATE")</f>
        <v>#NAME?</v>
      </c>
      <c r="E710">
        <v>1575000</v>
      </c>
      <c r="F710" t="e">
        <f ca="1">BDP("52129TBF Muni","ISSUE_DT")</f>
        <v>#NAME?</v>
      </c>
      <c r="G710" t="e">
        <f ca="1">BDP("52129TBF Muni","MATURITY")</f>
        <v>#NAME?</v>
      </c>
      <c r="H710" t="e">
        <f ca="1">BDP("52129TBF Muni","MUNI_TAX_PROV")</f>
        <v>#NAME?</v>
      </c>
      <c r="I710" t="e">
        <f ca="1">BDP("52129TBF Muni","FINANCING_TYPE")</f>
        <v>#NAME?</v>
      </c>
      <c r="J710" t="e">
        <f ca="1">BDP("52129TBF Muni","BICS_LEVEL_2_INDUSTRY_GROUP_NAME")</f>
        <v>#NAME?</v>
      </c>
      <c r="K710" t="e">
        <f ca="1">BDP("52129TBF Muni","SELF_REPRTD_GREEN_INSTR_INDCTR")</f>
        <v>#NAME?</v>
      </c>
      <c r="L710" t="e">
        <f ca="1">BDP("52129TBF Muni","GB_MANAGEMENT_PROCEEDS")</f>
        <v>#NAME?</v>
      </c>
      <c r="M710" t="e">
        <f ca="1">BDP("52129TBF Muni","GB_REPORTING")</f>
        <v>#NAME?</v>
      </c>
      <c r="N710" t="e">
        <f ca="1">BDP("52129TBF Muni","GB_ASSURANCE_PROVIDERS")</f>
        <v>#NAME?</v>
      </c>
      <c r="O710" t="e">
        <f ca="1">BDP("52129TBF Muni","GB_PROJECT_SELECTION_PROCESS")</f>
        <v>#NAME?</v>
      </c>
      <c r="P710" t="e">
        <f ca="1">BDP("52129TBF Muni","ESG_FRAMEWORK_INDICATOR")</f>
        <v>#NAME?</v>
      </c>
      <c r="Q710" t="e">
        <f ca="1">BDP("52129TBF Muni","BLOOMBERG_SECTOR_CODE")</f>
        <v>#NAME?</v>
      </c>
      <c r="R710" t="e">
        <f ca="1">BDP("52129TBF Muni","ISSUER_TYPE")</f>
        <v>#NAME?</v>
      </c>
      <c r="S710" t="e">
        <f ca="1">BDS("52129TBF Muni","ESG_PROJECT_CATEGORY", "aggregate=y")</f>
        <v>#NAME?</v>
      </c>
      <c r="T710" t="e">
        <f ca="1">BDS("52129TBF Muni","ESG_PROJECT_SUBCATEGORY", "aggregate=y")</f>
        <v>#NAME?</v>
      </c>
    </row>
    <row r="711" spans="1:20" x14ac:dyDescent="0.25">
      <c r="A711" t="e">
        <f ca="1">BDP("52129TBG Muni","ID_CUSIP")</f>
        <v>#NAME?</v>
      </c>
      <c r="B711" t="e">
        <f ca="1">BDP("52129TBG Muni","STATE_CODE")</f>
        <v>#NAME?</v>
      </c>
      <c r="C711" t="s">
        <v>51</v>
      </c>
      <c r="D711" t="e">
        <f ca="1">BDP("52129TBG Muni","YIELD_ON_ISSUE_DATE")</f>
        <v>#NAME?</v>
      </c>
      <c r="E711">
        <v>1650000</v>
      </c>
      <c r="F711" t="e">
        <f ca="1">BDP("52129TBG Muni","ISSUE_DT")</f>
        <v>#NAME?</v>
      </c>
      <c r="G711" t="e">
        <f ca="1">BDP("52129TBG Muni","MATURITY")</f>
        <v>#NAME?</v>
      </c>
      <c r="H711" t="e">
        <f ca="1">BDP("52129TBG Muni","MUNI_TAX_PROV")</f>
        <v>#NAME?</v>
      </c>
      <c r="I711" t="e">
        <f ca="1">BDP("52129TBG Muni","FINANCING_TYPE")</f>
        <v>#NAME?</v>
      </c>
      <c r="J711" t="e">
        <f ca="1">BDP("52129TBG Muni","BICS_LEVEL_2_INDUSTRY_GROUP_NAME")</f>
        <v>#NAME?</v>
      </c>
      <c r="K711" t="e">
        <f ca="1">BDP("52129TBG Muni","SELF_REPRTD_GREEN_INSTR_INDCTR")</f>
        <v>#NAME?</v>
      </c>
      <c r="L711" t="e">
        <f ca="1">BDP("52129TBG Muni","GB_MANAGEMENT_PROCEEDS")</f>
        <v>#NAME?</v>
      </c>
      <c r="M711" t="e">
        <f ca="1">BDP("52129TBG Muni","GB_REPORTING")</f>
        <v>#NAME?</v>
      </c>
      <c r="N711" t="e">
        <f ca="1">BDP("52129TBG Muni","GB_ASSURANCE_PROVIDERS")</f>
        <v>#NAME?</v>
      </c>
      <c r="O711" t="e">
        <f ca="1">BDP("52129TBG Muni","GB_PROJECT_SELECTION_PROCESS")</f>
        <v>#NAME?</v>
      </c>
      <c r="P711" t="e">
        <f ca="1">BDP("52129TBG Muni","ESG_FRAMEWORK_INDICATOR")</f>
        <v>#NAME?</v>
      </c>
      <c r="Q711" t="e">
        <f ca="1">BDP("52129TBG Muni","BLOOMBERG_SECTOR_CODE")</f>
        <v>#NAME?</v>
      </c>
      <c r="R711" t="e">
        <f ca="1">BDP("52129TBG Muni","ISSUER_TYPE")</f>
        <v>#NAME?</v>
      </c>
      <c r="S711" t="e">
        <f ca="1">BDS("52129TBG Muni","ESG_PROJECT_CATEGORY", "aggregate=y")</f>
        <v>#NAME?</v>
      </c>
      <c r="T711" t="e">
        <f ca="1">BDS("52129TBG Muni","ESG_PROJECT_SUBCATEGORY", "aggregate=y")</f>
        <v>#NAME?</v>
      </c>
    </row>
    <row r="712" spans="1:20" x14ac:dyDescent="0.25">
      <c r="A712" t="e">
        <f ca="1">BDP("52129TBH Muni","ID_CUSIP")</f>
        <v>#NAME?</v>
      </c>
      <c r="B712" t="e">
        <f ca="1">BDP("52129TBH Muni","STATE_CODE")</f>
        <v>#NAME?</v>
      </c>
      <c r="C712" t="s">
        <v>51</v>
      </c>
      <c r="D712" t="e">
        <f ca="1">BDP("52129TBH Muni","YIELD_ON_ISSUE_DATE")</f>
        <v>#NAME?</v>
      </c>
      <c r="E712">
        <v>1735000</v>
      </c>
      <c r="F712" t="e">
        <f ca="1">BDP("52129TBH Muni","ISSUE_DT")</f>
        <v>#NAME?</v>
      </c>
      <c r="G712" t="e">
        <f ca="1">BDP("52129TBH Muni","MATURITY")</f>
        <v>#NAME?</v>
      </c>
      <c r="H712" t="e">
        <f ca="1">BDP("52129TBH Muni","MUNI_TAX_PROV")</f>
        <v>#NAME?</v>
      </c>
      <c r="I712" t="e">
        <f ca="1">BDP("52129TBH Muni","FINANCING_TYPE")</f>
        <v>#NAME?</v>
      </c>
      <c r="J712" t="e">
        <f ca="1">BDP("52129TBH Muni","BICS_LEVEL_2_INDUSTRY_GROUP_NAME")</f>
        <v>#NAME?</v>
      </c>
      <c r="K712" t="e">
        <f ca="1">BDP("52129TBH Muni","SELF_REPRTD_GREEN_INSTR_INDCTR")</f>
        <v>#NAME?</v>
      </c>
      <c r="L712" t="e">
        <f ca="1">BDP("52129TBH Muni","GB_MANAGEMENT_PROCEEDS")</f>
        <v>#NAME?</v>
      </c>
      <c r="M712" t="e">
        <f ca="1">BDP("52129TBH Muni","GB_REPORTING")</f>
        <v>#NAME?</v>
      </c>
      <c r="N712" t="e">
        <f ca="1">BDP("52129TBH Muni","GB_ASSURANCE_PROVIDERS")</f>
        <v>#NAME?</v>
      </c>
      <c r="O712" t="e">
        <f ca="1">BDP("52129TBH Muni","GB_PROJECT_SELECTION_PROCESS")</f>
        <v>#NAME?</v>
      </c>
      <c r="P712" t="e">
        <f ca="1">BDP("52129TBH Muni","ESG_FRAMEWORK_INDICATOR")</f>
        <v>#NAME?</v>
      </c>
      <c r="Q712" t="e">
        <f ca="1">BDP("52129TBH Muni","BLOOMBERG_SECTOR_CODE")</f>
        <v>#NAME?</v>
      </c>
      <c r="R712" t="e">
        <f ca="1">BDP("52129TBH Muni","ISSUER_TYPE")</f>
        <v>#NAME?</v>
      </c>
      <c r="S712" t="e">
        <f ca="1">BDS("52129TBH Muni","ESG_PROJECT_CATEGORY", "aggregate=y")</f>
        <v>#NAME?</v>
      </c>
      <c r="T712" t="e">
        <f ca="1">BDS("52129TBH Muni","ESG_PROJECT_SUBCATEGORY", "aggregate=y")</f>
        <v>#NAME?</v>
      </c>
    </row>
    <row r="713" spans="1:20" x14ac:dyDescent="0.25">
      <c r="A713" t="e">
        <f ca="1">BDP("52129TBJ Muni","ID_CUSIP")</f>
        <v>#NAME?</v>
      </c>
      <c r="B713" t="e">
        <f ca="1">BDP("52129TBJ Muni","STATE_CODE")</f>
        <v>#NAME?</v>
      </c>
      <c r="C713" t="s">
        <v>51</v>
      </c>
      <c r="D713" t="e">
        <f ca="1">BDP("52129TBJ Muni","YIELD_ON_ISSUE_DATE")</f>
        <v>#NAME?</v>
      </c>
      <c r="E713">
        <v>1820000</v>
      </c>
      <c r="F713" t="e">
        <f ca="1">BDP("52129TBJ Muni","ISSUE_DT")</f>
        <v>#NAME?</v>
      </c>
      <c r="G713" t="e">
        <f ca="1">BDP("52129TBJ Muni","MATURITY")</f>
        <v>#NAME?</v>
      </c>
      <c r="H713" t="e">
        <f ca="1">BDP("52129TBJ Muni","MUNI_TAX_PROV")</f>
        <v>#NAME?</v>
      </c>
      <c r="I713" t="e">
        <f ca="1">BDP("52129TBJ Muni","FINANCING_TYPE")</f>
        <v>#NAME?</v>
      </c>
      <c r="J713" t="e">
        <f ca="1">BDP("52129TBJ Muni","BICS_LEVEL_2_INDUSTRY_GROUP_NAME")</f>
        <v>#NAME?</v>
      </c>
      <c r="K713" t="e">
        <f ca="1">BDP("52129TBJ Muni","SELF_REPRTD_GREEN_INSTR_INDCTR")</f>
        <v>#NAME?</v>
      </c>
      <c r="L713" t="e">
        <f ca="1">BDP("52129TBJ Muni","GB_MANAGEMENT_PROCEEDS")</f>
        <v>#NAME?</v>
      </c>
      <c r="M713" t="e">
        <f ca="1">BDP("52129TBJ Muni","GB_REPORTING")</f>
        <v>#NAME?</v>
      </c>
      <c r="N713" t="e">
        <f ca="1">BDP("52129TBJ Muni","GB_ASSURANCE_PROVIDERS")</f>
        <v>#NAME?</v>
      </c>
      <c r="O713" t="e">
        <f ca="1">BDP("52129TBJ Muni","GB_PROJECT_SELECTION_PROCESS")</f>
        <v>#NAME?</v>
      </c>
      <c r="P713" t="e">
        <f ca="1">BDP("52129TBJ Muni","ESG_FRAMEWORK_INDICATOR")</f>
        <v>#NAME?</v>
      </c>
      <c r="Q713" t="e">
        <f ca="1">BDP("52129TBJ Muni","BLOOMBERG_SECTOR_CODE")</f>
        <v>#NAME?</v>
      </c>
      <c r="R713" t="e">
        <f ca="1">BDP("52129TBJ Muni","ISSUER_TYPE")</f>
        <v>#NAME?</v>
      </c>
      <c r="S713" t="e">
        <f ca="1">BDS("52129TBJ Muni","ESG_PROJECT_CATEGORY", "aggregate=y")</f>
        <v>#NAME?</v>
      </c>
      <c r="T713" t="e">
        <f ca="1">BDS("52129TBJ Muni","ESG_PROJECT_SUBCATEGORY", "aggregate=y")</f>
        <v>#NAME?</v>
      </c>
    </row>
    <row r="714" spans="1:20" x14ac:dyDescent="0.25">
      <c r="A714" t="e">
        <f ca="1">BDP("52129TBK Muni","ID_CUSIP")</f>
        <v>#NAME?</v>
      </c>
      <c r="B714" t="e">
        <f ca="1">BDP("52129TBK Muni","STATE_CODE")</f>
        <v>#NAME?</v>
      </c>
      <c r="C714" t="s">
        <v>51</v>
      </c>
      <c r="D714" t="e">
        <f ca="1">BDP("52129TBK Muni","YIELD_ON_ISSUE_DATE")</f>
        <v>#NAME?</v>
      </c>
      <c r="E714">
        <v>1915000</v>
      </c>
      <c r="F714" t="e">
        <f ca="1">BDP("52129TBK Muni","ISSUE_DT")</f>
        <v>#NAME?</v>
      </c>
      <c r="G714" t="e">
        <f ca="1">BDP("52129TBK Muni","MATURITY")</f>
        <v>#NAME?</v>
      </c>
      <c r="H714" t="e">
        <f ca="1">BDP("52129TBK Muni","MUNI_TAX_PROV")</f>
        <v>#NAME?</v>
      </c>
      <c r="I714" t="e">
        <f ca="1">BDP("52129TBK Muni","FINANCING_TYPE")</f>
        <v>#NAME?</v>
      </c>
      <c r="J714" t="e">
        <f ca="1">BDP("52129TBK Muni","BICS_LEVEL_2_INDUSTRY_GROUP_NAME")</f>
        <v>#NAME?</v>
      </c>
      <c r="K714" t="e">
        <f ca="1">BDP("52129TBK Muni","SELF_REPRTD_GREEN_INSTR_INDCTR")</f>
        <v>#NAME?</v>
      </c>
      <c r="L714" t="e">
        <f ca="1">BDP("52129TBK Muni","GB_MANAGEMENT_PROCEEDS")</f>
        <v>#NAME?</v>
      </c>
      <c r="M714" t="e">
        <f ca="1">BDP("52129TBK Muni","GB_REPORTING")</f>
        <v>#NAME?</v>
      </c>
      <c r="N714" t="e">
        <f ca="1">BDP("52129TBK Muni","GB_ASSURANCE_PROVIDERS")</f>
        <v>#NAME?</v>
      </c>
      <c r="O714" t="e">
        <f ca="1">BDP("52129TBK Muni","GB_PROJECT_SELECTION_PROCESS")</f>
        <v>#NAME?</v>
      </c>
      <c r="P714" t="e">
        <f ca="1">BDP("52129TBK Muni","ESG_FRAMEWORK_INDICATOR")</f>
        <v>#NAME?</v>
      </c>
      <c r="Q714" t="e">
        <f ca="1">BDP("52129TBK Muni","BLOOMBERG_SECTOR_CODE")</f>
        <v>#NAME?</v>
      </c>
      <c r="R714" t="e">
        <f ca="1">BDP("52129TBK Muni","ISSUER_TYPE")</f>
        <v>#NAME?</v>
      </c>
      <c r="S714" t="e">
        <f ca="1">BDS("52129TBK Muni","ESG_PROJECT_CATEGORY", "aggregate=y")</f>
        <v>#NAME?</v>
      </c>
      <c r="T714" t="e">
        <f ca="1">BDS("52129TBK Muni","ESG_PROJECT_SUBCATEGORY", "aggregate=y")</f>
        <v>#NAME?</v>
      </c>
    </row>
    <row r="715" spans="1:20" x14ac:dyDescent="0.25">
      <c r="A715" t="e">
        <f ca="1">BDP("52129TBL Muni","ID_CUSIP")</f>
        <v>#NAME?</v>
      </c>
      <c r="B715" t="e">
        <f ca="1">BDP("52129TBL Muni","STATE_CODE")</f>
        <v>#NAME?</v>
      </c>
      <c r="C715" t="s">
        <v>51</v>
      </c>
      <c r="D715" t="e">
        <f ca="1">BDP("52129TBL Muni","YIELD_ON_ISSUE_DATE")</f>
        <v>#NAME?</v>
      </c>
      <c r="E715">
        <v>2010000</v>
      </c>
      <c r="F715" t="e">
        <f ca="1">BDP("52129TBL Muni","ISSUE_DT")</f>
        <v>#NAME?</v>
      </c>
      <c r="G715" t="e">
        <f ca="1">BDP("52129TBL Muni","MATURITY")</f>
        <v>#NAME?</v>
      </c>
      <c r="H715" t="e">
        <f ca="1">BDP("52129TBL Muni","MUNI_TAX_PROV")</f>
        <v>#NAME?</v>
      </c>
      <c r="I715" t="e">
        <f ca="1">BDP("52129TBL Muni","FINANCING_TYPE")</f>
        <v>#NAME?</v>
      </c>
      <c r="J715" t="e">
        <f ca="1">BDP("52129TBL Muni","BICS_LEVEL_2_INDUSTRY_GROUP_NAME")</f>
        <v>#NAME?</v>
      </c>
      <c r="K715" t="e">
        <f ca="1">BDP("52129TBL Muni","SELF_REPRTD_GREEN_INSTR_INDCTR")</f>
        <v>#NAME?</v>
      </c>
      <c r="L715" t="e">
        <f ca="1">BDP("52129TBL Muni","GB_MANAGEMENT_PROCEEDS")</f>
        <v>#NAME?</v>
      </c>
      <c r="M715" t="e">
        <f ca="1">BDP("52129TBL Muni","GB_REPORTING")</f>
        <v>#NAME?</v>
      </c>
      <c r="N715" t="e">
        <f ca="1">BDP("52129TBL Muni","GB_ASSURANCE_PROVIDERS")</f>
        <v>#NAME?</v>
      </c>
      <c r="O715" t="e">
        <f ca="1">BDP("52129TBL Muni","GB_PROJECT_SELECTION_PROCESS")</f>
        <v>#NAME?</v>
      </c>
      <c r="P715" t="e">
        <f ca="1">BDP("52129TBL Muni","ESG_FRAMEWORK_INDICATOR")</f>
        <v>#NAME?</v>
      </c>
      <c r="Q715" t="e">
        <f ca="1">BDP("52129TBL Muni","BLOOMBERG_SECTOR_CODE")</f>
        <v>#NAME?</v>
      </c>
      <c r="R715" t="e">
        <f ca="1">BDP("52129TBL Muni","ISSUER_TYPE")</f>
        <v>#NAME?</v>
      </c>
      <c r="S715" t="e">
        <f ca="1">BDS("52129TBL Muni","ESG_PROJECT_CATEGORY", "aggregate=y")</f>
        <v>#NAME?</v>
      </c>
      <c r="T715" t="e">
        <f ca="1">BDS("52129TBL Muni","ESG_PROJECT_SUBCATEGORY", "aggregate=y")</f>
        <v>#NAME?</v>
      </c>
    </row>
    <row r="716" spans="1:20" x14ac:dyDescent="0.25">
      <c r="A716" t="e">
        <f ca="1">BDP("394478EH Muni","ID_CUSIP")</f>
        <v>#NAME?</v>
      </c>
      <c r="B716" t="e">
        <f ca="1">BDP("394478EH Muni","STATE_CODE")</f>
        <v>#NAME?</v>
      </c>
      <c r="C716" t="s">
        <v>52</v>
      </c>
      <c r="D716" t="e">
        <f ca="1">BDP("394478EH Muni","YIELD_ON_ISSUE_DATE")</f>
        <v>#NAME?</v>
      </c>
      <c r="E716">
        <v>930000</v>
      </c>
      <c r="F716" t="e">
        <f ca="1">BDP("394478EH Muni","ISSUE_DT")</f>
        <v>#NAME?</v>
      </c>
      <c r="G716" t="e">
        <f ca="1">BDP("394478EH Muni","MATURITY")</f>
        <v>#NAME?</v>
      </c>
      <c r="H716" t="e">
        <f ca="1">BDP("394478EH Muni","MUNI_TAX_PROV")</f>
        <v>#NAME?</v>
      </c>
      <c r="I716" t="e">
        <f ca="1">BDP("394478EH Muni","FINANCING_TYPE")</f>
        <v>#NAME?</v>
      </c>
      <c r="J716" t="e">
        <f ca="1">BDP("394478EH Muni","BICS_LEVEL_2_INDUSTRY_GROUP_NAME")</f>
        <v>#NAME?</v>
      </c>
      <c r="K716" t="e">
        <f ca="1">BDP("394478EH Muni","SELF_REPRTD_GREEN_INSTR_INDCTR")</f>
        <v>#NAME?</v>
      </c>
      <c r="L716" t="e">
        <f ca="1">BDP("394478EH Muni","GB_MANAGEMENT_PROCEEDS")</f>
        <v>#NAME?</v>
      </c>
      <c r="M716" t="e">
        <f ca="1">BDP("394478EH Muni","GB_REPORTING")</f>
        <v>#NAME?</v>
      </c>
      <c r="N716" t="e">
        <f ca="1">BDP("394478EH Muni","GB_ASSURANCE_PROVIDERS")</f>
        <v>#NAME?</v>
      </c>
      <c r="O716" t="e">
        <f ca="1">BDP("394478EH Muni","GB_PROJECT_SELECTION_PROCESS")</f>
        <v>#NAME?</v>
      </c>
      <c r="P716" t="e">
        <f ca="1">BDP("394478EH Muni","ESG_FRAMEWORK_INDICATOR")</f>
        <v>#NAME?</v>
      </c>
      <c r="Q716" t="e">
        <f ca="1">BDP("394478EH Muni","BLOOMBERG_SECTOR_CODE")</f>
        <v>#NAME?</v>
      </c>
      <c r="R716" t="e">
        <f ca="1">BDP("394478EH Muni","ISSUER_TYPE")</f>
        <v>#NAME?</v>
      </c>
      <c r="S716" t="e">
        <f ca="1">BDS("394478EH Muni","ESG_PROJECT_CATEGORY", "aggregate=y")</f>
        <v>#NAME?</v>
      </c>
      <c r="T716" t="e">
        <f ca="1">BDS("394478EH Muni","ESG_PROJECT_SUBCATEGORY", "aggregate=y")</f>
        <v>#NAME?</v>
      </c>
    </row>
    <row r="717" spans="1:20" x14ac:dyDescent="0.25">
      <c r="A717" t="e">
        <f ca="1">BDP("46247SHW Muni","ID_CUSIP")</f>
        <v>#NAME?</v>
      </c>
      <c r="B717" t="e">
        <f ca="1">BDP("46247SHW Muni","STATE_CODE")</f>
        <v>#NAME?</v>
      </c>
      <c r="C717" t="s">
        <v>50</v>
      </c>
      <c r="D717" t="e">
        <f ca="1">BDP("46247SHW Muni","YIELD_ON_ISSUE_DATE")</f>
        <v>#NAME?</v>
      </c>
      <c r="E717">
        <v>11760000</v>
      </c>
      <c r="F717" t="e">
        <f ca="1">BDP("46247SHW Muni","ISSUE_DT")</f>
        <v>#NAME?</v>
      </c>
      <c r="G717" t="e">
        <f ca="1">BDP("46247SHW Muni","MATURITY")</f>
        <v>#NAME?</v>
      </c>
      <c r="H717" t="e">
        <f ca="1">BDP("46247SHW Muni","MUNI_TAX_PROV")</f>
        <v>#NAME?</v>
      </c>
      <c r="I717" t="e">
        <f ca="1">BDP("46247SHW Muni","FINANCING_TYPE")</f>
        <v>#NAME?</v>
      </c>
      <c r="J717" t="e">
        <f ca="1">BDP("46247SHW Muni","BICS_LEVEL_2_INDUSTRY_GROUP_NAME")</f>
        <v>#NAME?</v>
      </c>
      <c r="K717" t="e">
        <f ca="1">BDP("46247SHW Muni","SELF_REPRTD_GREEN_INSTR_INDCTR")</f>
        <v>#NAME?</v>
      </c>
      <c r="L717" t="e">
        <f ca="1">BDP("46247SHW Muni","GB_MANAGEMENT_PROCEEDS")</f>
        <v>#NAME?</v>
      </c>
      <c r="M717" t="e">
        <f ca="1">BDP("46247SHW Muni","GB_REPORTING")</f>
        <v>#NAME?</v>
      </c>
      <c r="N717" t="e">
        <f ca="1">BDP("46247SHW Muni","GB_ASSURANCE_PROVIDERS")</f>
        <v>#NAME?</v>
      </c>
      <c r="O717" t="e">
        <f ca="1">BDP("46247SHW Muni","GB_PROJECT_SELECTION_PROCESS")</f>
        <v>#NAME?</v>
      </c>
      <c r="P717" t="e">
        <f ca="1">BDP("46247SHW Muni","ESG_FRAMEWORK_INDICATOR")</f>
        <v>#NAME?</v>
      </c>
      <c r="Q717" t="e">
        <f ca="1">BDP("46247SHW Muni","BLOOMBERG_SECTOR_CODE")</f>
        <v>#NAME?</v>
      </c>
      <c r="R717" t="e">
        <f ca="1">BDP("46247SHW Muni","ISSUER_TYPE")</f>
        <v>#NAME?</v>
      </c>
      <c r="S717" t="e">
        <f ca="1">BDS("46247SHW Muni","ESG_PROJECT_CATEGORY", "aggregate=y")</f>
        <v>#NAME?</v>
      </c>
      <c r="T717" t="e">
        <f ca="1">BDS("46247SHW Muni","ESG_PROJECT_SUBCATEGORY", "aggregate=y")</f>
        <v>#NAME?</v>
      </c>
    </row>
    <row r="718" spans="1:20" x14ac:dyDescent="0.25">
      <c r="A718" t="e">
        <f ca="1">BDP("394478EF Muni","ID_CUSIP")</f>
        <v>#NAME?</v>
      </c>
      <c r="B718" t="e">
        <f ca="1">BDP("394478EF Muni","STATE_CODE")</f>
        <v>#NAME?</v>
      </c>
      <c r="C718" t="s">
        <v>52</v>
      </c>
      <c r="D718" t="e">
        <f ca="1">BDP("394478EF Muni","YIELD_ON_ISSUE_DATE")</f>
        <v>#NAME?</v>
      </c>
      <c r="E718">
        <v>860000</v>
      </c>
      <c r="F718" t="e">
        <f ca="1">BDP("394478EF Muni","ISSUE_DT")</f>
        <v>#NAME?</v>
      </c>
      <c r="G718" t="e">
        <f ca="1">BDP("394478EF Muni","MATURITY")</f>
        <v>#NAME?</v>
      </c>
      <c r="H718" t="e">
        <f ca="1">BDP("394478EF Muni","MUNI_TAX_PROV")</f>
        <v>#NAME?</v>
      </c>
      <c r="I718" t="e">
        <f ca="1">BDP("394478EF Muni","FINANCING_TYPE")</f>
        <v>#NAME?</v>
      </c>
      <c r="J718" t="e">
        <f ca="1">BDP("394478EF Muni","BICS_LEVEL_2_INDUSTRY_GROUP_NAME")</f>
        <v>#NAME?</v>
      </c>
      <c r="K718" t="e">
        <f ca="1">BDP("394478EF Muni","SELF_REPRTD_GREEN_INSTR_INDCTR")</f>
        <v>#NAME?</v>
      </c>
      <c r="L718" t="e">
        <f ca="1">BDP("394478EF Muni","GB_MANAGEMENT_PROCEEDS")</f>
        <v>#NAME?</v>
      </c>
      <c r="M718" t="e">
        <f ca="1">BDP("394478EF Muni","GB_REPORTING")</f>
        <v>#NAME?</v>
      </c>
      <c r="N718" t="e">
        <f ca="1">BDP("394478EF Muni","GB_ASSURANCE_PROVIDERS")</f>
        <v>#NAME?</v>
      </c>
      <c r="O718" t="e">
        <f ca="1">BDP("394478EF Muni","GB_PROJECT_SELECTION_PROCESS")</f>
        <v>#NAME?</v>
      </c>
      <c r="P718" t="e">
        <f ca="1">BDP("394478EF Muni","ESG_FRAMEWORK_INDICATOR")</f>
        <v>#NAME?</v>
      </c>
      <c r="Q718" t="e">
        <f ca="1">BDP("394478EF Muni","BLOOMBERG_SECTOR_CODE")</f>
        <v>#NAME?</v>
      </c>
      <c r="R718" t="e">
        <f ca="1">BDP("394478EF Muni","ISSUER_TYPE")</f>
        <v>#NAME?</v>
      </c>
      <c r="S718" t="e">
        <f ca="1">BDS("394478EF Muni","ESG_PROJECT_CATEGORY", "aggregate=y")</f>
        <v>#NAME?</v>
      </c>
      <c r="T718" t="e">
        <f ca="1">BDS("394478EF Muni","ESG_PROJECT_SUBCATEGORY", "aggregate=y")</f>
        <v>#NAME?</v>
      </c>
    </row>
    <row r="719" spans="1:20" x14ac:dyDescent="0.25">
      <c r="A719" t="e">
        <f ca="1">BDP("394478EJ Muni","ID_CUSIP")</f>
        <v>#NAME?</v>
      </c>
      <c r="B719" t="e">
        <f ca="1">BDP("394478EJ Muni","STATE_CODE")</f>
        <v>#NAME?</v>
      </c>
      <c r="C719" t="s">
        <v>52</v>
      </c>
      <c r="D719" t="e">
        <f ca="1">BDP("394478EJ Muni","YIELD_ON_ISSUE_DATE")</f>
        <v>#NAME?</v>
      </c>
      <c r="E719">
        <v>970000</v>
      </c>
      <c r="F719" t="e">
        <f ca="1">BDP("394478EJ Muni","ISSUE_DT")</f>
        <v>#NAME?</v>
      </c>
      <c r="G719" t="e">
        <f ca="1">BDP("394478EJ Muni","MATURITY")</f>
        <v>#NAME?</v>
      </c>
      <c r="H719" t="e">
        <f ca="1">BDP("394478EJ Muni","MUNI_TAX_PROV")</f>
        <v>#NAME?</v>
      </c>
      <c r="I719" t="e">
        <f ca="1">BDP("394478EJ Muni","FINANCING_TYPE")</f>
        <v>#NAME?</v>
      </c>
      <c r="J719" t="e">
        <f ca="1">BDP("394478EJ Muni","BICS_LEVEL_2_INDUSTRY_GROUP_NAME")</f>
        <v>#NAME?</v>
      </c>
      <c r="K719" t="e">
        <f ca="1">BDP("394478EJ Muni","SELF_REPRTD_GREEN_INSTR_INDCTR")</f>
        <v>#NAME?</v>
      </c>
      <c r="L719" t="e">
        <f ca="1">BDP("394478EJ Muni","GB_MANAGEMENT_PROCEEDS")</f>
        <v>#NAME?</v>
      </c>
      <c r="M719" t="e">
        <f ca="1">BDP("394478EJ Muni","GB_REPORTING")</f>
        <v>#NAME?</v>
      </c>
      <c r="N719" t="e">
        <f ca="1">BDP("394478EJ Muni","GB_ASSURANCE_PROVIDERS")</f>
        <v>#NAME?</v>
      </c>
      <c r="O719" t="e">
        <f ca="1">BDP("394478EJ Muni","GB_PROJECT_SELECTION_PROCESS")</f>
        <v>#NAME?</v>
      </c>
      <c r="P719" t="e">
        <f ca="1">BDP("394478EJ Muni","ESG_FRAMEWORK_INDICATOR")</f>
        <v>#NAME?</v>
      </c>
      <c r="Q719" t="e">
        <f ca="1">BDP("394478EJ Muni","BLOOMBERG_SECTOR_CODE")</f>
        <v>#NAME?</v>
      </c>
      <c r="R719" t="e">
        <f ca="1">BDP("394478EJ Muni","ISSUER_TYPE")</f>
        <v>#NAME?</v>
      </c>
      <c r="S719" t="e">
        <f ca="1">BDS("394478EJ Muni","ESG_PROJECT_CATEGORY", "aggregate=y")</f>
        <v>#NAME?</v>
      </c>
      <c r="T719" t="e">
        <f ca="1">BDS("394478EJ Muni","ESG_PROJECT_SUBCATEGORY", "aggregate=y")</f>
        <v>#NAME?</v>
      </c>
    </row>
    <row r="720" spans="1:20" x14ac:dyDescent="0.25">
      <c r="A720" t="e">
        <f ca="1">BDP("394478EG Muni","ID_CUSIP")</f>
        <v>#NAME?</v>
      </c>
      <c r="B720" t="e">
        <f ca="1">BDP("394478EG Muni","STATE_CODE")</f>
        <v>#NAME?</v>
      </c>
      <c r="C720" t="s">
        <v>52</v>
      </c>
      <c r="D720" t="e">
        <f ca="1">BDP("394478EG Muni","YIELD_ON_ISSUE_DATE")</f>
        <v>#NAME?</v>
      </c>
      <c r="E720">
        <v>895000</v>
      </c>
      <c r="F720" t="e">
        <f ca="1">BDP("394478EG Muni","ISSUE_DT")</f>
        <v>#NAME?</v>
      </c>
      <c r="G720" t="e">
        <f ca="1">BDP("394478EG Muni","MATURITY")</f>
        <v>#NAME?</v>
      </c>
      <c r="H720" t="e">
        <f ca="1">BDP("394478EG Muni","MUNI_TAX_PROV")</f>
        <v>#NAME?</v>
      </c>
      <c r="I720" t="e">
        <f ca="1">BDP("394478EG Muni","FINANCING_TYPE")</f>
        <v>#NAME?</v>
      </c>
      <c r="J720" t="e">
        <f ca="1">BDP("394478EG Muni","BICS_LEVEL_2_INDUSTRY_GROUP_NAME")</f>
        <v>#NAME?</v>
      </c>
      <c r="K720" t="e">
        <f ca="1">BDP("394478EG Muni","SELF_REPRTD_GREEN_INSTR_INDCTR")</f>
        <v>#NAME?</v>
      </c>
      <c r="L720" t="e">
        <f ca="1">BDP("394478EG Muni","GB_MANAGEMENT_PROCEEDS")</f>
        <v>#NAME?</v>
      </c>
      <c r="M720" t="e">
        <f ca="1">BDP("394478EG Muni","GB_REPORTING")</f>
        <v>#NAME?</v>
      </c>
      <c r="N720" t="e">
        <f ca="1">BDP("394478EG Muni","GB_ASSURANCE_PROVIDERS")</f>
        <v>#NAME?</v>
      </c>
      <c r="O720" t="e">
        <f ca="1">BDP("394478EG Muni","GB_PROJECT_SELECTION_PROCESS")</f>
        <v>#NAME?</v>
      </c>
      <c r="P720" t="e">
        <f ca="1">BDP("394478EG Muni","ESG_FRAMEWORK_INDICATOR")</f>
        <v>#NAME?</v>
      </c>
      <c r="Q720" t="e">
        <f ca="1">BDP("394478EG Muni","BLOOMBERG_SECTOR_CODE")</f>
        <v>#NAME?</v>
      </c>
      <c r="R720" t="e">
        <f ca="1">BDP("394478EG Muni","ISSUER_TYPE")</f>
        <v>#NAME?</v>
      </c>
      <c r="S720" t="e">
        <f ca="1">BDS("394478EG Muni","ESG_PROJECT_CATEGORY", "aggregate=y")</f>
        <v>#NAME?</v>
      </c>
      <c r="T720" t="e">
        <f ca="1">BDS("394478EG Muni","ESG_PROJECT_SUBCATEGORY", "aggregate=y")</f>
        <v>#NAME?</v>
      </c>
    </row>
    <row r="721" spans="1:20" x14ac:dyDescent="0.25">
      <c r="A721" t="e">
        <f ca="1">BDP("46247SGL Muni","ID_CUSIP")</f>
        <v>#NAME?</v>
      </c>
      <c r="B721" t="e">
        <f ca="1">BDP("46247SGL Muni","STATE_CODE")</f>
        <v>#NAME?</v>
      </c>
      <c r="C721" t="s">
        <v>50</v>
      </c>
      <c r="D721" t="e">
        <f ca="1">BDP("46247SGL Muni","YIELD_ON_ISSUE_DATE")</f>
        <v>#NAME?</v>
      </c>
      <c r="E721">
        <v>10410000</v>
      </c>
      <c r="F721" t="e">
        <f ca="1">BDP("46247SGL Muni","ISSUE_DT")</f>
        <v>#NAME?</v>
      </c>
      <c r="G721" t="e">
        <f ca="1">BDP("46247SGL Muni","MATURITY")</f>
        <v>#NAME?</v>
      </c>
      <c r="H721" t="e">
        <f ca="1">BDP("46247SGL Muni","MUNI_TAX_PROV")</f>
        <v>#NAME?</v>
      </c>
      <c r="I721" t="e">
        <f ca="1">BDP("46247SGL Muni","FINANCING_TYPE")</f>
        <v>#NAME?</v>
      </c>
      <c r="J721" t="e">
        <f ca="1">BDP("46247SGL Muni","BICS_LEVEL_2_INDUSTRY_GROUP_NAME")</f>
        <v>#NAME?</v>
      </c>
      <c r="K721" t="e">
        <f ca="1">BDP("46247SGL Muni","SELF_REPRTD_GREEN_INSTR_INDCTR")</f>
        <v>#NAME?</v>
      </c>
      <c r="L721" t="e">
        <f ca="1">BDP("46247SGL Muni","GB_MANAGEMENT_PROCEEDS")</f>
        <v>#NAME?</v>
      </c>
      <c r="M721" t="e">
        <f ca="1">BDP("46247SGL Muni","GB_REPORTING")</f>
        <v>#NAME?</v>
      </c>
      <c r="N721" t="e">
        <f ca="1">BDP("46247SGL Muni","GB_ASSURANCE_PROVIDERS")</f>
        <v>#NAME?</v>
      </c>
      <c r="O721" t="e">
        <f ca="1">BDP("46247SGL Muni","GB_PROJECT_SELECTION_PROCESS")</f>
        <v>#NAME?</v>
      </c>
      <c r="P721" t="e">
        <f ca="1">BDP("46247SGL Muni","ESG_FRAMEWORK_INDICATOR")</f>
        <v>#NAME?</v>
      </c>
      <c r="Q721" t="e">
        <f ca="1">BDP("46247SGL Muni","BLOOMBERG_SECTOR_CODE")</f>
        <v>#NAME?</v>
      </c>
      <c r="R721" t="e">
        <f ca="1">BDP("46247SGL Muni","ISSUER_TYPE")</f>
        <v>#NAME?</v>
      </c>
      <c r="S721" t="e">
        <f ca="1">BDS("46247SGL Muni","ESG_PROJECT_CATEGORY", "aggregate=y")</f>
        <v>#NAME?</v>
      </c>
      <c r="T721" t="e">
        <f ca="1">BDS("46247SGL Muni","ESG_PROJECT_SUBCATEGORY", "aggregate=y")</f>
        <v>#NAME?</v>
      </c>
    </row>
    <row r="722" spans="1:20" x14ac:dyDescent="0.25">
      <c r="A722" t="e">
        <f ca="1">BDP("46247SHV Muni","ID_CUSIP")</f>
        <v>#NAME?</v>
      </c>
      <c r="B722" t="e">
        <f ca="1">BDP("46247SHV Muni","STATE_CODE")</f>
        <v>#NAME?</v>
      </c>
      <c r="C722" t="s">
        <v>50</v>
      </c>
      <c r="D722" t="e">
        <f ca="1">BDP("46247SHV Muni","YIELD_ON_ISSUE_DATE")</f>
        <v>#NAME?</v>
      </c>
      <c r="E722">
        <v>12655000</v>
      </c>
      <c r="F722" t="e">
        <f ca="1">BDP("46247SHV Muni","ISSUE_DT")</f>
        <v>#NAME?</v>
      </c>
      <c r="G722" t="e">
        <f ca="1">BDP("46247SHV Muni","MATURITY")</f>
        <v>#NAME?</v>
      </c>
      <c r="H722" t="e">
        <f ca="1">BDP("46247SHV Muni","MUNI_TAX_PROV")</f>
        <v>#NAME?</v>
      </c>
      <c r="I722" t="e">
        <f ca="1">BDP("46247SHV Muni","FINANCING_TYPE")</f>
        <v>#NAME?</v>
      </c>
      <c r="J722" t="e">
        <f ca="1">BDP("46247SHV Muni","BICS_LEVEL_2_INDUSTRY_GROUP_NAME")</f>
        <v>#NAME?</v>
      </c>
      <c r="K722" t="e">
        <f ca="1">BDP("46247SHV Muni","SELF_REPRTD_GREEN_INSTR_INDCTR")</f>
        <v>#NAME?</v>
      </c>
      <c r="L722" t="e">
        <f ca="1">BDP("46247SHV Muni","GB_MANAGEMENT_PROCEEDS")</f>
        <v>#NAME?</v>
      </c>
      <c r="M722" t="e">
        <f ca="1">BDP("46247SHV Muni","GB_REPORTING")</f>
        <v>#NAME?</v>
      </c>
      <c r="N722" t="e">
        <f ca="1">BDP("46247SHV Muni","GB_ASSURANCE_PROVIDERS")</f>
        <v>#NAME?</v>
      </c>
      <c r="O722" t="e">
        <f ca="1">BDP("46247SHV Muni","GB_PROJECT_SELECTION_PROCESS")</f>
        <v>#NAME?</v>
      </c>
      <c r="P722" t="e">
        <f ca="1">BDP("46247SHV Muni","ESG_FRAMEWORK_INDICATOR")</f>
        <v>#NAME?</v>
      </c>
      <c r="Q722" t="e">
        <f ca="1">BDP("46247SHV Muni","BLOOMBERG_SECTOR_CODE")</f>
        <v>#NAME?</v>
      </c>
      <c r="R722" t="e">
        <f ca="1">BDP("46247SHV Muni","ISSUER_TYPE")</f>
        <v>#NAME?</v>
      </c>
      <c r="S722" t="e">
        <f ca="1">BDS("46247SHV Muni","ESG_PROJECT_CATEGORY", "aggregate=y")</f>
        <v>#NAME?</v>
      </c>
      <c r="T722" t="e">
        <f ca="1">BDS("46247SHV Muni","ESG_PROJECT_SUBCATEGORY", "aggregate=y")</f>
        <v>#NAME?</v>
      </c>
    </row>
    <row r="723" spans="1:20" x14ac:dyDescent="0.25">
      <c r="A723" t="e">
        <f ca="1">BDP("394478EE Muni","ID_CUSIP")</f>
        <v>#NAME?</v>
      </c>
      <c r="B723" t="e">
        <f ca="1">BDP("394478EE Muni","STATE_CODE")</f>
        <v>#NAME?</v>
      </c>
      <c r="C723" t="s">
        <v>52</v>
      </c>
      <c r="D723" t="e">
        <f ca="1">BDP("394478EE Muni","YIELD_ON_ISSUE_DATE")</f>
        <v>#NAME?</v>
      </c>
      <c r="E723">
        <v>825000</v>
      </c>
      <c r="F723" t="e">
        <f ca="1">BDP("394478EE Muni","ISSUE_DT")</f>
        <v>#NAME?</v>
      </c>
      <c r="G723" t="e">
        <f ca="1">BDP("394478EE Muni","MATURITY")</f>
        <v>#NAME?</v>
      </c>
      <c r="H723" t="e">
        <f ca="1">BDP("394478EE Muni","MUNI_TAX_PROV")</f>
        <v>#NAME?</v>
      </c>
      <c r="I723" t="e">
        <f ca="1">BDP("394478EE Muni","FINANCING_TYPE")</f>
        <v>#NAME?</v>
      </c>
      <c r="J723" t="e">
        <f ca="1">BDP("394478EE Muni","BICS_LEVEL_2_INDUSTRY_GROUP_NAME")</f>
        <v>#NAME?</v>
      </c>
      <c r="K723" t="e">
        <f ca="1">BDP("394478EE Muni","SELF_REPRTD_GREEN_INSTR_INDCTR")</f>
        <v>#NAME?</v>
      </c>
      <c r="L723" t="e">
        <f ca="1">BDP("394478EE Muni","GB_MANAGEMENT_PROCEEDS")</f>
        <v>#NAME?</v>
      </c>
      <c r="M723" t="e">
        <f ca="1">BDP("394478EE Muni","GB_REPORTING")</f>
        <v>#NAME?</v>
      </c>
      <c r="N723" t="e">
        <f ca="1">BDP("394478EE Muni","GB_ASSURANCE_PROVIDERS")</f>
        <v>#NAME?</v>
      </c>
      <c r="O723" t="e">
        <f ca="1">BDP("394478EE Muni","GB_PROJECT_SELECTION_PROCESS")</f>
        <v>#NAME?</v>
      </c>
      <c r="P723" t="e">
        <f ca="1">BDP("394478EE Muni","ESG_FRAMEWORK_INDICATOR")</f>
        <v>#NAME?</v>
      </c>
      <c r="Q723" t="e">
        <f ca="1">BDP("394478EE Muni","BLOOMBERG_SECTOR_CODE")</f>
        <v>#NAME?</v>
      </c>
      <c r="R723" t="e">
        <f ca="1">BDP("394478EE Muni","ISSUER_TYPE")</f>
        <v>#NAME?</v>
      </c>
      <c r="S723" t="e">
        <f ca="1">BDS("394478EE Muni","ESG_PROJECT_CATEGORY", "aggregate=y")</f>
        <v>#NAME?</v>
      </c>
      <c r="T723" t="e">
        <f ca="1">BDS("394478EE Muni","ESG_PROJECT_SUBCATEGORY", "aggregate=y")</f>
        <v>#NAME?</v>
      </c>
    </row>
    <row r="724" spans="1:20" x14ac:dyDescent="0.25">
      <c r="A724" t="e">
        <f ca="1">BDP("394478DX Muni","ID_CUSIP")</f>
        <v>#NAME?</v>
      </c>
      <c r="B724" t="e">
        <f ca="1">BDP("394478DX Muni","STATE_CODE")</f>
        <v>#NAME?</v>
      </c>
      <c r="C724" t="s">
        <v>52</v>
      </c>
      <c r="D724" t="e">
        <f ca="1">BDP("394478DX Muni","YIELD_ON_ISSUE_DATE")</f>
        <v>#NAME?</v>
      </c>
      <c r="E724">
        <v>595000</v>
      </c>
      <c r="F724" t="e">
        <f ca="1">BDP("394478DX Muni","ISSUE_DT")</f>
        <v>#NAME?</v>
      </c>
      <c r="G724" t="e">
        <f ca="1">BDP("394478DX Muni","MATURITY")</f>
        <v>#NAME?</v>
      </c>
      <c r="H724" t="e">
        <f ca="1">BDP("394478DX Muni","MUNI_TAX_PROV")</f>
        <v>#NAME?</v>
      </c>
      <c r="I724" t="e">
        <f ca="1">BDP("394478DX Muni","FINANCING_TYPE")</f>
        <v>#NAME?</v>
      </c>
      <c r="J724" t="e">
        <f ca="1">BDP("394478DX Muni","BICS_LEVEL_2_INDUSTRY_GROUP_NAME")</f>
        <v>#NAME?</v>
      </c>
      <c r="K724" t="e">
        <f ca="1">BDP("394478DX Muni","SELF_REPRTD_GREEN_INSTR_INDCTR")</f>
        <v>#NAME?</v>
      </c>
      <c r="L724" t="e">
        <f ca="1">BDP("394478DX Muni","GB_MANAGEMENT_PROCEEDS")</f>
        <v>#NAME?</v>
      </c>
      <c r="M724" t="e">
        <f ca="1">BDP("394478DX Muni","GB_REPORTING")</f>
        <v>#NAME?</v>
      </c>
      <c r="N724" t="e">
        <f ca="1">BDP("394478DX Muni","GB_ASSURANCE_PROVIDERS")</f>
        <v>#NAME?</v>
      </c>
      <c r="O724" t="e">
        <f ca="1">BDP("394478DX Muni","GB_PROJECT_SELECTION_PROCESS")</f>
        <v>#NAME?</v>
      </c>
      <c r="P724" t="e">
        <f ca="1">BDP("394478DX Muni","ESG_FRAMEWORK_INDICATOR")</f>
        <v>#NAME?</v>
      </c>
      <c r="Q724" t="e">
        <f ca="1">BDP("394478DX Muni","BLOOMBERG_SECTOR_CODE")</f>
        <v>#NAME?</v>
      </c>
      <c r="R724" t="e">
        <f ca="1">BDP("394478DX Muni","ISSUER_TYPE")</f>
        <v>#NAME?</v>
      </c>
      <c r="S724" t="e">
        <f ca="1">BDS("394478DX Muni","ESG_PROJECT_CATEGORY", "aggregate=y")</f>
        <v>#NAME?</v>
      </c>
      <c r="T724" t="e">
        <f ca="1">BDS("394478DX Muni","ESG_PROJECT_SUBCATEGORY", "aggregate=y")</f>
        <v>#NAME?</v>
      </c>
    </row>
    <row r="725" spans="1:20" x14ac:dyDescent="0.25">
      <c r="A725" t="e">
        <f ca="1">BDP("394478DY Muni","ID_CUSIP")</f>
        <v>#NAME?</v>
      </c>
      <c r="B725" t="e">
        <f ca="1">BDP("394478DY Muni","STATE_CODE")</f>
        <v>#NAME?</v>
      </c>
      <c r="C725" t="s">
        <v>52</v>
      </c>
      <c r="D725" t="e">
        <f ca="1">BDP("394478DY Muni","YIELD_ON_ISSUE_DATE")</f>
        <v>#NAME?</v>
      </c>
      <c r="E725">
        <v>625000</v>
      </c>
      <c r="F725" t="e">
        <f ca="1">BDP("394478DY Muni","ISSUE_DT")</f>
        <v>#NAME?</v>
      </c>
      <c r="G725" t="e">
        <f ca="1">BDP("394478DY Muni","MATURITY")</f>
        <v>#NAME?</v>
      </c>
      <c r="H725" t="e">
        <f ca="1">BDP("394478DY Muni","MUNI_TAX_PROV")</f>
        <v>#NAME?</v>
      </c>
      <c r="I725" t="e">
        <f ca="1">BDP("394478DY Muni","FINANCING_TYPE")</f>
        <v>#NAME?</v>
      </c>
      <c r="J725" t="e">
        <f ca="1">BDP("394478DY Muni","BICS_LEVEL_2_INDUSTRY_GROUP_NAME")</f>
        <v>#NAME?</v>
      </c>
      <c r="K725" t="e">
        <f ca="1">BDP("394478DY Muni","SELF_REPRTD_GREEN_INSTR_INDCTR")</f>
        <v>#NAME?</v>
      </c>
      <c r="L725" t="e">
        <f ca="1">BDP("394478DY Muni","GB_MANAGEMENT_PROCEEDS")</f>
        <v>#NAME?</v>
      </c>
      <c r="M725" t="e">
        <f ca="1">BDP("394478DY Muni","GB_REPORTING")</f>
        <v>#NAME?</v>
      </c>
      <c r="N725" t="e">
        <f ca="1">BDP("394478DY Muni","GB_ASSURANCE_PROVIDERS")</f>
        <v>#NAME?</v>
      </c>
      <c r="O725" t="e">
        <f ca="1">BDP("394478DY Muni","GB_PROJECT_SELECTION_PROCESS")</f>
        <v>#NAME?</v>
      </c>
      <c r="P725" t="e">
        <f ca="1">BDP("394478DY Muni","ESG_FRAMEWORK_INDICATOR")</f>
        <v>#NAME?</v>
      </c>
      <c r="Q725" t="e">
        <f ca="1">BDP("394478DY Muni","BLOOMBERG_SECTOR_CODE")</f>
        <v>#NAME?</v>
      </c>
      <c r="R725" t="e">
        <f ca="1">BDP("394478DY Muni","ISSUER_TYPE")</f>
        <v>#NAME?</v>
      </c>
      <c r="S725" t="e">
        <f ca="1">BDS("394478DY Muni","ESG_PROJECT_CATEGORY", "aggregate=y")</f>
        <v>#NAME?</v>
      </c>
      <c r="T725" t="e">
        <f ca="1">BDS("394478DY Muni","ESG_PROJECT_SUBCATEGORY", "aggregate=y")</f>
        <v>#NAME?</v>
      </c>
    </row>
    <row r="726" spans="1:20" x14ac:dyDescent="0.25">
      <c r="A726" t="e">
        <f ca="1">BDP("394478DV Muni","ID_CUSIP")</f>
        <v>#NAME?</v>
      </c>
      <c r="B726" t="e">
        <f ca="1">BDP("394478DV Muni","STATE_CODE")</f>
        <v>#NAME?</v>
      </c>
      <c r="C726" t="s">
        <v>52</v>
      </c>
      <c r="D726" t="e">
        <f ca="1">BDP("394478DV Muni","YIELD_ON_ISSUE_DATE")</f>
        <v>#NAME?</v>
      </c>
      <c r="E726">
        <v>515000</v>
      </c>
      <c r="F726" t="e">
        <f ca="1">BDP("394478DV Muni","ISSUE_DT")</f>
        <v>#NAME?</v>
      </c>
      <c r="G726" t="e">
        <f ca="1">BDP("394478DV Muni","MATURITY")</f>
        <v>#NAME?</v>
      </c>
      <c r="H726" t="e">
        <f ca="1">BDP("394478DV Muni","MUNI_TAX_PROV")</f>
        <v>#NAME?</v>
      </c>
      <c r="I726" t="e">
        <f ca="1">BDP("394478DV Muni","FINANCING_TYPE")</f>
        <v>#NAME?</v>
      </c>
      <c r="J726" t="e">
        <f ca="1">BDP("394478DV Muni","BICS_LEVEL_2_INDUSTRY_GROUP_NAME")</f>
        <v>#NAME?</v>
      </c>
      <c r="K726" t="e">
        <f ca="1">BDP("394478DV Muni","SELF_REPRTD_GREEN_INSTR_INDCTR")</f>
        <v>#NAME?</v>
      </c>
      <c r="L726" t="e">
        <f ca="1">BDP("394478DV Muni","GB_MANAGEMENT_PROCEEDS")</f>
        <v>#NAME?</v>
      </c>
      <c r="M726" t="e">
        <f ca="1">BDP("394478DV Muni","GB_REPORTING")</f>
        <v>#NAME?</v>
      </c>
      <c r="N726" t="e">
        <f ca="1">BDP("394478DV Muni","GB_ASSURANCE_PROVIDERS")</f>
        <v>#NAME?</v>
      </c>
      <c r="O726" t="e">
        <f ca="1">BDP("394478DV Muni","GB_PROJECT_SELECTION_PROCESS")</f>
        <v>#NAME?</v>
      </c>
      <c r="P726" t="e">
        <f ca="1">BDP("394478DV Muni","ESG_FRAMEWORK_INDICATOR")</f>
        <v>#NAME?</v>
      </c>
      <c r="Q726" t="e">
        <f ca="1">BDP("394478DV Muni","BLOOMBERG_SECTOR_CODE")</f>
        <v>#NAME?</v>
      </c>
      <c r="R726" t="e">
        <f ca="1">BDP("394478DV Muni","ISSUER_TYPE")</f>
        <v>#NAME?</v>
      </c>
      <c r="S726" t="e">
        <f ca="1">BDS("394478DV Muni","ESG_PROJECT_CATEGORY", "aggregate=y")</f>
        <v>#NAME?</v>
      </c>
      <c r="T726" t="e">
        <f ca="1">BDS("394478DV Muni","ESG_PROJECT_SUBCATEGORY", "aggregate=y")</f>
        <v>#NAME?</v>
      </c>
    </row>
    <row r="727" spans="1:20" x14ac:dyDescent="0.25">
      <c r="A727" t="e">
        <f ca="1">BDP("394478DW Muni","ID_CUSIP")</f>
        <v>#NAME?</v>
      </c>
      <c r="B727" t="e">
        <f ca="1">BDP("394478DW Muni","STATE_CODE")</f>
        <v>#NAME?</v>
      </c>
      <c r="C727" t="s">
        <v>52</v>
      </c>
      <c r="D727" t="e">
        <f ca="1">BDP("394478DW Muni","YIELD_ON_ISSUE_DATE")</f>
        <v>#NAME?</v>
      </c>
      <c r="E727">
        <v>570000</v>
      </c>
      <c r="F727" t="e">
        <f ca="1">BDP("394478DW Muni","ISSUE_DT")</f>
        <v>#NAME?</v>
      </c>
      <c r="G727" t="e">
        <f ca="1">BDP("394478DW Muni","MATURITY")</f>
        <v>#NAME?</v>
      </c>
      <c r="H727" t="e">
        <f ca="1">BDP("394478DW Muni","MUNI_TAX_PROV")</f>
        <v>#NAME?</v>
      </c>
      <c r="I727" t="e">
        <f ca="1">BDP("394478DW Muni","FINANCING_TYPE")</f>
        <v>#NAME?</v>
      </c>
      <c r="J727" t="e">
        <f ca="1">BDP("394478DW Muni","BICS_LEVEL_2_INDUSTRY_GROUP_NAME")</f>
        <v>#NAME?</v>
      </c>
      <c r="K727" t="e">
        <f ca="1">BDP("394478DW Muni","SELF_REPRTD_GREEN_INSTR_INDCTR")</f>
        <v>#NAME?</v>
      </c>
      <c r="L727" t="e">
        <f ca="1">BDP("394478DW Muni","GB_MANAGEMENT_PROCEEDS")</f>
        <v>#NAME?</v>
      </c>
      <c r="M727" t="e">
        <f ca="1">BDP("394478DW Muni","GB_REPORTING")</f>
        <v>#NAME?</v>
      </c>
      <c r="N727" t="e">
        <f ca="1">BDP("394478DW Muni","GB_ASSURANCE_PROVIDERS")</f>
        <v>#NAME?</v>
      </c>
      <c r="O727" t="e">
        <f ca="1">BDP("394478DW Muni","GB_PROJECT_SELECTION_PROCESS")</f>
        <v>#NAME?</v>
      </c>
      <c r="P727" t="e">
        <f ca="1">BDP("394478DW Muni","ESG_FRAMEWORK_INDICATOR")</f>
        <v>#NAME?</v>
      </c>
      <c r="Q727" t="e">
        <f ca="1">BDP("394478DW Muni","BLOOMBERG_SECTOR_CODE")</f>
        <v>#NAME?</v>
      </c>
      <c r="R727" t="e">
        <f ca="1">BDP("394478DW Muni","ISSUER_TYPE")</f>
        <v>#NAME?</v>
      </c>
      <c r="S727" t="e">
        <f ca="1">BDS("394478DW Muni","ESG_PROJECT_CATEGORY", "aggregate=y")</f>
        <v>#NAME?</v>
      </c>
      <c r="T727" t="e">
        <f ca="1">BDS("394478DW Muni","ESG_PROJECT_SUBCATEGORY", "aggregate=y")</f>
        <v>#NAME?</v>
      </c>
    </row>
    <row r="728" spans="1:20" x14ac:dyDescent="0.25">
      <c r="A728" t="e">
        <f ca="1">BDP("394478EB Muni","ID_CUSIP")</f>
        <v>#NAME?</v>
      </c>
      <c r="B728" t="e">
        <f ca="1">BDP("394478EB Muni","STATE_CODE")</f>
        <v>#NAME?</v>
      </c>
      <c r="C728" t="s">
        <v>52</v>
      </c>
      <c r="D728" t="e">
        <f ca="1">BDP("394478EB Muni","YIELD_ON_ISSUE_DATE")</f>
        <v>#NAME?</v>
      </c>
      <c r="E728">
        <v>725000</v>
      </c>
      <c r="F728" t="e">
        <f ca="1">BDP("394478EB Muni","ISSUE_DT")</f>
        <v>#NAME?</v>
      </c>
      <c r="G728" t="e">
        <f ca="1">BDP("394478EB Muni","MATURITY")</f>
        <v>#NAME?</v>
      </c>
      <c r="H728" t="e">
        <f ca="1">BDP("394478EB Muni","MUNI_TAX_PROV")</f>
        <v>#NAME?</v>
      </c>
      <c r="I728" t="e">
        <f ca="1">BDP("394478EB Muni","FINANCING_TYPE")</f>
        <v>#NAME?</v>
      </c>
      <c r="J728" t="e">
        <f ca="1">BDP("394478EB Muni","BICS_LEVEL_2_INDUSTRY_GROUP_NAME")</f>
        <v>#NAME?</v>
      </c>
      <c r="K728" t="e">
        <f ca="1">BDP("394478EB Muni","SELF_REPRTD_GREEN_INSTR_INDCTR")</f>
        <v>#NAME?</v>
      </c>
      <c r="L728" t="e">
        <f ca="1">BDP("394478EB Muni","GB_MANAGEMENT_PROCEEDS")</f>
        <v>#NAME?</v>
      </c>
      <c r="M728" t="e">
        <f ca="1">BDP("394478EB Muni","GB_REPORTING")</f>
        <v>#NAME?</v>
      </c>
      <c r="N728" t="e">
        <f ca="1">BDP("394478EB Muni","GB_ASSURANCE_PROVIDERS")</f>
        <v>#NAME?</v>
      </c>
      <c r="O728" t="e">
        <f ca="1">BDP("394478EB Muni","GB_PROJECT_SELECTION_PROCESS")</f>
        <v>#NAME?</v>
      </c>
      <c r="P728" t="e">
        <f ca="1">BDP("394478EB Muni","ESG_FRAMEWORK_INDICATOR")</f>
        <v>#NAME?</v>
      </c>
      <c r="Q728" t="e">
        <f ca="1">BDP("394478EB Muni","BLOOMBERG_SECTOR_CODE")</f>
        <v>#NAME?</v>
      </c>
      <c r="R728" t="e">
        <f ca="1">BDP("394478EB Muni","ISSUER_TYPE")</f>
        <v>#NAME?</v>
      </c>
      <c r="S728" t="e">
        <f ca="1">BDS("394478EB Muni","ESG_PROJECT_CATEGORY", "aggregate=y")</f>
        <v>#NAME?</v>
      </c>
      <c r="T728" t="e">
        <f ca="1">BDS("394478EB Muni","ESG_PROJECT_SUBCATEGORY", "aggregate=y")</f>
        <v>#NAME?</v>
      </c>
    </row>
    <row r="729" spans="1:20" x14ac:dyDescent="0.25">
      <c r="A729" t="e">
        <f ca="1">BDP("46247SFY Muni","ID_CUSIP")</f>
        <v>#NAME?</v>
      </c>
      <c r="B729" t="e">
        <f ca="1">BDP("46247SFY Muni","STATE_CODE")</f>
        <v>#NAME?</v>
      </c>
      <c r="C729" t="s">
        <v>50</v>
      </c>
      <c r="D729" t="e">
        <f ca="1">BDP("46247SFY Muni","YIELD_ON_ISSUE_DATE")</f>
        <v>#NAME?</v>
      </c>
      <c r="E729">
        <v>7415000</v>
      </c>
      <c r="F729" t="e">
        <f ca="1">BDP("46247SFY Muni","ISSUE_DT")</f>
        <v>#NAME?</v>
      </c>
      <c r="G729" t="e">
        <f ca="1">BDP("46247SFY Muni","MATURITY")</f>
        <v>#NAME?</v>
      </c>
      <c r="H729" t="e">
        <f ca="1">BDP("46247SFY Muni","MUNI_TAX_PROV")</f>
        <v>#NAME?</v>
      </c>
      <c r="I729" t="e">
        <f ca="1">BDP("46247SFY Muni","FINANCING_TYPE")</f>
        <v>#NAME?</v>
      </c>
      <c r="J729" t="e">
        <f ca="1">BDP("46247SFY Muni","BICS_LEVEL_2_INDUSTRY_GROUP_NAME")</f>
        <v>#NAME?</v>
      </c>
      <c r="K729" t="e">
        <f ca="1">BDP("46247SFY Muni","SELF_REPRTD_GREEN_INSTR_INDCTR")</f>
        <v>#NAME?</v>
      </c>
      <c r="L729" t="e">
        <f ca="1">BDP("46247SFY Muni","GB_MANAGEMENT_PROCEEDS")</f>
        <v>#NAME?</v>
      </c>
      <c r="M729" t="e">
        <f ca="1">BDP("46247SFY Muni","GB_REPORTING")</f>
        <v>#NAME?</v>
      </c>
      <c r="N729" t="e">
        <f ca="1">BDP("46247SFY Muni","GB_ASSURANCE_PROVIDERS")</f>
        <v>#NAME?</v>
      </c>
      <c r="O729" t="e">
        <f ca="1">BDP("46247SFY Muni","GB_PROJECT_SELECTION_PROCESS")</f>
        <v>#NAME?</v>
      </c>
      <c r="P729" t="e">
        <f ca="1">BDP("46247SFY Muni","ESG_FRAMEWORK_INDICATOR")</f>
        <v>#NAME?</v>
      </c>
      <c r="Q729" t="e">
        <f ca="1">BDP("46247SFY Muni","BLOOMBERG_SECTOR_CODE")</f>
        <v>#NAME?</v>
      </c>
      <c r="R729" t="e">
        <f ca="1">BDP("46247SFY Muni","ISSUER_TYPE")</f>
        <v>#NAME?</v>
      </c>
      <c r="S729" t="e">
        <f ca="1">BDS("46247SFY Muni","ESG_PROJECT_CATEGORY", "aggregate=y")</f>
        <v>#NAME?</v>
      </c>
      <c r="T729" t="e">
        <f ca="1">BDS("46247SFY Muni","ESG_PROJECT_SUBCATEGORY", "aggregate=y")</f>
        <v>#NAME?</v>
      </c>
    </row>
    <row r="730" spans="1:20" x14ac:dyDescent="0.25">
      <c r="A730" t="e">
        <f ca="1">BDP("46247SHT Muni","ID_CUSIP")</f>
        <v>#NAME?</v>
      </c>
      <c r="B730" t="e">
        <f ca="1">BDP("46247SHT Muni","STATE_CODE")</f>
        <v>#NAME?</v>
      </c>
      <c r="C730" t="s">
        <v>50</v>
      </c>
      <c r="D730" t="e">
        <f ca="1">BDP("46247SHT Muni","YIELD_ON_ISSUE_DATE")</f>
        <v>#NAME?</v>
      </c>
      <c r="E730">
        <v>7575000</v>
      </c>
      <c r="F730" t="e">
        <f ca="1">BDP("46247SHT Muni","ISSUE_DT")</f>
        <v>#NAME?</v>
      </c>
      <c r="G730" t="e">
        <f ca="1">BDP("46247SHT Muni","MATURITY")</f>
        <v>#NAME?</v>
      </c>
      <c r="H730" t="e">
        <f ca="1">BDP("46247SHT Muni","MUNI_TAX_PROV")</f>
        <v>#NAME?</v>
      </c>
      <c r="I730" t="e">
        <f ca="1">BDP("46247SHT Muni","FINANCING_TYPE")</f>
        <v>#NAME?</v>
      </c>
      <c r="J730" t="e">
        <f ca="1">BDP("46247SHT Muni","BICS_LEVEL_2_INDUSTRY_GROUP_NAME")</f>
        <v>#NAME?</v>
      </c>
      <c r="K730" t="e">
        <f ca="1">BDP("46247SHT Muni","SELF_REPRTD_GREEN_INSTR_INDCTR")</f>
        <v>#NAME?</v>
      </c>
      <c r="L730" t="e">
        <f ca="1">BDP("46247SHT Muni","GB_MANAGEMENT_PROCEEDS")</f>
        <v>#NAME?</v>
      </c>
      <c r="M730" t="e">
        <f ca="1">BDP("46247SHT Muni","GB_REPORTING")</f>
        <v>#NAME?</v>
      </c>
      <c r="N730" t="e">
        <f ca="1">BDP("46247SHT Muni","GB_ASSURANCE_PROVIDERS")</f>
        <v>#NAME?</v>
      </c>
      <c r="O730" t="e">
        <f ca="1">BDP("46247SHT Muni","GB_PROJECT_SELECTION_PROCESS")</f>
        <v>#NAME?</v>
      </c>
      <c r="P730" t="e">
        <f ca="1">BDP("46247SHT Muni","ESG_FRAMEWORK_INDICATOR")</f>
        <v>#NAME?</v>
      </c>
      <c r="Q730" t="e">
        <f ca="1">BDP("46247SHT Muni","BLOOMBERG_SECTOR_CODE")</f>
        <v>#NAME?</v>
      </c>
      <c r="R730" t="e">
        <f ca="1">BDP("46247SHT Muni","ISSUER_TYPE")</f>
        <v>#NAME?</v>
      </c>
      <c r="S730" t="e">
        <f ca="1">BDS("46247SHT Muni","ESG_PROJECT_CATEGORY", "aggregate=y")</f>
        <v>#NAME?</v>
      </c>
      <c r="T730" t="e">
        <f ca="1">BDS("46247SHT Muni","ESG_PROJECT_SUBCATEGORY", "aggregate=y")</f>
        <v>#NAME?</v>
      </c>
    </row>
    <row r="731" spans="1:20" x14ac:dyDescent="0.25">
      <c r="A731" t="e">
        <f ca="1">BDP("52129TAU Muni","ID_CUSIP")</f>
        <v>#NAME?</v>
      </c>
      <c r="B731" t="e">
        <f ca="1">BDP("52129TAU Muni","STATE_CODE")</f>
        <v>#NAME?</v>
      </c>
      <c r="C731" t="s">
        <v>51</v>
      </c>
      <c r="D731" t="e">
        <f ca="1">BDP("52129TAU Muni","YIELD_ON_ISSUE_DATE")</f>
        <v>#NAME?</v>
      </c>
      <c r="E731">
        <v>885000</v>
      </c>
      <c r="F731" t="e">
        <f ca="1">BDP("52129TAU Muni","ISSUE_DT")</f>
        <v>#NAME?</v>
      </c>
      <c r="G731" t="e">
        <f ca="1">BDP("52129TAU Muni","MATURITY")</f>
        <v>#NAME?</v>
      </c>
      <c r="H731" t="e">
        <f ca="1">BDP("52129TAU Muni","MUNI_TAX_PROV")</f>
        <v>#NAME?</v>
      </c>
      <c r="I731" t="e">
        <f ca="1">BDP("52129TAU Muni","FINANCING_TYPE")</f>
        <v>#NAME?</v>
      </c>
      <c r="J731" t="e">
        <f ca="1">BDP("52129TAU Muni","BICS_LEVEL_2_INDUSTRY_GROUP_NAME")</f>
        <v>#NAME?</v>
      </c>
      <c r="K731" t="e">
        <f ca="1">BDP("52129TAU Muni","SELF_REPRTD_GREEN_INSTR_INDCTR")</f>
        <v>#NAME?</v>
      </c>
      <c r="L731" t="e">
        <f ca="1">BDP("52129TAU Muni","GB_MANAGEMENT_PROCEEDS")</f>
        <v>#NAME?</v>
      </c>
      <c r="M731" t="e">
        <f ca="1">BDP("52129TAU Muni","GB_REPORTING")</f>
        <v>#NAME?</v>
      </c>
      <c r="N731" t="e">
        <f ca="1">BDP("52129TAU Muni","GB_ASSURANCE_PROVIDERS")</f>
        <v>#NAME?</v>
      </c>
      <c r="O731" t="e">
        <f ca="1">BDP("52129TAU Muni","GB_PROJECT_SELECTION_PROCESS")</f>
        <v>#NAME?</v>
      </c>
      <c r="P731" t="e">
        <f ca="1">BDP("52129TAU Muni","ESG_FRAMEWORK_INDICATOR")</f>
        <v>#NAME?</v>
      </c>
      <c r="Q731" t="e">
        <f ca="1">BDP("52129TAU Muni","BLOOMBERG_SECTOR_CODE")</f>
        <v>#NAME?</v>
      </c>
      <c r="R731" t="e">
        <f ca="1">BDP("52129TAU Muni","ISSUER_TYPE")</f>
        <v>#NAME?</v>
      </c>
      <c r="S731" t="e">
        <f ca="1">BDS("52129TAU Muni","ESG_PROJECT_CATEGORY", "aggregate=y")</f>
        <v>#NAME?</v>
      </c>
      <c r="T731" t="e">
        <f ca="1">BDS("52129TAU Muni","ESG_PROJECT_SUBCATEGORY", "aggregate=y")</f>
        <v>#NAME?</v>
      </c>
    </row>
    <row r="732" spans="1:20" x14ac:dyDescent="0.25">
      <c r="A732" t="e">
        <f ca="1">BDP("394478EC Muni","ID_CUSIP")</f>
        <v>#NAME?</v>
      </c>
      <c r="B732" t="e">
        <f ca="1">BDP("394478EC Muni","STATE_CODE")</f>
        <v>#NAME?</v>
      </c>
      <c r="C732" t="s">
        <v>52</v>
      </c>
      <c r="D732" t="e">
        <f ca="1">BDP("394478EC Muni","YIELD_ON_ISSUE_DATE")</f>
        <v>#NAME?</v>
      </c>
      <c r="E732">
        <v>760000</v>
      </c>
      <c r="F732" t="e">
        <f ca="1">BDP("394478EC Muni","ISSUE_DT")</f>
        <v>#NAME?</v>
      </c>
      <c r="G732" t="e">
        <f ca="1">BDP("394478EC Muni","MATURITY")</f>
        <v>#NAME?</v>
      </c>
      <c r="H732" t="e">
        <f ca="1">BDP("394478EC Muni","MUNI_TAX_PROV")</f>
        <v>#NAME?</v>
      </c>
      <c r="I732" t="e">
        <f ca="1">BDP("394478EC Muni","FINANCING_TYPE")</f>
        <v>#NAME?</v>
      </c>
      <c r="J732" t="e">
        <f ca="1">BDP("394478EC Muni","BICS_LEVEL_2_INDUSTRY_GROUP_NAME")</f>
        <v>#NAME?</v>
      </c>
      <c r="K732" t="e">
        <f ca="1">BDP("394478EC Muni","SELF_REPRTD_GREEN_INSTR_INDCTR")</f>
        <v>#NAME?</v>
      </c>
      <c r="L732" t="e">
        <f ca="1">BDP("394478EC Muni","GB_MANAGEMENT_PROCEEDS")</f>
        <v>#NAME?</v>
      </c>
      <c r="M732" t="e">
        <f ca="1">BDP("394478EC Muni","GB_REPORTING")</f>
        <v>#NAME?</v>
      </c>
      <c r="N732" t="e">
        <f ca="1">BDP("394478EC Muni","GB_ASSURANCE_PROVIDERS")</f>
        <v>#NAME?</v>
      </c>
      <c r="O732" t="e">
        <f ca="1">BDP("394478EC Muni","GB_PROJECT_SELECTION_PROCESS")</f>
        <v>#NAME?</v>
      </c>
      <c r="P732" t="e">
        <f ca="1">BDP("394478EC Muni","ESG_FRAMEWORK_INDICATOR")</f>
        <v>#NAME?</v>
      </c>
      <c r="Q732" t="e">
        <f ca="1">BDP("394478EC Muni","BLOOMBERG_SECTOR_CODE")</f>
        <v>#NAME?</v>
      </c>
      <c r="R732" t="e">
        <f ca="1">BDP("394478EC Muni","ISSUER_TYPE")</f>
        <v>#NAME?</v>
      </c>
      <c r="S732" t="e">
        <f ca="1">BDS("394478EC Muni","ESG_PROJECT_CATEGORY", "aggregate=y")</f>
        <v>#NAME?</v>
      </c>
      <c r="T732" t="e">
        <f ca="1">BDS("394478EC Muni","ESG_PROJECT_SUBCATEGORY", "aggregate=y")</f>
        <v>#NAME?</v>
      </c>
    </row>
    <row r="733" spans="1:20" x14ac:dyDescent="0.25">
      <c r="A733" t="e">
        <f ca="1">BDP("394478ED Muni","ID_CUSIP")</f>
        <v>#NAME?</v>
      </c>
      <c r="B733" t="e">
        <f ca="1">BDP("394478ED Muni","STATE_CODE")</f>
        <v>#NAME?</v>
      </c>
      <c r="C733" t="s">
        <v>52</v>
      </c>
      <c r="D733" t="e">
        <f ca="1">BDP("394478ED Muni","YIELD_ON_ISSUE_DATE")</f>
        <v>#NAME?</v>
      </c>
      <c r="E733">
        <v>790000</v>
      </c>
      <c r="F733" t="e">
        <f ca="1">BDP("394478ED Muni","ISSUE_DT")</f>
        <v>#NAME?</v>
      </c>
      <c r="G733" t="e">
        <f ca="1">BDP("394478ED Muni","MATURITY")</f>
        <v>#NAME?</v>
      </c>
      <c r="H733" t="e">
        <f ca="1">BDP("394478ED Muni","MUNI_TAX_PROV")</f>
        <v>#NAME?</v>
      </c>
      <c r="I733" t="e">
        <f ca="1">BDP("394478ED Muni","FINANCING_TYPE")</f>
        <v>#NAME?</v>
      </c>
      <c r="J733" t="e">
        <f ca="1">BDP("394478ED Muni","BICS_LEVEL_2_INDUSTRY_GROUP_NAME")</f>
        <v>#NAME?</v>
      </c>
      <c r="K733" t="e">
        <f ca="1">BDP("394478ED Muni","SELF_REPRTD_GREEN_INSTR_INDCTR")</f>
        <v>#NAME?</v>
      </c>
      <c r="L733" t="e">
        <f ca="1">BDP("394478ED Muni","GB_MANAGEMENT_PROCEEDS")</f>
        <v>#NAME?</v>
      </c>
      <c r="M733" t="e">
        <f ca="1">BDP("394478ED Muni","GB_REPORTING")</f>
        <v>#NAME?</v>
      </c>
      <c r="N733" t="e">
        <f ca="1">BDP("394478ED Muni","GB_ASSURANCE_PROVIDERS")</f>
        <v>#NAME?</v>
      </c>
      <c r="O733" t="e">
        <f ca="1">BDP("394478ED Muni","GB_PROJECT_SELECTION_PROCESS")</f>
        <v>#NAME?</v>
      </c>
      <c r="P733" t="e">
        <f ca="1">BDP("394478ED Muni","ESG_FRAMEWORK_INDICATOR")</f>
        <v>#NAME?</v>
      </c>
      <c r="Q733" t="e">
        <f ca="1">BDP("394478ED Muni","BLOOMBERG_SECTOR_CODE")</f>
        <v>#NAME?</v>
      </c>
      <c r="R733" t="e">
        <f ca="1">BDP("394478ED Muni","ISSUER_TYPE")</f>
        <v>#NAME?</v>
      </c>
      <c r="S733" t="e">
        <f ca="1">BDS("394478ED Muni","ESG_PROJECT_CATEGORY", "aggregate=y")</f>
        <v>#NAME?</v>
      </c>
      <c r="T733" t="e">
        <f ca="1">BDS("394478ED Muni","ESG_PROJECT_SUBCATEGORY", "aggregate=y")</f>
        <v>#NAME?</v>
      </c>
    </row>
    <row r="734" spans="1:20" x14ac:dyDescent="0.25">
      <c r="A734" t="e">
        <f ca="1">BDP("394478EK Muni","ID_CUSIP")</f>
        <v>#NAME?</v>
      </c>
      <c r="B734" t="e">
        <f ca="1">BDP("394478EK Muni","STATE_CODE")</f>
        <v>#NAME?</v>
      </c>
      <c r="C734" t="s">
        <v>52</v>
      </c>
      <c r="D734" t="e">
        <f ca="1">BDP("394478EK Muni","YIELD_ON_ISSUE_DATE")</f>
        <v>#NAME?</v>
      </c>
      <c r="E734">
        <v>1015000</v>
      </c>
      <c r="F734" t="e">
        <f ca="1">BDP("394478EK Muni","ISSUE_DT")</f>
        <v>#NAME?</v>
      </c>
      <c r="G734" t="e">
        <f ca="1">BDP("394478EK Muni","MATURITY")</f>
        <v>#NAME?</v>
      </c>
      <c r="H734" t="e">
        <f ca="1">BDP("394478EK Muni","MUNI_TAX_PROV")</f>
        <v>#NAME?</v>
      </c>
      <c r="I734" t="e">
        <f ca="1">BDP("394478EK Muni","FINANCING_TYPE")</f>
        <v>#NAME?</v>
      </c>
      <c r="J734" t="e">
        <f ca="1">BDP("394478EK Muni","BICS_LEVEL_2_INDUSTRY_GROUP_NAME")</f>
        <v>#NAME?</v>
      </c>
      <c r="K734" t="e">
        <f ca="1">BDP("394478EK Muni","SELF_REPRTD_GREEN_INSTR_INDCTR")</f>
        <v>#NAME?</v>
      </c>
      <c r="L734" t="e">
        <f ca="1">BDP("394478EK Muni","GB_MANAGEMENT_PROCEEDS")</f>
        <v>#NAME?</v>
      </c>
      <c r="M734" t="e">
        <f ca="1">BDP("394478EK Muni","GB_REPORTING")</f>
        <v>#NAME?</v>
      </c>
      <c r="N734" t="e">
        <f ca="1">BDP("394478EK Muni","GB_ASSURANCE_PROVIDERS")</f>
        <v>#NAME?</v>
      </c>
      <c r="O734" t="e">
        <f ca="1">BDP("394478EK Muni","GB_PROJECT_SELECTION_PROCESS")</f>
        <v>#NAME?</v>
      </c>
      <c r="P734" t="e">
        <f ca="1">BDP("394478EK Muni","ESG_FRAMEWORK_INDICATOR")</f>
        <v>#NAME?</v>
      </c>
      <c r="Q734" t="e">
        <f ca="1">BDP("394478EK Muni","BLOOMBERG_SECTOR_CODE")</f>
        <v>#NAME?</v>
      </c>
      <c r="R734" t="e">
        <f ca="1">BDP("394478EK Muni","ISSUER_TYPE")</f>
        <v>#NAME?</v>
      </c>
      <c r="S734" t="e">
        <f ca="1">BDS("394478EK Muni","ESG_PROJECT_CATEGORY", "aggregate=y")</f>
        <v>#NAME?</v>
      </c>
      <c r="T734" t="e">
        <f ca="1">BDS("394478EK Muni","ESG_PROJECT_SUBCATEGORY", "aggregate=y")</f>
        <v>#NAME?</v>
      </c>
    </row>
    <row r="735" spans="1:20" x14ac:dyDescent="0.25">
      <c r="A735" t="e">
        <f ca="1">BDP("46247SGF Muni","ID_CUSIP")</f>
        <v>#NAME?</v>
      </c>
      <c r="B735" t="e">
        <f ca="1">BDP("46247SGF Muni","STATE_CODE")</f>
        <v>#NAME?</v>
      </c>
      <c r="C735" t="s">
        <v>50</v>
      </c>
      <c r="D735" t="e">
        <f ca="1">BDP("46247SGF Muni","YIELD_ON_ISSUE_DATE")</f>
        <v>#NAME?</v>
      </c>
      <c r="E735">
        <v>5800000</v>
      </c>
      <c r="F735" t="e">
        <f ca="1">BDP("46247SGF Muni","ISSUE_DT")</f>
        <v>#NAME?</v>
      </c>
      <c r="G735" t="e">
        <f ca="1">BDP("46247SGF Muni","MATURITY")</f>
        <v>#NAME?</v>
      </c>
      <c r="H735" t="e">
        <f ca="1">BDP("46247SGF Muni","MUNI_TAX_PROV")</f>
        <v>#NAME?</v>
      </c>
      <c r="I735" t="e">
        <f ca="1">BDP("46247SGF Muni","FINANCING_TYPE")</f>
        <v>#NAME?</v>
      </c>
      <c r="J735" t="e">
        <f ca="1">BDP("46247SGF Muni","BICS_LEVEL_2_INDUSTRY_GROUP_NAME")</f>
        <v>#NAME?</v>
      </c>
      <c r="K735" t="e">
        <f ca="1">BDP("46247SGF Muni","SELF_REPRTD_GREEN_INSTR_INDCTR")</f>
        <v>#NAME?</v>
      </c>
      <c r="L735" t="e">
        <f ca="1">BDP("46247SGF Muni","GB_MANAGEMENT_PROCEEDS")</f>
        <v>#NAME?</v>
      </c>
      <c r="M735" t="e">
        <f ca="1">BDP("46247SGF Muni","GB_REPORTING")</f>
        <v>#NAME?</v>
      </c>
      <c r="N735" t="e">
        <f ca="1">BDP("46247SGF Muni","GB_ASSURANCE_PROVIDERS")</f>
        <v>#NAME?</v>
      </c>
      <c r="O735" t="e">
        <f ca="1">BDP("46247SGF Muni","GB_PROJECT_SELECTION_PROCESS")</f>
        <v>#NAME?</v>
      </c>
      <c r="P735" t="e">
        <f ca="1">BDP("46247SGF Muni","ESG_FRAMEWORK_INDICATOR")</f>
        <v>#NAME?</v>
      </c>
      <c r="Q735" t="e">
        <f ca="1">BDP("46247SGF Muni","BLOOMBERG_SECTOR_CODE")</f>
        <v>#NAME?</v>
      </c>
      <c r="R735" t="e">
        <f ca="1">BDP("46247SGF Muni","ISSUER_TYPE")</f>
        <v>#NAME?</v>
      </c>
      <c r="S735" t="e">
        <f ca="1">BDS("46247SGF Muni","ESG_PROJECT_CATEGORY", "aggregate=y")</f>
        <v>#NAME?</v>
      </c>
      <c r="T735" t="e">
        <f ca="1">BDS("46247SGF Muni","ESG_PROJECT_SUBCATEGORY", "aggregate=y")</f>
        <v>#NAME?</v>
      </c>
    </row>
    <row r="736" spans="1:20" x14ac:dyDescent="0.25">
      <c r="A736" t="e">
        <f ca="1">BDP("46247SGP Muni","ID_CUSIP")</f>
        <v>#NAME?</v>
      </c>
      <c r="B736" t="e">
        <f ca="1">BDP("46247SGP Muni","STATE_CODE")</f>
        <v>#NAME?</v>
      </c>
      <c r="C736" t="s">
        <v>50</v>
      </c>
      <c r="D736" t="e">
        <f ca="1">BDP("46247SGP Muni","YIELD_ON_ISSUE_DATE")</f>
        <v>#NAME?</v>
      </c>
      <c r="E736">
        <v>16940000</v>
      </c>
      <c r="F736" t="e">
        <f ca="1">BDP("46247SGP Muni","ISSUE_DT")</f>
        <v>#NAME?</v>
      </c>
      <c r="G736" t="e">
        <f ca="1">BDP("46247SGP Muni","MATURITY")</f>
        <v>#NAME?</v>
      </c>
      <c r="H736" t="e">
        <f ca="1">BDP("46247SGP Muni","MUNI_TAX_PROV")</f>
        <v>#NAME?</v>
      </c>
      <c r="I736" t="e">
        <f ca="1">BDP("46247SGP Muni","FINANCING_TYPE")</f>
        <v>#NAME?</v>
      </c>
      <c r="J736" t="e">
        <f ca="1">BDP("46247SGP Muni","BICS_LEVEL_2_INDUSTRY_GROUP_NAME")</f>
        <v>#NAME?</v>
      </c>
      <c r="K736" t="e">
        <f ca="1">BDP("46247SGP Muni","SELF_REPRTD_GREEN_INSTR_INDCTR")</f>
        <v>#NAME?</v>
      </c>
      <c r="L736" t="e">
        <f ca="1">BDP("46247SGP Muni","GB_MANAGEMENT_PROCEEDS")</f>
        <v>#NAME?</v>
      </c>
      <c r="M736" t="e">
        <f ca="1">BDP("46247SGP Muni","GB_REPORTING")</f>
        <v>#NAME?</v>
      </c>
      <c r="N736" t="e">
        <f ca="1">BDP("46247SGP Muni","GB_ASSURANCE_PROVIDERS")</f>
        <v>#NAME?</v>
      </c>
      <c r="O736" t="e">
        <f ca="1">BDP("46247SGP Muni","GB_PROJECT_SELECTION_PROCESS")</f>
        <v>#NAME?</v>
      </c>
      <c r="P736" t="e">
        <f ca="1">BDP("46247SGP Muni","ESG_FRAMEWORK_INDICATOR")</f>
        <v>#NAME?</v>
      </c>
      <c r="Q736" t="e">
        <f ca="1">BDP("46247SGP Muni","BLOOMBERG_SECTOR_CODE")</f>
        <v>#NAME?</v>
      </c>
      <c r="R736" t="e">
        <f ca="1">BDP("46247SGP Muni","ISSUER_TYPE")</f>
        <v>#NAME?</v>
      </c>
      <c r="S736" t="e">
        <f ca="1">BDS("46247SGP Muni","ESG_PROJECT_CATEGORY", "aggregate=y")</f>
        <v>#NAME?</v>
      </c>
      <c r="T736" t="e">
        <f ca="1">BDS("46247SGP Muni","ESG_PROJECT_SUBCATEGORY", "aggregate=y")</f>
        <v>#NAME?</v>
      </c>
    </row>
    <row r="737" spans="1:20" x14ac:dyDescent="0.25">
      <c r="A737" t="e">
        <f ca="1">BDP("394478DZ Muni","ID_CUSIP")</f>
        <v>#NAME?</v>
      </c>
      <c r="B737" t="e">
        <f ca="1">BDP("394478DZ Muni","STATE_CODE")</f>
        <v>#NAME?</v>
      </c>
      <c r="C737" t="s">
        <v>52</v>
      </c>
      <c r="D737" t="e">
        <f ca="1">BDP("394478DZ Muni","YIELD_ON_ISSUE_DATE")</f>
        <v>#NAME?</v>
      </c>
      <c r="E737">
        <v>660000</v>
      </c>
      <c r="F737" t="e">
        <f ca="1">BDP("394478DZ Muni","ISSUE_DT")</f>
        <v>#NAME?</v>
      </c>
      <c r="G737" t="e">
        <f ca="1">BDP("394478DZ Muni","MATURITY")</f>
        <v>#NAME?</v>
      </c>
      <c r="H737" t="e">
        <f ca="1">BDP("394478DZ Muni","MUNI_TAX_PROV")</f>
        <v>#NAME?</v>
      </c>
      <c r="I737" t="e">
        <f ca="1">BDP("394478DZ Muni","FINANCING_TYPE")</f>
        <v>#NAME?</v>
      </c>
      <c r="J737" t="e">
        <f ca="1">BDP("394478DZ Muni","BICS_LEVEL_2_INDUSTRY_GROUP_NAME")</f>
        <v>#NAME?</v>
      </c>
      <c r="K737" t="e">
        <f ca="1">BDP("394478DZ Muni","SELF_REPRTD_GREEN_INSTR_INDCTR")</f>
        <v>#NAME?</v>
      </c>
      <c r="L737" t="e">
        <f ca="1">BDP("394478DZ Muni","GB_MANAGEMENT_PROCEEDS")</f>
        <v>#NAME?</v>
      </c>
      <c r="M737" t="e">
        <f ca="1">BDP("394478DZ Muni","GB_REPORTING")</f>
        <v>#NAME?</v>
      </c>
      <c r="N737" t="e">
        <f ca="1">BDP("394478DZ Muni","GB_ASSURANCE_PROVIDERS")</f>
        <v>#NAME?</v>
      </c>
      <c r="O737" t="e">
        <f ca="1">BDP("394478DZ Muni","GB_PROJECT_SELECTION_PROCESS")</f>
        <v>#NAME?</v>
      </c>
      <c r="P737" t="e">
        <f ca="1">BDP("394478DZ Muni","ESG_FRAMEWORK_INDICATOR")</f>
        <v>#NAME?</v>
      </c>
      <c r="Q737" t="e">
        <f ca="1">BDP("394478DZ Muni","BLOOMBERG_SECTOR_CODE")</f>
        <v>#NAME?</v>
      </c>
      <c r="R737" t="e">
        <f ca="1">BDP("394478DZ Muni","ISSUER_TYPE")</f>
        <v>#NAME?</v>
      </c>
      <c r="S737" t="e">
        <f ca="1">BDS("394478DZ Muni","ESG_PROJECT_CATEGORY", "aggregate=y")</f>
        <v>#NAME?</v>
      </c>
      <c r="T737" t="e">
        <f ca="1">BDS("394478DZ Muni","ESG_PROJECT_SUBCATEGORY", "aggregate=y")</f>
        <v>#NAME?</v>
      </c>
    </row>
    <row r="738" spans="1:20" x14ac:dyDescent="0.25">
      <c r="A738" t="e">
        <f ca="1">BDP("394478EA Muni","ID_CUSIP")</f>
        <v>#NAME?</v>
      </c>
      <c r="B738" t="e">
        <f ca="1">BDP("394478EA Muni","STATE_CODE")</f>
        <v>#NAME?</v>
      </c>
      <c r="C738" t="s">
        <v>52</v>
      </c>
      <c r="D738" t="e">
        <f ca="1">BDP("394478EA Muni","YIELD_ON_ISSUE_DATE")</f>
        <v>#NAME?</v>
      </c>
      <c r="E738">
        <v>690000</v>
      </c>
      <c r="F738" t="e">
        <f ca="1">BDP("394478EA Muni","ISSUE_DT")</f>
        <v>#NAME?</v>
      </c>
      <c r="G738" t="e">
        <f ca="1">BDP("394478EA Muni","MATURITY")</f>
        <v>#NAME?</v>
      </c>
      <c r="H738" t="e">
        <f ca="1">BDP("394478EA Muni","MUNI_TAX_PROV")</f>
        <v>#NAME?</v>
      </c>
      <c r="I738" t="e">
        <f ca="1">BDP("394478EA Muni","FINANCING_TYPE")</f>
        <v>#NAME?</v>
      </c>
      <c r="J738" t="e">
        <f ca="1">BDP("394478EA Muni","BICS_LEVEL_2_INDUSTRY_GROUP_NAME")</f>
        <v>#NAME?</v>
      </c>
      <c r="K738" t="e">
        <f ca="1">BDP("394478EA Muni","SELF_REPRTD_GREEN_INSTR_INDCTR")</f>
        <v>#NAME?</v>
      </c>
      <c r="L738" t="e">
        <f ca="1">BDP("394478EA Muni","GB_MANAGEMENT_PROCEEDS")</f>
        <v>#NAME?</v>
      </c>
      <c r="M738" t="e">
        <f ca="1">BDP("394478EA Muni","GB_REPORTING")</f>
        <v>#NAME?</v>
      </c>
      <c r="N738" t="e">
        <f ca="1">BDP("394478EA Muni","GB_ASSURANCE_PROVIDERS")</f>
        <v>#NAME?</v>
      </c>
      <c r="O738" t="e">
        <f ca="1">BDP("394478EA Muni","GB_PROJECT_SELECTION_PROCESS")</f>
        <v>#NAME?</v>
      </c>
      <c r="P738" t="e">
        <f ca="1">BDP("394478EA Muni","ESG_FRAMEWORK_INDICATOR")</f>
        <v>#NAME?</v>
      </c>
      <c r="Q738" t="e">
        <f ca="1">BDP("394478EA Muni","BLOOMBERG_SECTOR_CODE")</f>
        <v>#NAME?</v>
      </c>
      <c r="R738" t="e">
        <f ca="1">BDP("394478EA Muni","ISSUER_TYPE")</f>
        <v>#NAME?</v>
      </c>
      <c r="S738" t="e">
        <f ca="1">BDS("394478EA Muni","ESG_PROJECT_CATEGORY", "aggregate=y")</f>
        <v>#NAME?</v>
      </c>
      <c r="T738" t="e">
        <f ca="1">BDS("394478EA Muni","ESG_PROJECT_SUBCATEGORY", "aggregate=y")</f>
        <v>#NAME?</v>
      </c>
    </row>
    <row r="739" spans="1:20" x14ac:dyDescent="0.25">
      <c r="A739" t="e">
        <f ca="1">BDP("46247SGH Muni","ID_CUSIP")</f>
        <v>#NAME?</v>
      </c>
      <c r="B739" t="e">
        <f ca="1">BDP("46247SGH Muni","STATE_CODE")</f>
        <v>#NAME?</v>
      </c>
      <c r="C739" t="s">
        <v>50</v>
      </c>
      <c r="D739" t="e">
        <f ca="1">BDP("46247SGH Muni","YIELD_ON_ISSUE_DATE")</f>
        <v>#NAME?</v>
      </c>
      <c r="E739">
        <v>8130000</v>
      </c>
      <c r="F739" t="e">
        <f ca="1">BDP("46247SGH Muni","ISSUE_DT")</f>
        <v>#NAME?</v>
      </c>
      <c r="G739" t="e">
        <f ca="1">BDP("46247SGH Muni","MATURITY")</f>
        <v>#NAME?</v>
      </c>
      <c r="H739" t="e">
        <f ca="1">BDP("46247SGH Muni","MUNI_TAX_PROV")</f>
        <v>#NAME?</v>
      </c>
      <c r="I739" t="e">
        <f ca="1">BDP("46247SGH Muni","FINANCING_TYPE")</f>
        <v>#NAME?</v>
      </c>
      <c r="J739" t="e">
        <f ca="1">BDP("46247SGH Muni","BICS_LEVEL_2_INDUSTRY_GROUP_NAME")</f>
        <v>#NAME?</v>
      </c>
      <c r="K739" t="e">
        <f ca="1">BDP("46247SGH Muni","SELF_REPRTD_GREEN_INSTR_INDCTR")</f>
        <v>#NAME?</v>
      </c>
      <c r="L739" t="e">
        <f ca="1">BDP("46247SGH Muni","GB_MANAGEMENT_PROCEEDS")</f>
        <v>#NAME?</v>
      </c>
      <c r="M739" t="e">
        <f ca="1">BDP("46247SGH Muni","GB_REPORTING")</f>
        <v>#NAME?</v>
      </c>
      <c r="N739" t="e">
        <f ca="1">BDP("46247SGH Muni","GB_ASSURANCE_PROVIDERS")</f>
        <v>#NAME?</v>
      </c>
      <c r="O739" t="e">
        <f ca="1">BDP("46247SGH Muni","GB_PROJECT_SELECTION_PROCESS")</f>
        <v>#NAME?</v>
      </c>
      <c r="P739" t="e">
        <f ca="1">BDP("46247SGH Muni","ESG_FRAMEWORK_INDICATOR")</f>
        <v>#NAME?</v>
      </c>
      <c r="Q739" t="e">
        <f ca="1">BDP("46247SGH Muni","BLOOMBERG_SECTOR_CODE")</f>
        <v>#NAME?</v>
      </c>
      <c r="R739" t="e">
        <f ca="1">BDP("46247SGH Muni","ISSUER_TYPE")</f>
        <v>#NAME?</v>
      </c>
      <c r="S739" t="e">
        <f ca="1">BDS("46247SGH Muni","ESG_PROJECT_CATEGORY", "aggregate=y")</f>
        <v>#NAME?</v>
      </c>
      <c r="T739" t="e">
        <f ca="1">BDS("46247SGH Muni","ESG_PROJECT_SUBCATEGORY", "aggregate=y")</f>
        <v>#NAME?</v>
      </c>
    </row>
    <row r="740" spans="1:20" x14ac:dyDescent="0.25">
      <c r="A740" t="e">
        <f ca="1">BDP("46247SGM Muni","ID_CUSIP")</f>
        <v>#NAME?</v>
      </c>
      <c r="B740" t="e">
        <f ca="1">BDP("46247SGM Muni","STATE_CODE")</f>
        <v>#NAME?</v>
      </c>
      <c r="C740" t="s">
        <v>50</v>
      </c>
      <c r="D740" t="e">
        <f ca="1">BDP("46247SGM Muni","YIELD_ON_ISSUE_DATE")</f>
        <v>#NAME?</v>
      </c>
      <c r="E740">
        <v>13845000</v>
      </c>
      <c r="F740" t="e">
        <f ca="1">BDP("46247SGM Muni","ISSUE_DT")</f>
        <v>#NAME?</v>
      </c>
      <c r="G740" t="e">
        <f ca="1">BDP("46247SGM Muni","MATURITY")</f>
        <v>#NAME?</v>
      </c>
      <c r="H740" t="e">
        <f ca="1">BDP("46247SGM Muni","MUNI_TAX_PROV")</f>
        <v>#NAME?</v>
      </c>
      <c r="I740" t="e">
        <f ca="1">BDP("46247SGM Muni","FINANCING_TYPE")</f>
        <v>#NAME?</v>
      </c>
      <c r="J740" t="e">
        <f ca="1">BDP("46247SGM Muni","BICS_LEVEL_2_INDUSTRY_GROUP_NAME")</f>
        <v>#NAME?</v>
      </c>
      <c r="K740" t="e">
        <f ca="1">BDP("46247SGM Muni","SELF_REPRTD_GREEN_INSTR_INDCTR")</f>
        <v>#NAME?</v>
      </c>
      <c r="L740" t="e">
        <f ca="1">BDP("46247SGM Muni","GB_MANAGEMENT_PROCEEDS")</f>
        <v>#NAME?</v>
      </c>
      <c r="M740" t="e">
        <f ca="1">BDP("46247SGM Muni","GB_REPORTING")</f>
        <v>#NAME?</v>
      </c>
      <c r="N740" t="e">
        <f ca="1">BDP("46247SGM Muni","GB_ASSURANCE_PROVIDERS")</f>
        <v>#NAME?</v>
      </c>
      <c r="O740" t="e">
        <f ca="1">BDP("46247SGM Muni","GB_PROJECT_SELECTION_PROCESS")</f>
        <v>#NAME?</v>
      </c>
      <c r="P740" t="e">
        <f ca="1">BDP("46247SGM Muni","ESG_FRAMEWORK_INDICATOR")</f>
        <v>#NAME?</v>
      </c>
      <c r="Q740" t="e">
        <f ca="1">BDP("46247SGM Muni","BLOOMBERG_SECTOR_CODE")</f>
        <v>#NAME?</v>
      </c>
      <c r="R740" t="e">
        <f ca="1">BDP("46247SGM Muni","ISSUER_TYPE")</f>
        <v>#NAME?</v>
      </c>
      <c r="S740" t="e">
        <f ca="1">BDS("46247SGM Muni","ESG_PROJECT_CATEGORY", "aggregate=y")</f>
        <v>#NAME?</v>
      </c>
      <c r="T740" t="e">
        <f ca="1">BDS("46247SGM Muni","ESG_PROJECT_SUBCATEGORY", "aggregate=y")</f>
        <v>#NAME?</v>
      </c>
    </row>
    <row r="741" spans="1:20" x14ac:dyDescent="0.25">
      <c r="A741" t="e">
        <f ca="1">BDP("46247SHQ Muni","ID_CUSIP")</f>
        <v>#NAME?</v>
      </c>
      <c r="B741" t="e">
        <f ca="1">BDP("46247SHQ Muni","STATE_CODE")</f>
        <v>#NAME?</v>
      </c>
      <c r="C741" t="s">
        <v>50</v>
      </c>
      <c r="D741" t="e">
        <f ca="1">BDP("46247SHQ Muni","YIELD_ON_ISSUE_DATE")</f>
        <v>#NAME?</v>
      </c>
      <c r="E741">
        <v>4360000</v>
      </c>
      <c r="F741" t="e">
        <f ca="1">BDP("46247SHQ Muni","ISSUE_DT")</f>
        <v>#NAME?</v>
      </c>
      <c r="G741" t="e">
        <f ca="1">BDP("46247SHQ Muni","MATURITY")</f>
        <v>#NAME?</v>
      </c>
      <c r="H741" t="e">
        <f ca="1">BDP("46247SHQ Muni","MUNI_TAX_PROV")</f>
        <v>#NAME?</v>
      </c>
      <c r="I741" t="e">
        <f ca="1">BDP("46247SHQ Muni","FINANCING_TYPE")</f>
        <v>#NAME?</v>
      </c>
      <c r="J741" t="e">
        <f ca="1">BDP("46247SHQ Muni","BICS_LEVEL_2_INDUSTRY_GROUP_NAME")</f>
        <v>#NAME?</v>
      </c>
      <c r="K741" t="e">
        <f ca="1">BDP("46247SHQ Muni","SELF_REPRTD_GREEN_INSTR_INDCTR")</f>
        <v>#NAME?</v>
      </c>
      <c r="L741" t="e">
        <f ca="1">BDP("46247SHQ Muni","GB_MANAGEMENT_PROCEEDS")</f>
        <v>#NAME?</v>
      </c>
      <c r="M741" t="e">
        <f ca="1">BDP("46247SHQ Muni","GB_REPORTING")</f>
        <v>#NAME?</v>
      </c>
      <c r="N741" t="e">
        <f ca="1">BDP("46247SHQ Muni","GB_ASSURANCE_PROVIDERS")</f>
        <v>#NAME?</v>
      </c>
      <c r="O741" t="e">
        <f ca="1">BDP("46247SHQ Muni","GB_PROJECT_SELECTION_PROCESS")</f>
        <v>#NAME?</v>
      </c>
      <c r="P741" t="e">
        <f ca="1">BDP("46247SHQ Muni","ESG_FRAMEWORK_INDICATOR")</f>
        <v>#NAME?</v>
      </c>
      <c r="Q741" t="e">
        <f ca="1">BDP("46247SHQ Muni","BLOOMBERG_SECTOR_CODE")</f>
        <v>#NAME?</v>
      </c>
      <c r="R741" t="e">
        <f ca="1">BDP("46247SHQ Muni","ISSUER_TYPE")</f>
        <v>#NAME?</v>
      </c>
      <c r="S741" t="e">
        <f ca="1">BDS("46247SHQ Muni","ESG_PROJECT_CATEGORY", "aggregate=y")</f>
        <v>#NAME?</v>
      </c>
      <c r="T741" t="e">
        <f ca="1">BDS("46247SHQ Muni","ESG_PROJECT_SUBCATEGORY", "aggregate=y")</f>
        <v>#NAME?</v>
      </c>
    </row>
    <row r="742" spans="1:20" x14ac:dyDescent="0.25">
      <c r="A742" t="e">
        <f ca="1">BDP("46247SHR Muni","ID_CUSIP")</f>
        <v>#NAME?</v>
      </c>
      <c r="B742" t="e">
        <f ca="1">BDP("46247SHR Muni","STATE_CODE")</f>
        <v>#NAME?</v>
      </c>
      <c r="C742" t="s">
        <v>50</v>
      </c>
      <c r="D742" t="e">
        <f ca="1">BDP("46247SHR Muni","YIELD_ON_ISSUE_DATE")</f>
        <v>#NAME?</v>
      </c>
      <c r="E742">
        <v>5085000</v>
      </c>
      <c r="F742" t="e">
        <f ca="1">BDP("46247SHR Muni","ISSUE_DT")</f>
        <v>#NAME?</v>
      </c>
      <c r="G742" t="e">
        <f ca="1">BDP("46247SHR Muni","MATURITY")</f>
        <v>#NAME?</v>
      </c>
      <c r="H742" t="e">
        <f ca="1">BDP("46247SHR Muni","MUNI_TAX_PROV")</f>
        <v>#NAME?</v>
      </c>
      <c r="I742" t="e">
        <f ca="1">BDP("46247SHR Muni","FINANCING_TYPE")</f>
        <v>#NAME?</v>
      </c>
      <c r="J742" t="e">
        <f ca="1">BDP("46247SHR Muni","BICS_LEVEL_2_INDUSTRY_GROUP_NAME")</f>
        <v>#NAME?</v>
      </c>
      <c r="K742" t="e">
        <f ca="1">BDP("46247SHR Muni","SELF_REPRTD_GREEN_INSTR_INDCTR")</f>
        <v>#NAME?</v>
      </c>
      <c r="L742" t="e">
        <f ca="1">BDP("46247SHR Muni","GB_MANAGEMENT_PROCEEDS")</f>
        <v>#NAME?</v>
      </c>
      <c r="M742" t="e">
        <f ca="1">BDP("46247SHR Muni","GB_REPORTING")</f>
        <v>#NAME?</v>
      </c>
      <c r="N742" t="e">
        <f ca="1">BDP("46247SHR Muni","GB_ASSURANCE_PROVIDERS")</f>
        <v>#NAME?</v>
      </c>
      <c r="O742" t="e">
        <f ca="1">BDP("46247SHR Muni","GB_PROJECT_SELECTION_PROCESS")</f>
        <v>#NAME?</v>
      </c>
      <c r="P742" t="e">
        <f ca="1">BDP("46247SHR Muni","ESG_FRAMEWORK_INDICATOR")</f>
        <v>#NAME?</v>
      </c>
      <c r="Q742" t="e">
        <f ca="1">BDP("46247SHR Muni","BLOOMBERG_SECTOR_CODE")</f>
        <v>#NAME?</v>
      </c>
      <c r="R742" t="e">
        <f ca="1">BDP("46247SHR Muni","ISSUER_TYPE")</f>
        <v>#NAME?</v>
      </c>
      <c r="S742" t="e">
        <f ca="1">BDS("46247SHR Muni","ESG_PROJECT_CATEGORY", "aggregate=y")</f>
        <v>#NAME?</v>
      </c>
      <c r="T742" t="e">
        <f ca="1">BDS("46247SHR Muni","ESG_PROJECT_SUBCATEGORY", "aggregate=y")</f>
        <v>#NAME?</v>
      </c>
    </row>
    <row r="743" spans="1:20" x14ac:dyDescent="0.25">
      <c r="A743" t="e">
        <f ca="1">BDP("46247SHX Muni","ID_CUSIP")</f>
        <v>#NAME?</v>
      </c>
      <c r="B743" t="e">
        <f ca="1">BDP("46247SHX Muni","STATE_CODE")</f>
        <v>#NAME?</v>
      </c>
      <c r="C743" t="s">
        <v>50</v>
      </c>
      <c r="D743" t="e">
        <f ca="1">BDP("46247SHX Muni","YIELD_ON_ISSUE_DATE")</f>
        <v>#NAME?</v>
      </c>
      <c r="E743">
        <v>9915000</v>
      </c>
      <c r="F743" t="e">
        <f ca="1">BDP("46247SHX Muni","ISSUE_DT")</f>
        <v>#NAME?</v>
      </c>
      <c r="G743" t="e">
        <f ca="1">BDP("46247SHX Muni","MATURITY")</f>
        <v>#NAME?</v>
      </c>
      <c r="H743" t="e">
        <f ca="1">BDP("46247SHX Muni","MUNI_TAX_PROV")</f>
        <v>#NAME?</v>
      </c>
      <c r="I743" t="e">
        <f ca="1">BDP("46247SHX Muni","FINANCING_TYPE")</f>
        <v>#NAME?</v>
      </c>
      <c r="J743" t="e">
        <f ca="1">BDP("46247SHX Muni","BICS_LEVEL_2_INDUSTRY_GROUP_NAME")</f>
        <v>#NAME?</v>
      </c>
      <c r="K743" t="e">
        <f ca="1">BDP("46247SHX Muni","SELF_REPRTD_GREEN_INSTR_INDCTR")</f>
        <v>#NAME?</v>
      </c>
      <c r="L743" t="e">
        <f ca="1">BDP("46247SHX Muni","GB_MANAGEMENT_PROCEEDS")</f>
        <v>#NAME?</v>
      </c>
      <c r="M743" t="e">
        <f ca="1">BDP("46247SHX Muni","GB_REPORTING")</f>
        <v>#NAME?</v>
      </c>
      <c r="N743" t="e">
        <f ca="1">BDP("46247SHX Muni","GB_ASSURANCE_PROVIDERS")</f>
        <v>#NAME?</v>
      </c>
      <c r="O743" t="e">
        <f ca="1">BDP("46247SHX Muni","GB_PROJECT_SELECTION_PROCESS")</f>
        <v>#NAME?</v>
      </c>
      <c r="P743" t="e">
        <f ca="1">BDP("46247SHX Muni","ESG_FRAMEWORK_INDICATOR")</f>
        <v>#NAME?</v>
      </c>
      <c r="Q743" t="e">
        <f ca="1">BDP("46247SHX Muni","BLOOMBERG_SECTOR_CODE")</f>
        <v>#NAME?</v>
      </c>
      <c r="R743" t="e">
        <f ca="1">BDP("46247SHX Muni","ISSUER_TYPE")</f>
        <v>#NAME?</v>
      </c>
      <c r="S743" t="e">
        <f ca="1">BDS("46247SHX Muni","ESG_PROJECT_CATEGORY", "aggregate=y")</f>
        <v>#NAME?</v>
      </c>
      <c r="T743" t="e">
        <f ca="1">BDS("46247SHX Muni","ESG_PROJECT_SUBCATEGORY", "aggregate=y")</f>
        <v>#NAME?</v>
      </c>
    </row>
    <row r="744" spans="1:20" x14ac:dyDescent="0.25">
      <c r="A744" t="e">
        <f ca="1">BDP("52129TAW Muni","ID_CUSIP")</f>
        <v>#NAME?</v>
      </c>
      <c r="B744" t="e">
        <f ca="1">BDP("52129TAW Muni","STATE_CODE")</f>
        <v>#NAME?</v>
      </c>
      <c r="C744" t="s">
        <v>51</v>
      </c>
      <c r="D744" t="e">
        <f ca="1">BDP("52129TAW Muni","YIELD_ON_ISSUE_DATE")</f>
        <v>#NAME?</v>
      </c>
      <c r="E744">
        <v>975000</v>
      </c>
      <c r="F744" t="e">
        <f ca="1">BDP("52129TAW Muni","ISSUE_DT")</f>
        <v>#NAME?</v>
      </c>
      <c r="G744" t="e">
        <f ca="1">BDP("52129TAW Muni","MATURITY")</f>
        <v>#NAME?</v>
      </c>
      <c r="H744" t="e">
        <f ca="1">BDP("52129TAW Muni","MUNI_TAX_PROV")</f>
        <v>#NAME?</v>
      </c>
      <c r="I744" t="e">
        <f ca="1">BDP("52129TAW Muni","FINANCING_TYPE")</f>
        <v>#NAME?</v>
      </c>
      <c r="J744" t="e">
        <f ca="1">BDP("52129TAW Muni","BICS_LEVEL_2_INDUSTRY_GROUP_NAME")</f>
        <v>#NAME?</v>
      </c>
      <c r="K744" t="e">
        <f ca="1">BDP("52129TAW Muni","SELF_REPRTD_GREEN_INSTR_INDCTR")</f>
        <v>#NAME?</v>
      </c>
      <c r="L744" t="e">
        <f ca="1">BDP("52129TAW Muni","GB_MANAGEMENT_PROCEEDS")</f>
        <v>#NAME?</v>
      </c>
      <c r="M744" t="e">
        <f ca="1">BDP("52129TAW Muni","GB_REPORTING")</f>
        <v>#NAME?</v>
      </c>
      <c r="N744" t="e">
        <f ca="1">BDP("52129TAW Muni","GB_ASSURANCE_PROVIDERS")</f>
        <v>#NAME?</v>
      </c>
      <c r="O744" t="e">
        <f ca="1">BDP("52129TAW Muni","GB_PROJECT_SELECTION_PROCESS")</f>
        <v>#NAME?</v>
      </c>
      <c r="P744" t="e">
        <f ca="1">BDP("52129TAW Muni","ESG_FRAMEWORK_INDICATOR")</f>
        <v>#NAME?</v>
      </c>
      <c r="Q744" t="e">
        <f ca="1">BDP("52129TAW Muni","BLOOMBERG_SECTOR_CODE")</f>
        <v>#NAME?</v>
      </c>
      <c r="R744" t="e">
        <f ca="1">BDP("52129TAW Muni","ISSUER_TYPE")</f>
        <v>#NAME?</v>
      </c>
      <c r="S744" t="e">
        <f ca="1">BDS("52129TAW Muni","ESG_PROJECT_CATEGORY", "aggregate=y")</f>
        <v>#NAME?</v>
      </c>
      <c r="T744" t="e">
        <f ca="1">BDS("52129TAW Muni","ESG_PROJECT_SUBCATEGORY", "aggregate=y")</f>
        <v>#NAME?</v>
      </c>
    </row>
    <row r="745" spans="1:20" x14ac:dyDescent="0.25">
      <c r="A745" t="e">
        <f ca="1">BDP("52129TAX Muni","ID_CUSIP")</f>
        <v>#NAME?</v>
      </c>
      <c r="B745" t="e">
        <f ca="1">BDP("52129TAX Muni","STATE_CODE")</f>
        <v>#NAME?</v>
      </c>
      <c r="C745" t="s">
        <v>51</v>
      </c>
      <c r="D745" t="e">
        <f ca="1">BDP("52129TAX Muni","YIELD_ON_ISSUE_DATE")</f>
        <v>#NAME?</v>
      </c>
      <c r="E745">
        <v>1025000</v>
      </c>
      <c r="F745" t="e">
        <f ca="1">BDP("52129TAX Muni","ISSUE_DT")</f>
        <v>#NAME?</v>
      </c>
      <c r="G745" t="e">
        <f ca="1">BDP("52129TAX Muni","MATURITY")</f>
        <v>#NAME?</v>
      </c>
      <c r="H745" t="e">
        <f ca="1">BDP("52129TAX Muni","MUNI_TAX_PROV")</f>
        <v>#NAME?</v>
      </c>
      <c r="I745" t="e">
        <f ca="1">BDP("52129TAX Muni","FINANCING_TYPE")</f>
        <v>#NAME?</v>
      </c>
      <c r="J745" t="e">
        <f ca="1">BDP("52129TAX Muni","BICS_LEVEL_2_INDUSTRY_GROUP_NAME")</f>
        <v>#NAME?</v>
      </c>
      <c r="K745" t="e">
        <f ca="1">BDP("52129TAX Muni","SELF_REPRTD_GREEN_INSTR_INDCTR")</f>
        <v>#NAME?</v>
      </c>
      <c r="L745" t="e">
        <f ca="1">BDP("52129TAX Muni","GB_MANAGEMENT_PROCEEDS")</f>
        <v>#NAME?</v>
      </c>
      <c r="M745" t="e">
        <f ca="1">BDP("52129TAX Muni","GB_REPORTING")</f>
        <v>#NAME?</v>
      </c>
      <c r="N745" t="e">
        <f ca="1">BDP("52129TAX Muni","GB_ASSURANCE_PROVIDERS")</f>
        <v>#NAME?</v>
      </c>
      <c r="O745" t="e">
        <f ca="1">BDP("52129TAX Muni","GB_PROJECT_SELECTION_PROCESS")</f>
        <v>#NAME?</v>
      </c>
      <c r="P745" t="e">
        <f ca="1">BDP("52129TAX Muni","ESG_FRAMEWORK_INDICATOR")</f>
        <v>#NAME?</v>
      </c>
      <c r="Q745" t="e">
        <f ca="1">BDP("52129TAX Muni","BLOOMBERG_SECTOR_CODE")</f>
        <v>#NAME?</v>
      </c>
      <c r="R745" t="e">
        <f ca="1">BDP("52129TAX Muni","ISSUER_TYPE")</f>
        <v>#NAME?</v>
      </c>
      <c r="S745" t="e">
        <f ca="1">BDS("52129TAX Muni","ESG_PROJECT_CATEGORY", "aggregate=y")</f>
        <v>#NAME?</v>
      </c>
      <c r="T745" t="e">
        <f ca="1">BDS("52129TAX Muni","ESG_PROJECT_SUBCATEGORY", "aggregate=y")</f>
        <v>#NAME?</v>
      </c>
    </row>
    <row r="746" spans="1:20" x14ac:dyDescent="0.25">
      <c r="A746" t="e">
        <f ca="1">BDP("45204FA3 Muni","ID_CUSIP")</f>
        <v>#NAME?</v>
      </c>
      <c r="B746" t="e">
        <f ca="1">BDP("45204FA3 Muni","STATE_CODE")</f>
        <v>#NAME?</v>
      </c>
      <c r="C746" t="s">
        <v>53</v>
      </c>
      <c r="D746" t="e">
        <f ca="1">BDP("45204FA3 Muni","YIELD_ON_ISSUE_DATE")</f>
        <v>#NAME?</v>
      </c>
      <c r="E746">
        <v>8465000</v>
      </c>
      <c r="F746" t="e">
        <f ca="1">BDP("45204FA3 Muni","ISSUE_DT")</f>
        <v>#NAME?</v>
      </c>
      <c r="G746" t="e">
        <f ca="1">BDP("45204FA3 Muni","MATURITY")</f>
        <v>#NAME?</v>
      </c>
      <c r="H746" t="e">
        <f ca="1">BDP("45204FA3 Muni","MUNI_TAX_PROV")</f>
        <v>#NAME?</v>
      </c>
      <c r="I746" t="e">
        <f ca="1">BDP("45204FA3 Muni","FINANCING_TYPE")</f>
        <v>#NAME?</v>
      </c>
      <c r="J746" t="e">
        <f ca="1">BDP("45204FA3 Muni","BICS_LEVEL_2_INDUSTRY_GROUP_NAME")</f>
        <v>#NAME?</v>
      </c>
      <c r="K746" t="e">
        <f ca="1">BDP("45204FA3 Muni","SELF_REPRTD_GREEN_INSTR_INDCTR")</f>
        <v>#NAME?</v>
      </c>
      <c r="L746" t="e">
        <f ca="1">BDP("45204FA3 Muni","GB_MANAGEMENT_PROCEEDS")</f>
        <v>#NAME?</v>
      </c>
      <c r="M746" t="e">
        <f ca="1">BDP("45204FA3 Muni","GB_REPORTING")</f>
        <v>#NAME?</v>
      </c>
      <c r="N746" t="e">
        <f ca="1">BDP("45204FA3 Muni","GB_ASSURANCE_PROVIDERS")</f>
        <v>#NAME?</v>
      </c>
      <c r="O746" t="e">
        <f ca="1">BDP("45204FA3 Muni","GB_PROJECT_SELECTION_PROCESS")</f>
        <v>#NAME?</v>
      </c>
      <c r="P746" t="e">
        <f ca="1">BDP("45204FA3 Muni","ESG_FRAMEWORK_INDICATOR")</f>
        <v>#NAME?</v>
      </c>
      <c r="Q746" t="e">
        <f ca="1">BDP("45204FA3 Muni","BLOOMBERG_SECTOR_CODE")</f>
        <v>#NAME?</v>
      </c>
      <c r="R746" t="e">
        <f ca="1">BDP("45204FA3 Muni","ISSUER_TYPE")</f>
        <v>#NAME?</v>
      </c>
      <c r="S746" t="e">
        <f ca="1">BDS("45204FA3 Muni","ESG_PROJECT_CATEGORY", "aggregate=y")</f>
        <v>#NAME?</v>
      </c>
      <c r="T746" t="e">
        <f ca="1">BDS("45204FA3 Muni","ESG_PROJECT_SUBCATEGORY", "aggregate=y")</f>
        <v>#NAME?</v>
      </c>
    </row>
    <row r="747" spans="1:20" x14ac:dyDescent="0.25">
      <c r="A747" t="e">
        <f ca="1">BDP("45204FA4 Muni","ID_CUSIP")</f>
        <v>#NAME?</v>
      </c>
      <c r="B747" t="e">
        <f ca="1">BDP("45204FA4 Muni","STATE_CODE")</f>
        <v>#NAME?</v>
      </c>
      <c r="C747" t="s">
        <v>53</v>
      </c>
      <c r="D747" t="e">
        <f ca="1">BDP("45204FA4 Muni","YIELD_ON_ISSUE_DATE")</f>
        <v>#NAME?</v>
      </c>
      <c r="E747">
        <v>9320000</v>
      </c>
      <c r="F747" t="e">
        <f ca="1">BDP("45204FA4 Muni","ISSUE_DT")</f>
        <v>#NAME?</v>
      </c>
      <c r="G747" t="e">
        <f ca="1">BDP("45204FA4 Muni","MATURITY")</f>
        <v>#NAME?</v>
      </c>
      <c r="H747" t="e">
        <f ca="1">BDP("45204FA4 Muni","MUNI_TAX_PROV")</f>
        <v>#NAME?</v>
      </c>
      <c r="I747" t="e">
        <f ca="1">BDP("45204FA4 Muni","FINANCING_TYPE")</f>
        <v>#NAME?</v>
      </c>
      <c r="J747" t="e">
        <f ca="1">BDP("45204FA4 Muni","BICS_LEVEL_2_INDUSTRY_GROUP_NAME")</f>
        <v>#NAME?</v>
      </c>
      <c r="K747" t="e">
        <f ca="1">BDP("45204FA4 Muni","SELF_REPRTD_GREEN_INSTR_INDCTR")</f>
        <v>#NAME?</v>
      </c>
      <c r="L747" t="e">
        <f ca="1">BDP("45204FA4 Muni","GB_MANAGEMENT_PROCEEDS")</f>
        <v>#NAME?</v>
      </c>
      <c r="M747" t="e">
        <f ca="1">BDP("45204FA4 Muni","GB_REPORTING")</f>
        <v>#NAME?</v>
      </c>
      <c r="N747" t="e">
        <f ca="1">BDP("45204FA4 Muni","GB_ASSURANCE_PROVIDERS")</f>
        <v>#NAME?</v>
      </c>
      <c r="O747" t="e">
        <f ca="1">BDP("45204FA4 Muni","GB_PROJECT_SELECTION_PROCESS")</f>
        <v>#NAME?</v>
      </c>
      <c r="P747" t="e">
        <f ca="1">BDP("45204FA4 Muni","ESG_FRAMEWORK_INDICATOR")</f>
        <v>#NAME?</v>
      </c>
      <c r="Q747" t="e">
        <f ca="1">BDP("45204FA4 Muni","BLOOMBERG_SECTOR_CODE")</f>
        <v>#NAME?</v>
      </c>
      <c r="R747" t="e">
        <f ca="1">BDP("45204FA4 Muni","ISSUER_TYPE")</f>
        <v>#NAME?</v>
      </c>
      <c r="S747" t="e">
        <f ca="1">BDS("45204FA4 Muni","ESG_PROJECT_CATEGORY", "aggregate=y")</f>
        <v>#NAME?</v>
      </c>
      <c r="T747" t="e">
        <f ca="1">BDS("45204FA4 Muni","ESG_PROJECT_SUBCATEGORY", "aggregate=y")</f>
        <v>#NAME?</v>
      </c>
    </row>
    <row r="748" spans="1:20" x14ac:dyDescent="0.25">
      <c r="A748" t="e">
        <f ca="1">BDP("45204FA5 Muni","ID_CUSIP")</f>
        <v>#NAME?</v>
      </c>
      <c r="B748" t="e">
        <f ca="1">BDP("45204FA5 Muni","STATE_CODE")</f>
        <v>#NAME?</v>
      </c>
      <c r="C748" t="s">
        <v>53</v>
      </c>
      <c r="D748" t="e">
        <f ca="1">BDP("45204FA5 Muni","YIELD_ON_ISSUE_DATE")</f>
        <v>#NAME?</v>
      </c>
      <c r="E748">
        <v>10145000</v>
      </c>
      <c r="F748" t="e">
        <f ca="1">BDP("45204FA5 Muni","ISSUE_DT")</f>
        <v>#NAME?</v>
      </c>
      <c r="G748" t="e">
        <f ca="1">BDP("45204FA5 Muni","MATURITY")</f>
        <v>#NAME?</v>
      </c>
      <c r="H748" t="e">
        <f ca="1">BDP("45204FA5 Muni","MUNI_TAX_PROV")</f>
        <v>#NAME?</v>
      </c>
      <c r="I748" t="e">
        <f ca="1">BDP("45204FA5 Muni","FINANCING_TYPE")</f>
        <v>#NAME?</v>
      </c>
      <c r="J748" t="e">
        <f ca="1">BDP("45204FA5 Muni","BICS_LEVEL_2_INDUSTRY_GROUP_NAME")</f>
        <v>#NAME?</v>
      </c>
      <c r="K748" t="e">
        <f ca="1">BDP("45204FA5 Muni","SELF_REPRTD_GREEN_INSTR_INDCTR")</f>
        <v>#NAME?</v>
      </c>
      <c r="L748" t="e">
        <f ca="1">BDP("45204FA5 Muni","GB_MANAGEMENT_PROCEEDS")</f>
        <v>#NAME?</v>
      </c>
      <c r="M748" t="e">
        <f ca="1">BDP("45204FA5 Muni","GB_REPORTING")</f>
        <v>#NAME?</v>
      </c>
      <c r="N748" t="e">
        <f ca="1">BDP("45204FA5 Muni","GB_ASSURANCE_PROVIDERS")</f>
        <v>#NAME?</v>
      </c>
      <c r="O748" t="e">
        <f ca="1">BDP("45204FA5 Muni","GB_PROJECT_SELECTION_PROCESS")</f>
        <v>#NAME?</v>
      </c>
      <c r="P748" t="e">
        <f ca="1">BDP("45204FA5 Muni","ESG_FRAMEWORK_INDICATOR")</f>
        <v>#NAME?</v>
      </c>
      <c r="Q748" t="e">
        <f ca="1">BDP("45204FA5 Muni","BLOOMBERG_SECTOR_CODE")</f>
        <v>#NAME?</v>
      </c>
      <c r="R748" t="e">
        <f ca="1">BDP("45204FA5 Muni","ISSUER_TYPE")</f>
        <v>#NAME?</v>
      </c>
      <c r="S748" t="e">
        <f ca="1">BDS("45204FA5 Muni","ESG_PROJECT_CATEGORY", "aggregate=y")</f>
        <v>#NAME?</v>
      </c>
      <c r="T748" t="e">
        <f ca="1">BDS("45204FA5 Muni","ESG_PROJECT_SUBCATEGORY", "aggregate=y")</f>
        <v>#NAME?</v>
      </c>
    </row>
    <row r="749" spans="1:20" x14ac:dyDescent="0.25">
      <c r="A749" t="e">
        <f ca="1">BDP("45204FA6 Muni","ID_CUSIP")</f>
        <v>#NAME?</v>
      </c>
      <c r="B749" t="e">
        <f ca="1">BDP("45204FA6 Muni","STATE_CODE")</f>
        <v>#NAME?</v>
      </c>
      <c r="C749" t="s">
        <v>53</v>
      </c>
      <c r="D749" t="e">
        <f ca="1">BDP("45204FA6 Muni","YIELD_ON_ISSUE_DATE")</f>
        <v>#NAME?</v>
      </c>
      <c r="E749">
        <v>8370000</v>
      </c>
      <c r="F749" t="e">
        <f ca="1">BDP("45204FA6 Muni","ISSUE_DT")</f>
        <v>#NAME?</v>
      </c>
      <c r="G749" t="e">
        <f ca="1">BDP("45204FA6 Muni","MATURITY")</f>
        <v>#NAME?</v>
      </c>
      <c r="H749" t="e">
        <f ca="1">BDP("45204FA6 Muni","MUNI_TAX_PROV")</f>
        <v>#NAME?</v>
      </c>
      <c r="I749" t="e">
        <f ca="1">BDP("45204FA6 Muni","FINANCING_TYPE")</f>
        <v>#NAME?</v>
      </c>
      <c r="J749" t="e">
        <f ca="1">BDP("45204FA6 Muni","BICS_LEVEL_2_INDUSTRY_GROUP_NAME")</f>
        <v>#NAME?</v>
      </c>
      <c r="K749" t="e">
        <f ca="1">BDP("45204FA6 Muni","SELF_REPRTD_GREEN_INSTR_INDCTR")</f>
        <v>#NAME?</v>
      </c>
      <c r="L749" t="e">
        <f ca="1">BDP("45204FA6 Muni","GB_MANAGEMENT_PROCEEDS")</f>
        <v>#NAME?</v>
      </c>
      <c r="M749" t="e">
        <f ca="1">BDP("45204FA6 Muni","GB_REPORTING")</f>
        <v>#NAME?</v>
      </c>
      <c r="N749" t="e">
        <f ca="1">BDP("45204FA6 Muni","GB_ASSURANCE_PROVIDERS")</f>
        <v>#NAME?</v>
      </c>
      <c r="O749" t="e">
        <f ca="1">BDP("45204FA6 Muni","GB_PROJECT_SELECTION_PROCESS")</f>
        <v>#NAME?</v>
      </c>
      <c r="P749" t="e">
        <f ca="1">BDP("45204FA6 Muni","ESG_FRAMEWORK_INDICATOR")</f>
        <v>#NAME?</v>
      </c>
      <c r="Q749" t="e">
        <f ca="1">BDP("45204FA6 Muni","BLOOMBERG_SECTOR_CODE")</f>
        <v>#NAME?</v>
      </c>
      <c r="R749" t="e">
        <f ca="1">BDP("45204FA6 Muni","ISSUER_TYPE")</f>
        <v>#NAME?</v>
      </c>
      <c r="S749" t="e">
        <f ca="1">BDS("45204FA6 Muni","ESG_PROJECT_CATEGORY", "aggregate=y")</f>
        <v>#NAME?</v>
      </c>
      <c r="T749" t="e">
        <f ca="1">BDS("45204FA6 Muni","ESG_PROJECT_SUBCATEGORY", "aggregate=y")</f>
        <v>#NAME?</v>
      </c>
    </row>
    <row r="750" spans="1:20" x14ac:dyDescent="0.25">
      <c r="A750" t="e">
        <f ca="1">BDP("45204FA7 Muni","ID_CUSIP")</f>
        <v>#NAME?</v>
      </c>
      <c r="B750" t="e">
        <f ca="1">BDP("45204FA7 Muni","STATE_CODE")</f>
        <v>#NAME?</v>
      </c>
      <c r="C750" t="s">
        <v>53</v>
      </c>
      <c r="D750" t="e">
        <f ca="1">BDP("45204FA7 Muni","YIELD_ON_ISSUE_DATE")</f>
        <v>#NAME?</v>
      </c>
      <c r="E750">
        <v>8950000</v>
      </c>
      <c r="F750" t="e">
        <f ca="1">BDP("45204FA7 Muni","ISSUE_DT")</f>
        <v>#NAME?</v>
      </c>
      <c r="G750" t="e">
        <f ca="1">BDP("45204FA7 Muni","MATURITY")</f>
        <v>#NAME?</v>
      </c>
      <c r="H750" t="e">
        <f ca="1">BDP("45204FA7 Muni","MUNI_TAX_PROV")</f>
        <v>#NAME?</v>
      </c>
      <c r="I750" t="e">
        <f ca="1">BDP("45204FA7 Muni","FINANCING_TYPE")</f>
        <v>#NAME?</v>
      </c>
      <c r="J750" t="e">
        <f ca="1">BDP("45204FA7 Muni","BICS_LEVEL_2_INDUSTRY_GROUP_NAME")</f>
        <v>#NAME?</v>
      </c>
      <c r="K750" t="e">
        <f ca="1">BDP("45204FA7 Muni","SELF_REPRTD_GREEN_INSTR_INDCTR")</f>
        <v>#NAME?</v>
      </c>
      <c r="L750" t="e">
        <f ca="1">BDP("45204FA7 Muni","GB_MANAGEMENT_PROCEEDS")</f>
        <v>#NAME?</v>
      </c>
      <c r="M750" t="e">
        <f ca="1">BDP("45204FA7 Muni","GB_REPORTING")</f>
        <v>#NAME?</v>
      </c>
      <c r="N750" t="e">
        <f ca="1">BDP("45204FA7 Muni","GB_ASSURANCE_PROVIDERS")</f>
        <v>#NAME?</v>
      </c>
      <c r="O750" t="e">
        <f ca="1">BDP("45204FA7 Muni","GB_PROJECT_SELECTION_PROCESS")</f>
        <v>#NAME?</v>
      </c>
      <c r="P750" t="e">
        <f ca="1">BDP("45204FA7 Muni","ESG_FRAMEWORK_INDICATOR")</f>
        <v>#NAME?</v>
      </c>
      <c r="Q750" t="e">
        <f ca="1">BDP("45204FA7 Muni","BLOOMBERG_SECTOR_CODE")</f>
        <v>#NAME?</v>
      </c>
      <c r="R750" t="e">
        <f ca="1">BDP("45204FA7 Muni","ISSUER_TYPE")</f>
        <v>#NAME?</v>
      </c>
      <c r="S750" t="e">
        <f ca="1">BDS("45204FA7 Muni","ESG_PROJECT_CATEGORY", "aggregate=y")</f>
        <v>#NAME?</v>
      </c>
      <c r="T750" t="e">
        <f ca="1">BDS("45204FA7 Muni","ESG_PROJECT_SUBCATEGORY", "aggregate=y")</f>
        <v>#NAME?</v>
      </c>
    </row>
    <row r="751" spans="1:20" x14ac:dyDescent="0.25">
      <c r="A751" t="e">
        <f ca="1">BDP("45204FA8 Muni","ID_CUSIP")</f>
        <v>#NAME?</v>
      </c>
      <c r="B751" t="e">
        <f ca="1">BDP("45204FA8 Muni","STATE_CODE")</f>
        <v>#NAME?</v>
      </c>
      <c r="C751" t="s">
        <v>53</v>
      </c>
      <c r="D751" t="e">
        <f ca="1">BDP("45204FA8 Muni","YIELD_ON_ISSUE_DATE")</f>
        <v>#NAME?</v>
      </c>
      <c r="E751">
        <v>9710000</v>
      </c>
      <c r="F751" t="e">
        <f ca="1">BDP("45204FA8 Muni","ISSUE_DT")</f>
        <v>#NAME?</v>
      </c>
      <c r="G751" t="e">
        <f ca="1">BDP("45204FA8 Muni","MATURITY")</f>
        <v>#NAME?</v>
      </c>
      <c r="H751" t="e">
        <f ca="1">BDP("45204FA8 Muni","MUNI_TAX_PROV")</f>
        <v>#NAME?</v>
      </c>
      <c r="I751" t="e">
        <f ca="1">BDP("45204FA8 Muni","FINANCING_TYPE")</f>
        <v>#NAME?</v>
      </c>
      <c r="J751" t="e">
        <f ca="1">BDP("45204FA8 Muni","BICS_LEVEL_2_INDUSTRY_GROUP_NAME")</f>
        <v>#NAME?</v>
      </c>
      <c r="K751" t="e">
        <f ca="1">BDP("45204FA8 Muni","SELF_REPRTD_GREEN_INSTR_INDCTR")</f>
        <v>#NAME?</v>
      </c>
      <c r="L751" t="e">
        <f ca="1">BDP("45204FA8 Muni","GB_MANAGEMENT_PROCEEDS")</f>
        <v>#NAME?</v>
      </c>
      <c r="M751" t="e">
        <f ca="1">BDP("45204FA8 Muni","GB_REPORTING")</f>
        <v>#NAME?</v>
      </c>
      <c r="N751" t="e">
        <f ca="1">BDP("45204FA8 Muni","GB_ASSURANCE_PROVIDERS")</f>
        <v>#NAME?</v>
      </c>
      <c r="O751" t="e">
        <f ca="1">BDP("45204FA8 Muni","GB_PROJECT_SELECTION_PROCESS")</f>
        <v>#NAME?</v>
      </c>
      <c r="P751" t="e">
        <f ca="1">BDP("45204FA8 Muni","ESG_FRAMEWORK_INDICATOR")</f>
        <v>#NAME?</v>
      </c>
      <c r="Q751" t="e">
        <f ca="1">BDP("45204FA8 Muni","BLOOMBERG_SECTOR_CODE")</f>
        <v>#NAME?</v>
      </c>
      <c r="R751" t="e">
        <f ca="1">BDP("45204FA8 Muni","ISSUER_TYPE")</f>
        <v>#NAME?</v>
      </c>
      <c r="S751" t="e">
        <f ca="1">BDS("45204FA8 Muni","ESG_PROJECT_CATEGORY", "aggregate=y")</f>
        <v>#NAME?</v>
      </c>
      <c r="T751" t="e">
        <f ca="1">BDS("45204FA8 Muni","ESG_PROJECT_SUBCATEGORY", "aggregate=y")</f>
        <v>#NAME?</v>
      </c>
    </row>
    <row r="752" spans="1:20" x14ac:dyDescent="0.25">
      <c r="A752" t="e">
        <f ca="1">BDP("45204FA9 Muni","ID_CUSIP")</f>
        <v>#NAME?</v>
      </c>
      <c r="B752" t="e">
        <f ca="1">BDP("45204FA9 Muni","STATE_CODE")</f>
        <v>#NAME?</v>
      </c>
      <c r="C752" t="s">
        <v>53</v>
      </c>
      <c r="D752" t="e">
        <f ca="1">BDP("45204FA9 Muni","YIELD_ON_ISSUE_DATE")</f>
        <v>#NAME?</v>
      </c>
      <c r="E752">
        <v>10250000</v>
      </c>
      <c r="F752" t="e">
        <f ca="1">BDP("45204FA9 Muni","ISSUE_DT")</f>
        <v>#NAME?</v>
      </c>
      <c r="G752" t="e">
        <f ca="1">BDP("45204FA9 Muni","MATURITY")</f>
        <v>#NAME?</v>
      </c>
      <c r="H752" t="e">
        <f ca="1">BDP("45204FA9 Muni","MUNI_TAX_PROV")</f>
        <v>#NAME?</v>
      </c>
      <c r="I752" t="e">
        <f ca="1">BDP("45204FA9 Muni","FINANCING_TYPE")</f>
        <v>#NAME?</v>
      </c>
      <c r="J752" t="e">
        <f ca="1">BDP("45204FA9 Muni","BICS_LEVEL_2_INDUSTRY_GROUP_NAME")</f>
        <v>#NAME?</v>
      </c>
      <c r="K752" t="e">
        <f ca="1">BDP("45204FA9 Muni","SELF_REPRTD_GREEN_INSTR_INDCTR")</f>
        <v>#NAME?</v>
      </c>
      <c r="L752" t="e">
        <f ca="1">BDP("45204FA9 Muni","GB_MANAGEMENT_PROCEEDS")</f>
        <v>#NAME?</v>
      </c>
      <c r="M752" t="e">
        <f ca="1">BDP("45204FA9 Muni","GB_REPORTING")</f>
        <v>#NAME?</v>
      </c>
      <c r="N752" t="e">
        <f ca="1">BDP("45204FA9 Muni","GB_ASSURANCE_PROVIDERS")</f>
        <v>#NAME?</v>
      </c>
      <c r="O752" t="e">
        <f ca="1">BDP("45204FA9 Muni","GB_PROJECT_SELECTION_PROCESS")</f>
        <v>#NAME?</v>
      </c>
      <c r="P752" t="e">
        <f ca="1">BDP("45204FA9 Muni","ESG_FRAMEWORK_INDICATOR")</f>
        <v>#NAME?</v>
      </c>
      <c r="Q752" t="e">
        <f ca="1">BDP("45204FA9 Muni","BLOOMBERG_SECTOR_CODE")</f>
        <v>#NAME?</v>
      </c>
      <c r="R752" t="e">
        <f ca="1">BDP("45204FA9 Muni","ISSUER_TYPE")</f>
        <v>#NAME?</v>
      </c>
      <c r="S752" t="e">
        <f ca="1">BDS("45204FA9 Muni","ESG_PROJECT_CATEGORY", "aggregate=y")</f>
        <v>#NAME?</v>
      </c>
      <c r="T752" t="e">
        <f ca="1">BDS("45204FA9 Muni","ESG_PROJECT_SUBCATEGORY", "aggregate=y")</f>
        <v>#NAME?</v>
      </c>
    </row>
    <row r="753" spans="1:20" x14ac:dyDescent="0.25">
      <c r="A753" t="e">
        <f ca="1">BDP("45204FB5 Muni","ID_CUSIP")</f>
        <v>#NAME?</v>
      </c>
      <c r="B753" t="e">
        <f ca="1">BDP("45204FB5 Muni","STATE_CODE")</f>
        <v>#NAME?</v>
      </c>
      <c r="C753" t="s">
        <v>53</v>
      </c>
      <c r="D753" t="e">
        <f ca="1">BDP("45204FB5 Muni","YIELD_ON_ISSUE_DATE")</f>
        <v>#NAME?</v>
      </c>
      <c r="E753">
        <v>12690000</v>
      </c>
      <c r="F753" t="e">
        <f ca="1">BDP("45204FB5 Muni","ISSUE_DT")</f>
        <v>#NAME?</v>
      </c>
      <c r="G753" t="e">
        <f ca="1">BDP("45204FB5 Muni","MATURITY")</f>
        <v>#NAME?</v>
      </c>
      <c r="H753" t="e">
        <f ca="1">BDP("45204FB5 Muni","MUNI_TAX_PROV")</f>
        <v>#NAME?</v>
      </c>
      <c r="I753" t="e">
        <f ca="1">BDP("45204FB5 Muni","FINANCING_TYPE")</f>
        <v>#NAME?</v>
      </c>
      <c r="J753" t="e">
        <f ca="1">BDP("45204FB5 Muni","BICS_LEVEL_2_INDUSTRY_GROUP_NAME")</f>
        <v>#NAME?</v>
      </c>
      <c r="K753" t="e">
        <f ca="1">BDP("45204FB5 Muni","SELF_REPRTD_GREEN_INSTR_INDCTR")</f>
        <v>#NAME?</v>
      </c>
      <c r="L753" t="e">
        <f ca="1">BDP("45204FB5 Muni","GB_MANAGEMENT_PROCEEDS")</f>
        <v>#NAME?</v>
      </c>
      <c r="M753" t="e">
        <f ca="1">BDP("45204FB5 Muni","GB_REPORTING")</f>
        <v>#NAME?</v>
      </c>
      <c r="N753" t="e">
        <f ca="1">BDP("45204FB5 Muni","GB_ASSURANCE_PROVIDERS")</f>
        <v>#NAME?</v>
      </c>
      <c r="O753" t="e">
        <f ca="1">BDP("45204FB5 Muni","GB_PROJECT_SELECTION_PROCESS")</f>
        <v>#NAME?</v>
      </c>
      <c r="P753" t="e">
        <f ca="1">BDP("45204FB5 Muni","ESG_FRAMEWORK_INDICATOR")</f>
        <v>#NAME?</v>
      </c>
      <c r="Q753" t="e">
        <f ca="1">BDP("45204FB5 Muni","BLOOMBERG_SECTOR_CODE")</f>
        <v>#NAME?</v>
      </c>
      <c r="R753" t="e">
        <f ca="1">BDP("45204FB5 Muni","ISSUER_TYPE")</f>
        <v>#NAME?</v>
      </c>
      <c r="S753" t="e">
        <f ca="1">BDS("45204FB5 Muni","ESG_PROJECT_CATEGORY", "aggregate=y")</f>
        <v>#NAME?</v>
      </c>
      <c r="T753" t="e">
        <f ca="1">BDS("45204FB5 Muni","ESG_PROJECT_SUBCATEGORY", "aggregate=y")</f>
        <v>#NAME?</v>
      </c>
    </row>
    <row r="754" spans="1:20" x14ac:dyDescent="0.25">
      <c r="A754" t="e">
        <f ca="1">BDP("45204FB7 Muni","ID_CUSIP")</f>
        <v>#NAME?</v>
      </c>
      <c r="B754" t="e">
        <f ca="1">BDP("45204FB7 Muni","STATE_CODE")</f>
        <v>#NAME?</v>
      </c>
      <c r="C754" t="s">
        <v>53</v>
      </c>
      <c r="D754" t="e">
        <f ca="1">BDP("45204FB7 Muni","YIELD_ON_ISSUE_DATE")</f>
        <v>#NAME?</v>
      </c>
      <c r="E754">
        <v>13915000</v>
      </c>
      <c r="F754" t="e">
        <f ca="1">BDP("45204FB7 Muni","ISSUE_DT")</f>
        <v>#NAME?</v>
      </c>
      <c r="G754" t="e">
        <f ca="1">BDP("45204FB7 Muni","MATURITY")</f>
        <v>#NAME?</v>
      </c>
      <c r="H754" t="e">
        <f ca="1">BDP("45204FB7 Muni","MUNI_TAX_PROV")</f>
        <v>#NAME?</v>
      </c>
      <c r="I754" t="e">
        <f ca="1">BDP("45204FB7 Muni","FINANCING_TYPE")</f>
        <v>#NAME?</v>
      </c>
      <c r="J754" t="e">
        <f ca="1">BDP("45204FB7 Muni","BICS_LEVEL_2_INDUSTRY_GROUP_NAME")</f>
        <v>#NAME?</v>
      </c>
      <c r="K754" t="e">
        <f ca="1">BDP("45204FB7 Muni","SELF_REPRTD_GREEN_INSTR_INDCTR")</f>
        <v>#NAME?</v>
      </c>
      <c r="L754" t="e">
        <f ca="1">BDP("45204FB7 Muni","GB_MANAGEMENT_PROCEEDS")</f>
        <v>#NAME?</v>
      </c>
      <c r="M754" t="e">
        <f ca="1">BDP("45204FB7 Muni","GB_REPORTING")</f>
        <v>#NAME?</v>
      </c>
      <c r="N754" t="e">
        <f ca="1">BDP("45204FB7 Muni","GB_ASSURANCE_PROVIDERS")</f>
        <v>#NAME?</v>
      </c>
      <c r="O754" t="e">
        <f ca="1">BDP("45204FB7 Muni","GB_PROJECT_SELECTION_PROCESS")</f>
        <v>#NAME?</v>
      </c>
      <c r="P754" t="e">
        <f ca="1">BDP("45204FB7 Muni","ESG_FRAMEWORK_INDICATOR")</f>
        <v>#NAME?</v>
      </c>
      <c r="Q754" t="e">
        <f ca="1">BDP("45204FB7 Muni","BLOOMBERG_SECTOR_CODE")</f>
        <v>#NAME?</v>
      </c>
      <c r="R754" t="e">
        <f ca="1">BDP("45204FB7 Muni","ISSUER_TYPE")</f>
        <v>#NAME?</v>
      </c>
      <c r="S754" t="e">
        <f ca="1">BDS("45204FB7 Muni","ESG_PROJECT_CATEGORY", "aggregate=y")</f>
        <v>#NAME?</v>
      </c>
      <c r="T754" t="e">
        <f ca="1">BDS("45204FB7 Muni","ESG_PROJECT_SUBCATEGORY", "aggregate=y")</f>
        <v>#NAME?</v>
      </c>
    </row>
    <row r="755" spans="1:20" x14ac:dyDescent="0.25">
      <c r="A755" t="e">
        <f ca="1">BDP("45204FB8 Muni","ID_CUSIP")</f>
        <v>#NAME?</v>
      </c>
      <c r="B755" t="e">
        <f ca="1">BDP("45204FB8 Muni","STATE_CODE")</f>
        <v>#NAME?</v>
      </c>
      <c r="C755" t="s">
        <v>53</v>
      </c>
      <c r="D755" t="e">
        <f ca="1">BDP("45204FB8 Muni","YIELD_ON_ISSUE_DATE")</f>
        <v>#NAME?</v>
      </c>
      <c r="E755">
        <v>14180000</v>
      </c>
      <c r="F755" t="e">
        <f ca="1">BDP("45204FB8 Muni","ISSUE_DT")</f>
        <v>#NAME?</v>
      </c>
      <c r="G755" t="e">
        <f ca="1">BDP("45204FB8 Muni","MATURITY")</f>
        <v>#NAME?</v>
      </c>
      <c r="H755" t="e">
        <f ca="1">BDP("45204FB8 Muni","MUNI_TAX_PROV")</f>
        <v>#NAME?</v>
      </c>
      <c r="I755" t="e">
        <f ca="1">BDP("45204FB8 Muni","FINANCING_TYPE")</f>
        <v>#NAME?</v>
      </c>
      <c r="J755" t="e">
        <f ca="1">BDP("45204FB8 Muni","BICS_LEVEL_2_INDUSTRY_GROUP_NAME")</f>
        <v>#NAME?</v>
      </c>
      <c r="K755" t="e">
        <f ca="1">BDP("45204FB8 Muni","SELF_REPRTD_GREEN_INSTR_INDCTR")</f>
        <v>#NAME?</v>
      </c>
      <c r="L755" t="e">
        <f ca="1">BDP("45204FB8 Muni","GB_MANAGEMENT_PROCEEDS")</f>
        <v>#NAME?</v>
      </c>
      <c r="M755" t="e">
        <f ca="1">BDP("45204FB8 Muni","GB_REPORTING")</f>
        <v>#NAME?</v>
      </c>
      <c r="N755" t="e">
        <f ca="1">BDP("45204FB8 Muni","GB_ASSURANCE_PROVIDERS")</f>
        <v>#NAME?</v>
      </c>
      <c r="O755" t="e">
        <f ca="1">BDP("45204FB8 Muni","GB_PROJECT_SELECTION_PROCESS")</f>
        <v>#NAME?</v>
      </c>
      <c r="P755" t="e">
        <f ca="1">BDP("45204FB8 Muni","ESG_FRAMEWORK_INDICATOR")</f>
        <v>#NAME?</v>
      </c>
      <c r="Q755" t="e">
        <f ca="1">BDP("45204FB8 Muni","BLOOMBERG_SECTOR_CODE")</f>
        <v>#NAME?</v>
      </c>
      <c r="R755" t="e">
        <f ca="1">BDP("45204FB8 Muni","ISSUER_TYPE")</f>
        <v>#NAME?</v>
      </c>
      <c r="S755" t="e">
        <f ca="1">BDS("45204FB8 Muni","ESG_PROJECT_CATEGORY", "aggregate=y")</f>
        <v>#NAME?</v>
      </c>
      <c r="T755" t="e">
        <f ca="1">BDS("45204FB8 Muni","ESG_PROJECT_SUBCATEGORY", "aggregate=y")</f>
        <v>#NAME?</v>
      </c>
    </row>
    <row r="756" spans="1:20" x14ac:dyDescent="0.25">
      <c r="A756" t="e">
        <f ca="1">BDP("45204FB9 Muni","ID_CUSIP")</f>
        <v>#NAME?</v>
      </c>
      <c r="B756" t="e">
        <f ca="1">BDP("45204FB9 Muni","STATE_CODE")</f>
        <v>#NAME?</v>
      </c>
      <c r="C756" t="s">
        <v>53</v>
      </c>
      <c r="D756" t="e">
        <f ca="1">BDP("45204FB9 Muni","YIELD_ON_ISSUE_DATE")</f>
        <v>#NAME?</v>
      </c>
      <c r="E756">
        <v>16975000</v>
      </c>
      <c r="F756" t="e">
        <f ca="1">BDP("45204FB9 Muni","ISSUE_DT")</f>
        <v>#NAME?</v>
      </c>
      <c r="G756" t="e">
        <f ca="1">BDP("45204FB9 Muni","MATURITY")</f>
        <v>#NAME?</v>
      </c>
      <c r="H756" t="e">
        <f ca="1">BDP("45204FB9 Muni","MUNI_TAX_PROV")</f>
        <v>#NAME?</v>
      </c>
      <c r="I756" t="e">
        <f ca="1">BDP("45204FB9 Muni","FINANCING_TYPE")</f>
        <v>#NAME?</v>
      </c>
      <c r="J756" t="e">
        <f ca="1">BDP("45204FB9 Muni","BICS_LEVEL_2_INDUSTRY_GROUP_NAME")</f>
        <v>#NAME?</v>
      </c>
      <c r="K756" t="e">
        <f ca="1">BDP("45204FB9 Muni","SELF_REPRTD_GREEN_INSTR_INDCTR")</f>
        <v>#NAME?</v>
      </c>
      <c r="L756" t="e">
        <f ca="1">BDP("45204FB9 Muni","GB_MANAGEMENT_PROCEEDS")</f>
        <v>#NAME?</v>
      </c>
      <c r="M756" t="e">
        <f ca="1">BDP("45204FB9 Muni","GB_REPORTING")</f>
        <v>#NAME?</v>
      </c>
      <c r="N756" t="e">
        <f ca="1">BDP("45204FB9 Muni","GB_ASSURANCE_PROVIDERS")</f>
        <v>#NAME?</v>
      </c>
      <c r="O756" t="e">
        <f ca="1">BDP("45204FB9 Muni","GB_PROJECT_SELECTION_PROCESS")</f>
        <v>#NAME?</v>
      </c>
      <c r="P756" t="e">
        <f ca="1">BDP("45204FB9 Muni","ESG_FRAMEWORK_INDICATOR")</f>
        <v>#NAME?</v>
      </c>
      <c r="Q756" t="e">
        <f ca="1">BDP("45204FB9 Muni","BLOOMBERG_SECTOR_CODE")</f>
        <v>#NAME?</v>
      </c>
      <c r="R756" t="e">
        <f ca="1">BDP("45204FB9 Muni","ISSUER_TYPE")</f>
        <v>#NAME?</v>
      </c>
      <c r="S756" t="e">
        <f ca="1">BDS("45204FB9 Muni","ESG_PROJECT_CATEGORY", "aggregate=y")</f>
        <v>#NAME?</v>
      </c>
      <c r="T756" t="e">
        <f ca="1">BDS("45204FB9 Muni","ESG_PROJECT_SUBCATEGORY", "aggregate=y")</f>
        <v>#NAME?</v>
      </c>
    </row>
    <row r="757" spans="1:20" x14ac:dyDescent="0.25">
      <c r="A757" t="e">
        <f ca="1">BDP("45204FC2 Muni","ID_CUSIP")</f>
        <v>#NAME?</v>
      </c>
      <c r="B757" t="e">
        <f ca="1">BDP("45204FC2 Muni","STATE_CODE")</f>
        <v>#NAME?</v>
      </c>
      <c r="C757" t="s">
        <v>53</v>
      </c>
      <c r="D757" t="e">
        <f ca="1">BDP("45204FC2 Muni","YIELD_ON_ISSUE_DATE")</f>
        <v>#NAME?</v>
      </c>
      <c r="E757">
        <v>19185000</v>
      </c>
      <c r="F757" t="e">
        <f ca="1">BDP("45204FC2 Muni","ISSUE_DT")</f>
        <v>#NAME?</v>
      </c>
      <c r="G757" t="e">
        <f ca="1">BDP("45204FC2 Muni","MATURITY")</f>
        <v>#NAME?</v>
      </c>
      <c r="H757" t="e">
        <f ca="1">BDP("45204FC2 Muni","MUNI_TAX_PROV")</f>
        <v>#NAME?</v>
      </c>
      <c r="I757" t="e">
        <f ca="1">BDP("45204FC2 Muni","FINANCING_TYPE")</f>
        <v>#NAME?</v>
      </c>
      <c r="J757" t="e">
        <f ca="1">BDP("45204FC2 Muni","BICS_LEVEL_2_INDUSTRY_GROUP_NAME")</f>
        <v>#NAME?</v>
      </c>
      <c r="K757" t="e">
        <f ca="1">BDP("45204FC2 Muni","SELF_REPRTD_GREEN_INSTR_INDCTR")</f>
        <v>#NAME?</v>
      </c>
      <c r="L757" t="e">
        <f ca="1">BDP("45204FC2 Muni","GB_MANAGEMENT_PROCEEDS")</f>
        <v>#NAME?</v>
      </c>
      <c r="M757" t="e">
        <f ca="1">BDP("45204FC2 Muni","GB_REPORTING")</f>
        <v>#NAME?</v>
      </c>
      <c r="N757" t="e">
        <f ca="1">BDP("45204FC2 Muni","GB_ASSURANCE_PROVIDERS")</f>
        <v>#NAME?</v>
      </c>
      <c r="O757" t="e">
        <f ca="1">BDP("45204FC2 Muni","GB_PROJECT_SELECTION_PROCESS")</f>
        <v>#NAME?</v>
      </c>
      <c r="P757" t="e">
        <f ca="1">BDP("45204FC2 Muni","ESG_FRAMEWORK_INDICATOR")</f>
        <v>#NAME?</v>
      </c>
      <c r="Q757" t="e">
        <f ca="1">BDP("45204FC2 Muni","BLOOMBERG_SECTOR_CODE")</f>
        <v>#NAME?</v>
      </c>
      <c r="R757" t="e">
        <f ca="1">BDP("45204FC2 Muni","ISSUER_TYPE")</f>
        <v>#NAME?</v>
      </c>
      <c r="S757" t="e">
        <f ca="1">BDS("45204FC2 Muni","ESG_PROJECT_CATEGORY", "aggregate=y")</f>
        <v>#NAME?</v>
      </c>
      <c r="T757" t="e">
        <f ca="1">BDS("45204FC2 Muni","ESG_PROJECT_SUBCATEGORY", "aggregate=y")</f>
        <v>#NAME?</v>
      </c>
    </row>
    <row r="758" spans="1:20" x14ac:dyDescent="0.25">
      <c r="A758" t="e">
        <f ca="1">BDP("45204FD4 Muni","ID_CUSIP")</f>
        <v>#NAME?</v>
      </c>
      <c r="B758" t="e">
        <f ca="1">BDP("45204FD4 Muni","STATE_CODE")</f>
        <v>#NAME?</v>
      </c>
      <c r="C758" t="s">
        <v>53</v>
      </c>
      <c r="D758" t="e">
        <f ca="1">BDP("45204FD4 Muni","YIELD_ON_ISSUE_DATE")</f>
        <v>#NAME?</v>
      </c>
      <c r="E758">
        <v>555000</v>
      </c>
      <c r="F758" t="e">
        <f ca="1">BDP("45204FD4 Muni","ISSUE_DT")</f>
        <v>#NAME?</v>
      </c>
      <c r="G758" t="e">
        <f ca="1">BDP("45204FD4 Muni","MATURITY")</f>
        <v>#NAME?</v>
      </c>
      <c r="H758" t="e">
        <f ca="1">BDP("45204FD4 Muni","MUNI_TAX_PROV")</f>
        <v>#NAME?</v>
      </c>
      <c r="I758" t="e">
        <f ca="1">BDP("45204FD4 Muni","FINANCING_TYPE")</f>
        <v>#NAME?</v>
      </c>
      <c r="J758" t="e">
        <f ca="1">BDP("45204FD4 Muni","BICS_LEVEL_2_INDUSTRY_GROUP_NAME")</f>
        <v>#NAME?</v>
      </c>
      <c r="K758" t="e">
        <f ca="1">BDP("45204FD4 Muni","SELF_REPRTD_GREEN_INSTR_INDCTR")</f>
        <v>#NAME?</v>
      </c>
      <c r="L758" t="e">
        <f ca="1">BDP("45204FD4 Muni","GB_MANAGEMENT_PROCEEDS")</f>
        <v>#NAME?</v>
      </c>
      <c r="M758" t="e">
        <f ca="1">BDP("45204FD4 Muni","GB_REPORTING")</f>
        <v>#NAME?</v>
      </c>
      <c r="N758" t="e">
        <f ca="1">BDP("45204FD4 Muni","GB_ASSURANCE_PROVIDERS")</f>
        <v>#NAME?</v>
      </c>
      <c r="O758" t="e">
        <f ca="1">BDP("45204FD4 Muni","GB_PROJECT_SELECTION_PROCESS")</f>
        <v>#NAME?</v>
      </c>
      <c r="P758" t="e">
        <f ca="1">BDP("45204FD4 Muni","ESG_FRAMEWORK_INDICATOR")</f>
        <v>#NAME?</v>
      </c>
      <c r="Q758" t="e">
        <f ca="1">BDP("45204FD4 Muni","BLOOMBERG_SECTOR_CODE")</f>
        <v>#NAME?</v>
      </c>
      <c r="R758" t="e">
        <f ca="1">BDP("45204FD4 Muni","ISSUER_TYPE")</f>
        <v>#NAME?</v>
      </c>
      <c r="S758" t="e">
        <f ca="1">BDS("45204FD4 Muni","ESG_PROJECT_CATEGORY", "aggregate=y")</f>
        <v>#NAME?</v>
      </c>
      <c r="T758" t="e">
        <f ca="1">BDS("45204FD4 Muni","ESG_PROJECT_SUBCATEGORY", "aggregate=y")</f>
        <v>#NAME?</v>
      </c>
    </row>
    <row r="759" spans="1:20" x14ac:dyDescent="0.25">
      <c r="A759" t="e">
        <f ca="1">BDP("45204FD5 Muni","ID_CUSIP")</f>
        <v>#NAME?</v>
      </c>
      <c r="B759" t="e">
        <f ca="1">BDP("45204FD5 Muni","STATE_CODE")</f>
        <v>#NAME?</v>
      </c>
      <c r="C759" t="s">
        <v>53</v>
      </c>
      <c r="D759" t="e">
        <f ca="1">BDP("45204FD5 Muni","YIELD_ON_ISSUE_DATE")</f>
        <v>#NAME?</v>
      </c>
      <c r="E759">
        <v>10535000</v>
      </c>
      <c r="F759" t="e">
        <f ca="1">BDP("45204FD5 Muni","ISSUE_DT")</f>
        <v>#NAME?</v>
      </c>
      <c r="G759" t="e">
        <f ca="1">BDP("45204FD5 Muni","MATURITY")</f>
        <v>#NAME?</v>
      </c>
      <c r="H759" t="e">
        <f ca="1">BDP("45204FD5 Muni","MUNI_TAX_PROV")</f>
        <v>#NAME?</v>
      </c>
      <c r="I759" t="e">
        <f ca="1">BDP("45204FD5 Muni","FINANCING_TYPE")</f>
        <v>#NAME?</v>
      </c>
      <c r="J759" t="e">
        <f ca="1">BDP("45204FD5 Muni","BICS_LEVEL_2_INDUSTRY_GROUP_NAME")</f>
        <v>#NAME?</v>
      </c>
      <c r="K759" t="e">
        <f ca="1">BDP("45204FD5 Muni","SELF_REPRTD_GREEN_INSTR_INDCTR")</f>
        <v>#NAME?</v>
      </c>
      <c r="L759" t="e">
        <f ca="1">BDP("45204FD5 Muni","GB_MANAGEMENT_PROCEEDS")</f>
        <v>#NAME?</v>
      </c>
      <c r="M759" t="e">
        <f ca="1">BDP("45204FD5 Muni","GB_REPORTING")</f>
        <v>#NAME?</v>
      </c>
      <c r="N759" t="e">
        <f ca="1">BDP("45204FD5 Muni","GB_ASSURANCE_PROVIDERS")</f>
        <v>#NAME?</v>
      </c>
      <c r="O759" t="e">
        <f ca="1">BDP("45204FD5 Muni","GB_PROJECT_SELECTION_PROCESS")</f>
        <v>#NAME?</v>
      </c>
      <c r="P759" t="e">
        <f ca="1">BDP("45204FD5 Muni","ESG_FRAMEWORK_INDICATOR")</f>
        <v>#NAME?</v>
      </c>
      <c r="Q759" t="e">
        <f ca="1">BDP("45204FD5 Muni","BLOOMBERG_SECTOR_CODE")</f>
        <v>#NAME?</v>
      </c>
      <c r="R759" t="e">
        <f ca="1">BDP("45204FD5 Muni","ISSUER_TYPE")</f>
        <v>#NAME?</v>
      </c>
      <c r="S759" t="e">
        <f ca="1">BDS("45204FD5 Muni","ESG_PROJECT_CATEGORY", "aggregate=y")</f>
        <v>#NAME?</v>
      </c>
      <c r="T759" t="e">
        <f ca="1">BDS("45204FD5 Muni","ESG_PROJECT_SUBCATEGORY", "aggregate=y")</f>
        <v>#NAME?</v>
      </c>
    </row>
    <row r="760" spans="1:20" x14ac:dyDescent="0.25">
      <c r="A760" t="e">
        <f ca="1">BDP("45204FD8 Muni","ID_CUSIP")</f>
        <v>#NAME?</v>
      </c>
      <c r="B760" t="e">
        <f ca="1">BDP("45204FD8 Muni","STATE_CODE")</f>
        <v>#NAME?</v>
      </c>
      <c r="C760" t="s">
        <v>53</v>
      </c>
      <c r="D760" t="e">
        <f ca="1">BDP("45204FD8 Muni","YIELD_ON_ISSUE_DATE")</f>
        <v>#NAME?</v>
      </c>
      <c r="E760">
        <v>14855000</v>
      </c>
      <c r="F760" t="e">
        <f ca="1">BDP("45204FD8 Muni","ISSUE_DT")</f>
        <v>#NAME?</v>
      </c>
      <c r="G760" t="e">
        <f ca="1">BDP("45204FD8 Muni","MATURITY")</f>
        <v>#NAME?</v>
      </c>
      <c r="H760" t="e">
        <f ca="1">BDP("45204FD8 Muni","MUNI_TAX_PROV")</f>
        <v>#NAME?</v>
      </c>
      <c r="I760" t="e">
        <f ca="1">BDP("45204FD8 Muni","FINANCING_TYPE")</f>
        <v>#NAME?</v>
      </c>
      <c r="J760" t="e">
        <f ca="1">BDP("45204FD8 Muni","BICS_LEVEL_2_INDUSTRY_GROUP_NAME")</f>
        <v>#NAME?</v>
      </c>
      <c r="K760" t="e">
        <f ca="1">BDP("45204FD8 Muni","SELF_REPRTD_GREEN_INSTR_INDCTR")</f>
        <v>#NAME?</v>
      </c>
      <c r="L760" t="e">
        <f ca="1">BDP("45204FD8 Muni","GB_MANAGEMENT_PROCEEDS")</f>
        <v>#NAME?</v>
      </c>
      <c r="M760" t="e">
        <f ca="1">BDP("45204FD8 Muni","GB_REPORTING")</f>
        <v>#NAME?</v>
      </c>
      <c r="N760" t="e">
        <f ca="1">BDP("45204FD8 Muni","GB_ASSURANCE_PROVIDERS")</f>
        <v>#NAME?</v>
      </c>
      <c r="O760" t="e">
        <f ca="1">BDP("45204FD8 Muni","GB_PROJECT_SELECTION_PROCESS")</f>
        <v>#NAME?</v>
      </c>
      <c r="P760" t="e">
        <f ca="1">BDP("45204FD8 Muni","ESG_FRAMEWORK_INDICATOR")</f>
        <v>#NAME?</v>
      </c>
      <c r="Q760" t="e">
        <f ca="1">BDP("45204FD8 Muni","BLOOMBERG_SECTOR_CODE")</f>
        <v>#NAME?</v>
      </c>
      <c r="R760" t="e">
        <f ca="1">BDP("45204FD8 Muni","ISSUER_TYPE")</f>
        <v>#NAME?</v>
      </c>
      <c r="S760" t="e">
        <f ca="1">BDS("45204FD8 Muni","ESG_PROJECT_CATEGORY", "aggregate=y")</f>
        <v>#NAME?</v>
      </c>
      <c r="T760" t="e">
        <f ca="1">BDS("45204FD8 Muni","ESG_PROJECT_SUBCATEGORY", "aggregate=y")</f>
        <v>#NAME?</v>
      </c>
    </row>
    <row r="761" spans="1:20" x14ac:dyDescent="0.25">
      <c r="A761" t="e">
        <f ca="1">BDP("45204FD9 Muni","ID_CUSIP")</f>
        <v>#NAME?</v>
      </c>
      <c r="B761" t="e">
        <f ca="1">BDP("45204FD9 Muni","STATE_CODE")</f>
        <v>#NAME?</v>
      </c>
      <c r="C761" t="s">
        <v>53</v>
      </c>
      <c r="D761" t="e">
        <f ca="1">BDP("45204FD9 Muni","YIELD_ON_ISSUE_DATE")</f>
        <v>#NAME?</v>
      </c>
      <c r="E761">
        <v>16855000</v>
      </c>
      <c r="F761" t="e">
        <f ca="1">BDP("45204FD9 Muni","ISSUE_DT")</f>
        <v>#NAME?</v>
      </c>
      <c r="G761" t="e">
        <f ca="1">BDP("45204FD9 Muni","MATURITY")</f>
        <v>#NAME?</v>
      </c>
      <c r="H761" t="e">
        <f ca="1">BDP("45204FD9 Muni","MUNI_TAX_PROV")</f>
        <v>#NAME?</v>
      </c>
      <c r="I761" t="e">
        <f ca="1">BDP("45204FD9 Muni","FINANCING_TYPE")</f>
        <v>#NAME?</v>
      </c>
      <c r="J761" t="e">
        <f ca="1">BDP("45204FD9 Muni","BICS_LEVEL_2_INDUSTRY_GROUP_NAME")</f>
        <v>#NAME?</v>
      </c>
      <c r="K761" t="e">
        <f ca="1">BDP("45204FD9 Muni","SELF_REPRTD_GREEN_INSTR_INDCTR")</f>
        <v>#NAME?</v>
      </c>
      <c r="L761" t="e">
        <f ca="1">BDP("45204FD9 Muni","GB_MANAGEMENT_PROCEEDS")</f>
        <v>#NAME?</v>
      </c>
      <c r="M761" t="e">
        <f ca="1">BDP("45204FD9 Muni","GB_REPORTING")</f>
        <v>#NAME?</v>
      </c>
      <c r="N761" t="e">
        <f ca="1">BDP("45204FD9 Muni","GB_ASSURANCE_PROVIDERS")</f>
        <v>#NAME?</v>
      </c>
      <c r="O761" t="e">
        <f ca="1">BDP("45204FD9 Muni","GB_PROJECT_SELECTION_PROCESS")</f>
        <v>#NAME?</v>
      </c>
      <c r="P761" t="e">
        <f ca="1">BDP("45204FD9 Muni","ESG_FRAMEWORK_INDICATOR")</f>
        <v>#NAME?</v>
      </c>
      <c r="Q761" t="e">
        <f ca="1">BDP("45204FD9 Muni","BLOOMBERG_SECTOR_CODE")</f>
        <v>#NAME?</v>
      </c>
      <c r="R761" t="e">
        <f ca="1">BDP("45204FD9 Muni","ISSUER_TYPE")</f>
        <v>#NAME?</v>
      </c>
      <c r="S761" t="e">
        <f ca="1">BDS("45204FD9 Muni","ESG_PROJECT_CATEGORY", "aggregate=y")</f>
        <v>#NAME?</v>
      </c>
      <c r="T761" t="e">
        <f ca="1">BDS("45204FD9 Muni","ESG_PROJECT_SUBCATEGORY", "aggregate=y")</f>
        <v>#NAME?</v>
      </c>
    </row>
    <row r="762" spans="1:20" x14ac:dyDescent="0.25">
      <c r="A762" t="e">
        <f ca="1">BDP("45204FE2 Muni","ID_CUSIP")</f>
        <v>#NAME?</v>
      </c>
      <c r="B762" t="e">
        <f ca="1">BDP("45204FE2 Muni","STATE_CODE")</f>
        <v>#NAME?</v>
      </c>
      <c r="C762" t="s">
        <v>53</v>
      </c>
      <c r="D762" t="e">
        <f ca="1">BDP("45204FE2 Muni","YIELD_ON_ISSUE_DATE")</f>
        <v>#NAME?</v>
      </c>
      <c r="E762">
        <v>4340000</v>
      </c>
      <c r="F762" t="e">
        <f ca="1">BDP("45204FE2 Muni","ISSUE_DT")</f>
        <v>#NAME?</v>
      </c>
      <c r="G762" t="e">
        <f ca="1">BDP("45204FE2 Muni","MATURITY")</f>
        <v>#NAME?</v>
      </c>
      <c r="H762" t="e">
        <f ca="1">BDP("45204FE2 Muni","MUNI_TAX_PROV")</f>
        <v>#NAME?</v>
      </c>
      <c r="I762" t="e">
        <f ca="1">BDP("45204FE2 Muni","FINANCING_TYPE")</f>
        <v>#NAME?</v>
      </c>
      <c r="J762" t="e">
        <f ca="1">BDP("45204FE2 Muni","BICS_LEVEL_2_INDUSTRY_GROUP_NAME")</f>
        <v>#NAME?</v>
      </c>
      <c r="K762" t="e">
        <f ca="1">BDP("45204FE2 Muni","SELF_REPRTD_GREEN_INSTR_INDCTR")</f>
        <v>#NAME?</v>
      </c>
      <c r="L762" t="e">
        <f ca="1">BDP("45204FE2 Muni","GB_MANAGEMENT_PROCEEDS")</f>
        <v>#NAME?</v>
      </c>
      <c r="M762" t="e">
        <f ca="1">BDP("45204FE2 Muni","GB_REPORTING")</f>
        <v>#NAME?</v>
      </c>
      <c r="N762" t="e">
        <f ca="1">BDP("45204FE2 Muni","GB_ASSURANCE_PROVIDERS")</f>
        <v>#NAME?</v>
      </c>
      <c r="O762" t="e">
        <f ca="1">BDP("45204FE2 Muni","GB_PROJECT_SELECTION_PROCESS")</f>
        <v>#NAME?</v>
      </c>
      <c r="P762" t="e">
        <f ca="1">BDP("45204FE2 Muni","ESG_FRAMEWORK_INDICATOR")</f>
        <v>#NAME?</v>
      </c>
      <c r="Q762" t="e">
        <f ca="1">BDP("45204FE2 Muni","BLOOMBERG_SECTOR_CODE")</f>
        <v>#NAME?</v>
      </c>
      <c r="R762" t="e">
        <f ca="1">BDP("45204FE2 Muni","ISSUER_TYPE")</f>
        <v>#NAME?</v>
      </c>
      <c r="S762" t="e">
        <f ca="1">BDS("45204FE2 Muni","ESG_PROJECT_CATEGORY", "aggregate=y")</f>
        <v>#NAME?</v>
      </c>
      <c r="T762" t="e">
        <f ca="1">BDS("45204FE2 Muni","ESG_PROJECT_SUBCATEGORY", "aggregate=y")</f>
        <v>#NAME?</v>
      </c>
    </row>
    <row r="763" spans="1:20" x14ac:dyDescent="0.25">
      <c r="A763" t="e">
        <f ca="1">BDP("45204FE3 Muni","ID_CUSIP")</f>
        <v>#NAME?</v>
      </c>
      <c r="B763" t="e">
        <f ca="1">BDP("45204FE3 Muni","STATE_CODE")</f>
        <v>#NAME?</v>
      </c>
      <c r="C763" t="s">
        <v>53</v>
      </c>
      <c r="D763" t="e">
        <f ca="1">BDP("45204FE3 Muni","YIELD_ON_ISSUE_DATE")</f>
        <v>#NAME?</v>
      </c>
      <c r="E763">
        <v>24625000</v>
      </c>
      <c r="F763" t="e">
        <f ca="1">BDP("45204FE3 Muni","ISSUE_DT")</f>
        <v>#NAME?</v>
      </c>
      <c r="G763" t="e">
        <f ca="1">BDP("45204FE3 Muni","MATURITY")</f>
        <v>#NAME?</v>
      </c>
      <c r="H763" t="e">
        <f ca="1">BDP("45204FE3 Muni","MUNI_TAX_PROV")</f>
        <v>#NAME?</v>
      </c>
      <c r="I763" t="e">
        <f ca="1">BDP("45204FE3 Muni","FINANCING_TYPE")</f>
        <v>#NAME?</v>
      </c>
      <c r="J763" t="e">
        <f ca="1">BDP("45204FE3 Muni","BICS_LEVEL_2_INDUSTRY_GROUP_NAME")</f>
        <v>#NAME?</v>
      </c>
      <c r="K763" t="e">
        <f ca="1">BDP("45204FE3 Muni","SELF_REPRTD_GREEN_INSTR_INDCTR")</f>
        <v>#NAME?</v>
      </c>
      <c r="L763" t="e">
        <f ca="1">BDP("45204FE3 Muni","GB_MANAGEMENT_PROCEEDS")</f>
        <v>#NAME?</v>
      </c>
      <c r="M763" t="e">
        <f ca="1">BDP("45204FE3 Muni","GB_REPORTING")</f>
        <v>#NAME?</v>
      </c>
      <c r="N763" t="e">
        <f ca="1">BDP("45204FE3 Muni","GB_ASSURANCE_PROVIDERS")</f>
        <v>#NAME?</v>
      </c>
      <c r="O763" t="e">
        <f ca="1">BDP("45204FE3 Muni","GB_PROJECT_SELECTION_PROCESS")</f>
        <v>#NAME?</v>
      </c>
      <c r="P763" t="e">
        <f ca="1">BDP("45204FE3 Muni","ESG_FRAMEWORK_INDICATOR")</f>
        <v>#NAME?</v>
      </c>
      <c r="Q763" t="e">
        <f ca="1">BDP("45204FE3 Muni","BLOOMBERG_SECTOR_CODE")</f>
        <v>#NAME?</v>
      </c>
      <c r="R763" t="e">
        <f ca="1">BDP("45204FE3 Muni","ISSUER_TYPE")</f>
        <v>#NAME?</v>
      </c>
      <c r="S763" t="e">
        <f ca="1">BDS("45204FE3 Muni","ESG_PROJECT_CATEGORY", "aggregate=y")</f>
        <v>#NAME?</v>
      </c>
      <c r="T763" t="e">
        <f ca="1">BDS("45204FE3 Muni","ESG_PROJECT_SUBCATEGORY", "aggregate=y")</f>
        <v>#NAME?</v>
      </c>
    </row>
    <row r="764" spans="1:20" x14ac:dyDescent="0.25">
      <c r="A764" t="e">
        <f ca="1">BDP("45204FE8 Muni","ID_CUSIP")</f>
        <v>#NAME?</v>
      </c>
      <c r="B764" t="e">
        <f ca="1">BDP("45204FE8 Muni","STATE_CODE")</f>
        <v>#NAME?</v>
      </c>
      <c r="C764" t="s">
        <v>53</v>
      </c>
      <c r="D764" t="e">
        <f ca="1">BDP("45204FE8 Muni","YIELD_ON_ISSUE_DATE")</f>
        <v>#NAME?</v>
      </c>
      <c r="E764">
        <v>14325000</v>
      </c>
      <c r="F764" t="e">
        <f ca="1">BDP("45204FE8 Muni","ISSUE_DT")</f>
        <v>#NAME?</v>
      </c>
      <c r="G764" t="e">
        <f ca="1">BDP("45204FE8 Muni","MATURITY")</f>
        <v>#NAME?</v>
      </c>
      <c r="H764" t="e">
        <f ca="1">BDP("45204FE8 Muni","MUNI_TAX_PROV")</f>
        <v>#NAME?</v>
      </c>
      <c r="I764" t="e">
        <f ca="1">BDP("45204FE8 Muni","FINANCING_TYPE")</f>
        <v>#NAME?</v>
      </c>
      <c r="J764" t="e">
        <f ca="1">BDP("45204FE8 Muni","BICS_LEVEL_2_INDUSTRY_GROUP_NAME")</f>
        <v>#NAME?</v>
      </c>
      <c r="K764" t="e">
        <f ca="1">BDP("45204FE8 Muni","SELF_REPRTD_GREEN_INSTR_INDCTR")</f>
        <v>#NAME?</v>
      </c>
      <c r="L764" t="e">
        <f ca="1">BDP("45204FE8 Muni","GB_MANAGEMENT_PROCEEDS")</f>
        <v>#NAME?</v>
      </c>
      <c r="M764" t="e">
        <f ca="1">BDP("45204FE8 Muni","GB_REPORTING")</f>
        <v>#NAME?</v>
      </c>
      <c r="N764" t="e">
        <f ca="1">BDP("45204FE8 Muni","GB_ASSURANCE_PROVIDERS")</f>
        <v>#NAME?</v>
      </c>
      <c r="O764" t="e">
        <f ca="1">BDP("45204FE8 Muni","GB_PROJECT_SELECTION_PROCESS")</f>
        <v>#NAME?</v>
      </c>
      <c r="P764" t="e">
        <f ca="1">BDP("45204FE8 Muni","ESG_FRAMEWORK_INDICATOR")</f>
        <v>#NAME?</v>
      </c>
      <c r="Q764" t="e">
        <f ca="1">BDP("45204FE8 Muni","BLOOMBERG_SECTOR_CODE")</f>
        <v>#NAME?</v>
      </c>
      <c r="R764" t="e">
        <f ca="1">BDP("45204FE8 Muni","ISSUER_TYPE")</f>
        <v>#NAME?</v>
      </c>
      <c r="S764" t="e">
        <f ca="1">BDS("45204FE8 Muni","ESG_PROJECT_CATEGORY", "aggregate=y")</f>
        <v>#NAME?</v>
      </c>
      <c r="T764" t="e">
        <f ca="1">BDS("45204FE8 Muni","ESG_PROJECT_SUBCATEGORY", "aggregate=y")</f>
        <v>#NAME?</v>
      </c>
    </row>
    <row r="765" spans="1:20" x14ac:dyDescent="0.25">
      <c r="A765" t="e">
        <f ca="1">BDP("45204FF4 Muni","ID_CUSIP")</f>
        <v>#NAME?</v>
      </c>
      <c r="B765" t="e">
        <f ca="1">BDP("45204FF4 Muni","STATE_CODE")</f>
        <v>#NAME?</v>
      </c>
      <c r="C765" t="s">
        <v>53</v>
      </c>
      <c r="D765" t="e">
        <f ca="1">BDP("45204FF4 Muni","YIELD_ON_ISSUE_DATE")</f>
        <v>#NAME?</v>
      </c>
      <c r="E765">
        <v>12790000</v>
      </c>
      <c r="F765" t="e">
        <f ca="1">BDP("45204FF4 Muni","ISSUE_DT")</f>
        <v>#NAME?</v>
      </c>
      <c r="G765" t="e">
        <f ca="1">BDP("45204FF4 Muni","MATURITY")</f>
        <v>#NAME?</v>
      </c>
      <c r="H765" t="e">
        <f ca="1">BDP("45204FF4 Muni","MUNI_TAX_PROV")</f>
        <v>#NAME?</v>
      </c>
      <c r="I765" t="e">
        <f ca="1">BDP("45204FF4 Muni","FINANCING_TYPE")</f>
        <v>#NAME?</v>
      </c>
      <c r="J765" t="e">
        <f ca="1">BDP("45204FF4 Muni","BICS_LEVEL_2_INDUSTRY_GROUP_NAME")</f>
        <v>#NAME?</v>
      </c>
      <c r="K765" t="e">
        <f ca="1">BDP("45204FF4 Muni","SELF_REPRTD_GREEN_INSTR_INDCTR")</f>
        <v>#NAME?</v>
      </c>
      <c r="L765" t="e">
        <f ca="1">BDP("45204FF4 Muni","GB_MANAGEMENT_PROCEEDS")</f>
        <v>#NAME?</v>
      </c>
      <c r="M765" t="e">
        <f ca="1">BDP("45204FF4 Muni","GB_REPORTING")</f>
        <v>#NAME?</v>
      </c>
      <c r="N765" t="e">
        <f ca="1">BDP("45204FF4 Muni","GB_ASSURANCE_PROVIDERS")</f>
        <v>#NAME?</v>
      </c>
      <c r="O765" t="e">
        <f ca="1">BDP("45204FF4 Muni","GB_PROJECT_SELECTION_PROCESS")</f>
        <v>#NAME?</v>
      </c>
      <c r="P765" t="e">
        <f ca="1">BDP("45204FF4 Muni","ESG_FRAMEWORK_INDICATOR")</f>
        <v>#NAME?</v>
      </c>
      <c r="Q765" t="e">
        <f ca="1">BDP("45204FF4 Muni","BLOOMBERG_SECTOR_CODE")</f>
        <v>#NAME?</v>
      </c>
      <c r="R765" t="e">
        <f ca="1">BDP("45204FF4 Muni","ISSUER_TYPE")</f>
        <v>#NAME?</v>
      </c>
      <c r="S765" t="e">
        <f ca="1">BDS("45204FF4 Muni","ESG_PROJECT_CATEGORY", "aggregate=y")</f>
        <v>#NAME?</v>
      </c>
      <c r="T765" t="e">
        <f ca="1">BDS("45204FF4 Muni","ESG_PROJECT_SUBCATEGORY", "aggregate=y")</f>
        <v>#NAME?</v>
      </c>
    </row>
    <row r="766" spans="1:20" x14ac:dyDescent="0.25">
      <c r="A766" t="e">
        <f ca="1">BDP("45204FF6 Muni","ID_CUSIP")</f>
        <v>#NAME?</v>
      </c>
      <c r="B766" t="e">
        <f ca="1">BDP("45204FF6 Muni","STATE_CODE")</f>
        <v>#NAME?</v>
      </c>
      <c r="C766" t="s">
        <v>53</v>
      </c>
      <c r="D766" t="e">
        <f ca="1">BDP("45204FF6 Muni","YIELD_ON_ISSUE_DATE")</f>
        <v>#NAME?</v>
      </c>
      <c r="E766">
        <v>7370000</v>
      </c>
      <c r="F766" t="e">
        <f ca="1">BDP("45204FF6 Muni","ISSUE_DT")</f>
        <v>#NAME?</v>
      </c>
      <c r="G766" t="e">
        <f ca="1">BDP("45204FF6 Muni","MATURITY")</f>
        <v>#NAME?</v>
      </c>
      <c r="H766" t="e">
        <f ca="1">BDP("45204FF6 Muni","MUNI_TAX_PROV")</f>
        <v>#NAME?</v>
      </c>
      <c r="I766" t="e">
        <f ca="1">BDP("45204FF6 Muni","FINANCING_TYPE")</f>
        <v>#NAME?</v>
      </c>
      <c r="J766" t="e">
        <f ca="1">BDP("45204FF6 Muni","BICS_LEVEL_2_INDUSTRY_GROUP_NAME")</f>
        <v>#NAME?</v>
      </c>
      <c r="K766" t="e">
        <f ca="1">BDP("45204FF6 Muni","SELF_REPRTD_GREEN_INSTR_INDCTR")</f>
        <v>#NAME?</v>
      </c>
      <c r="L766" t="e">
        <f ca="1">BDP("45204FF6 Muni","GB_MANAGEMENT_PROCEEDS")</f>
        <v>#NAME?</v>
      </c>
      <c r="M766" t="e">
        <f ca="1">BDP("45204FF6 Muni","GB_REPORTING")</f>
        <v>#NAME?</v>
      </c>
      <c r="N766" t="e">
        <f ca="1">BDP("45204FF6 Muni","GB_ASSURANCE_PROVIDERS")</f>
        <v>#NAME?</v>
      </c>
      <c r="O766" t="e">
        <f ca="1">BDP("45204FF6 Muni","GB_PROJECT_SELECTION_PROCESS")</f>
        <v>#NAME?</v>
      </c>
      <c r="P766" t="e">
        <f ca="1">BDP("45204FF6 Muni","ESG_FRAMEWORK_INDICATOR")</f>
        <v>#NAME?</v>
      </c>
      <c r="Q766" t="e">
        <f ca="1">BDP("45204FF6 Muni","BLOOMBERG_SECTOR_CODE")</f>
        <v>#NAME?</v>
      </c>
      <c r="R766" t="e">
        <f ca="1">BDP("45204FF6 Muni","ISSUER_TYPE")</f>
        <v>#NAME?</v>
      </c>
      <c r="S766" t="e">
        <f ca="1">BDS("45204FF6 Muni","ESG_PROJECT_CATEGORY", "aggregate=y")</f>
        <v>#NAME?</v>
      </c>
      <c r="T766" t="e">
        <f ca="1">BDS("45204FF6 Muni","ESG_PROJECT_SUBCATEGORY", "aggregate=y")</f>
        <v>#NAME?</v>
      </c>
    </row>
    <row r="767" spans="1:20" x14ac:dyDescent="0.25">
      <c r="A767" t="e">
        <f ca="1">BDP("45204FF7 Muni","ID_CUSIP")</f>
        <v>#NAME?</v>
      </c>
      <c r="B767" t="e">
        <f ca="1">BDP("45204FF7 Muni","STATE_CODE")</f>
        <v>#NAME?</v>
      </c>
      <c r="C767" t="s">
        <v>53</v>
      </c>
      <c r="D767" t="e">
        <f ca="1">BDP("45204FF7 Muni","YIELD_ON_ISSUE_DATE")</f>
        <v>#NAME?</v>
      </c>
      <c r="E767">
        <v>540000</v>
      </c>
      <c r="F767" t="e">
        <f ca="1">BDP("45204FF7 Muni","ISSUE_DT")</f>
        <v>#NAME?</v>
      </c>
      <c r="G767" t="e">
        <f ca="1">BDP("45204FF7 Muni","MATURITY")</f>
        <v>#NAME?</v>
      </c>
      <c r="H767" t="e">
        <f ca="1">BDP("45204FF7 Muni","MUNI_TAX_PROV")</f>
        <v>#NAME?</v>
      </c>
      <c r="I767" t="e">
        <f ca="1">BDP("45204FF7 Muni","FINANCING_TYPE")</f>
        <v>#NAME?</v>
      </c>
      <c r="J767" t="e">
        <f ca="1">BDP("45204FF7 Muni","BICS_LEVEL_2_INDUSTRY_GROUP_NAME")</f>
        <v>#NAME?</v>
      </c>
      <c r="K767" t="e">
        <f ca="1">BDP("45204FF7 Muni","SELF_REPRTD_GREEN_INSTR_INDCTR")</f>
        <v>#NAME?</v>
      </c>
      <c r="L767" t="e">
        <f ca="1">BDP("45204FF7 Muni","GB_MANAGEMENT_PROCEEDS")</f>
        <v>#NAME?</v>
      </c>
      <c r="M767" t="e">
        <f ca="1">BDP("45204FF7 Muni","GB_REPORTING")</f>
        <v>#NAME?</v>
      </c>
      <c r="N767" t="e">
        <f ca="1">BDP("45204FF7 Muni","GB_ASSURANCE_PROVIDERS")</f>
        <v>#NAME?</v>
      </c>
      <c r="O767" t="e">
        <f ca="1">BDP("45204FF7 Muni","GB_PROJECT_SELECTION_PROCESS")</f>
        <v>#NAME?</v>
      </c>
      <c r="P767" t="e">
        <f ca="1">BDP("45204FF7 Muni","ESG_FRAMEWORK_INDICATOR")</f>
        <v>#NAME?</v>
      </c>
      <c r="Q767" t="e">
        <f ca="1">BDP("45204FF7 Muni","BLOOMBERG_SECTOR_CODE")</f>
        <v>#NAME?</v>
      </c>
      <c r="R767" t="e">
        <f ca="1">BDP("45204FF7 Muni","ISSUER_TYPE")</f>
        <v>#NAME?</v>
      </c>
      <c r="S767" t="e">
        <f ca="1">BDS("45204FF7 Muni","ESG_PROJECT_CATEGORY", "aggregate=y")</f>
        <v>#NAME?</v>
      </c>
      <c r="T767" t="e">
        <f ca="1">BDS("45204FF7 Muni","ESG_PROJECT_SUBCATEGORY", "aggregate=y")</f>
        <v>#NAME?</v>
      </c>
    </row>
    <row r="768" spans="1:20" x14ac:dyDescent="0.25">
      <c r="A768" t="e">
        <f ca="1">BDP("45204FF8 Muni","ID_CUSIP")</f>
        <v>#NAME?</v>
      </c>
      <c r="B768" t="e">
        <f ca="1">BDP("45204FF8 Muni","STATE_CODE")</f>
        <v>#NAME?</v>
      </c>
      <c r="C768" t="s">
        <v>53</v>
      </c>
      <c r="D768" t="e">
        <f ca="1">BDP("45204FF8 Muni","YIELD_ON_ISSUE_DATE")</f>
        <v>#NAME?</v>
      </c>
      <c r="E768">
        <v>1105000</v>
      </c>
      <c r="F768" t="e">
        <f ca="1">BDP("45204FF8 Muni","ISSUE_DT")</f>
        <v>#NAME?</v>
      </c>
      <c r="G768" t="e">
        <f ca="1">BDP("45204FF8 Muni","MATURITY")</f>
        <v>#NAME?</v>
      </c>
      <c r="H768" t="e">
        <f ca="1">BDP("45204FF8 Muni","MUNI_TAX_PROV")</f>
        <v>#NAME?</v>
      </c>
      <c r="I768" t="e">
        <f ca="1">BDP("45204FF8 Muni","FINANCING_TYPE")</f>
        <v>#NAME?</v>
      </c>
      <c r="J768" t="e">
        <f ca="1">BDP("45204FF8 Muni","BICS_LEVEL_2_INDUSTRY_GROUP_NAME")</f>
        <v>#NAME?</v>
      </c>
      <c r="K768" t="e">
        <f ca="1">BDP("45204FF8 Muni","SELF_REPRTD_GREEN_INSTR_INDCTR")</f>
        <v>#NAME?</v>
      </c>
      <c r="L768" t="e">
        <f ca="1">BDP("45204FF8 Muni","GB_MANAGEMENT_PROCEEDS")</f>
        <v>#NAME?</v>
      </c>
      <c r="M768" t="e">
        <f ca="1">BDP("45204FF8 Muni","GB_REPORTING")</f>
        <v>#NAME?</v>
      </c>
      <c r="N768" t="e">
        <f ca="1">BDP("45204FF8 Muni","GB_ASSURANCE_PROVIDERS")</f>
        <v>#NAME?</v>
      </c>
      <c r="O768" t="e">
        <f ca="1">BDP("45204FF8 Muni","GB_PROJECT_SELECTION_PROCESS")</f>
        <v>#NAME?</v>
      </c>
      <c r="P768" t="e">
        <f ca="1">BDP("45204FF8 Muni","ESG_FRAMEWORK_INDICATOR")</f>
        <v>#NAME?</v>
      </c>
      <c r="Q768" t="e">
        <f ca="1">BDP("45204FF8 Muni","BLOOMBERG_SECTOR_CODE")</f>
        <v>#NAME?</v>
      </c>
      <c r="R768" t="e">
        <f ca="1">BDP("45204FF8 Muni","ISSUER_TYPE")</f>
        <v>#NAME?</v>
      </c>
      <c r="S768" t="e">
        <f ca="1">BDS("45204FF8 Muni","ESG_PROJECT_CATEGORY", "aggregate=y")</f>
        <v>#NAME?</v>
      </c>
      <c r="T768" t="e">
        <f ca="1">BDS("45204FF8 Muni","ESG_PROJECT_SUBCATEGORY", "aggregate=y")</f>
        <v>#NAME?</v>
      </c>
    </row>
    <row r="769" spans="1:20" x14ac:dyDescent="0.25">
      <c r="A769" t="e">
        <f ca="1">BDP("45204FG2 Muni","ID_CUSIP")</f>
        <v>#NAME?</v>
      </c>
      <c r="B769" t="e">
        <f ca="1">BDP("45204FG2 Muni","STATE_CODE")</f>
        <v>#NAME?</v>
      </c>
      <c r="C769" t="s">
        <v>53</v>
      </c>
      <c r="D769" t="e">
        <f ca="1">BDP("45204FG2 Muni","YIELD_ON_ISSUE_DATE")</f>
        <v>#NAME?</v>
      </c>
      <c r="E769">
        <v>15340000</v>
      </c>
      <c r="F769" t="e">
        <f ca="1">BDP("45204FG2 Muni","ISSUE_DT")</f>
        <v>#NAME?</v>
      </c>
      <c r="G769" t="e">
        <f ca="1">BDP("45204FG2 Muni","MATURITY")</f>
        <v>#NAME?</v>
      </c>
      <c r="H769" t="e">
        <f ca="1">BDP("45204FG2 Muni","MUNI_TAX_PROV")</f>
        <v>#NAME?</v>
      </c>
      <c r="I769" t="e">
        <f ca="1">BDP("45204FG2 Muni","FINANCING_TYPE")</f>
        <v>#NAME?</v>
      </c>
      <c r="J769" t="e">
        <f ca="1">BDP("45204FG2 Muni","BICS_LEVEL_2_INDUSTRY_GROUP_NAME")</f>
        <v>#NAME?</v>
      </c>
      <c r="K769" t="e">
        <f ca="1">BDP("45204FG2 Muni","SELF_REPRTD_GREEN_INSTR_INDCTR")</f>
        <v>#NAME?</v>
      </c>
      <c r="L769" t="e">
        <f ca="1">BDP("45204FG2 Muni","GB_MANAGEMENT_PROCEEDS")</f>
        <v>#NAME?</v>
      </c>
      <c r="M769" t="e">
        <f ca="1">BDP("45204FG2 Muni","GB_REPORTING")</f>
        <v>#NAME?</v>
      </c>
      <c r="N769" t="e">
        <f ca="1">BDP("45204FG2 Muni","GB_ASSURANCE_PROVIDERS")</f>
        <v>#NAME?</v>
      </c>
      <c r="O769" t="e">
        <f ca="1">BDP("45204FG2 Muni","GB_PROJECT_SELECTION_PROCESS")</f>
        <v>#NAME?</v>
      </c>
      <c r="P769" t="e">
        <f ca="1">BDP("45204FG2 Muni","ESG_FRAMEWORK_INDICATOR")</f>
        <v>#NAME?</v>
      </c>
      <c r="Q769" t="e">
        <f ca="1">BDP("45204FG2 Muni","BLOOMBERG_SECTOR_CODE")</f>
        <v>#NAME?</v>
      </c>
      <c r="R769" t="e">
        <f ca="1">BDP("45204FG2 Muni","ISSUER_TYPE")</f>
        <v>#NAME?</v>
      </c>
      <c r="S769" t="e">
        <f ca="1">BDS("45204FG2 Muni","ESG_PROJECT_CATEGORY", "aggregate=y")</f>
        <v>#NAME?</v>
      </c>
      <c r="T769" t="e">
        <f ca="1">BDS("45204FG2 Muni","ESG_PROJECT_SUBCATEGORY", "aggregate=y")</f>
        <v>#NAME?</v>
      </c>
    </row>
    <row r="770" spans="1:20" x14ac:dyDescent="0.25">
      <c r="A770" t="e">
        <f ca="1">BDP("45204FG3 Muni","ID_CUSIP")</f>
        <v>#NAME?</v>
      </c>
      <c r="B770" t="e">
        <f ca="1">BDP("45204FG3 Muni","STATE_CODE")</f>
        <v>#NAME?</v>
      </c>
      <c r="C770" t="s">
        <v>53</v>
      </c>
      <c r="D770" t="e">
        <f ca="1">BDP("45204FG3 Muni","YIELD_ON_ISSUE_DATE")</f>
        <v>#NAME?</v>
      </c>
      <c r="E770">
        <v>14365000</v>
      </c>
      <c r="F770" t="e">
        <f ca="1">BDP("45204FG3 Muni","ISSUE_DT")</f>
        <v>#NAME?</v>
      </c>
      <c r="G770" t="e">
        <f ca="1">BDP("45204FG3 Muni","MATURITY")</f>
        <v>#NAME?</v>
      </c>
      <c r="H770" t="e">
        <f ca="1">BDP("45204FG3 Muni","MUNI_TAX_PROV")</f>
        <v>#NAME?</v>
      </c>
      <c r="I770" t="e">
        <f ca="1">BDP("45204FG3 Muni","FINANCING_TYPE")</f>
        <v>#NAME?</v>
      </c>
      <c r="J770" t="e">
        <f ca="1">BDP("45204FG3 Muni","BICS_LEVEL_2_INDUSTRY_GROUP_NAME")</f>
        <v>#NAME?</v>
      </c>
      <c r="K770" t="e">
        <f ca="1">BDP("45204FG3 Muni","SELF_REPRTD_GREEN_INSTR_INDCTR")</f>
        <v>#NAME?</v>
      </c>
      <c r="L770" t="e">
        <f ca="1">BDP("45204FG3 Muni","GB_MANAGEMENT_PROCEEDS")</f>
        <v>#NAME?</v>
      </c>
      <c r="M770" t="e">
        <f ca="1">BDP("45204FG3 Muni","GB_REPORTING")</f>
        <v>#NAME?</v>
      </c>
      <c r="N770" t="e">
        <f ca="1">BDP("45204FG3 Muni","GB_ASSURANCE_PROVIDERS")</f>
        <v>#NAME?</v>
      </c>
      <c r="O770" t="e">
        <f ca="1">BDP("45204FG3 Muni","GB_PROJECT_SELECTION_PROCESS")</f>
        <v>#NAME?</v>
      </c>
      <c r="P770" t="e">
        <f ca="1">BDP("45204FG3 Muni","ESG_FRAMEWORK_INDICATOR")</f>
        <v>#NAME?</v>
      </c>
      <c r="Q770" t="e">
        <f ca="1">BDP("45204FG3 Muni","BLOOMBERG_SECTOR_CODE")</f>
        <v>#NAME?</v>
      </c>
      <c r="R770" t="e">
        <f ca="1">BDP("45204FG3 Muni","ISSUER_TYPE")</f>
        <v>#NAME?</v>
      </c>
      <c r="S770" t="e">
        <f ca="1">BDS("45204FG3 Muni","ESG_PROJECT_CATEGORY", "aggregate=y")</f>
        <v>#NAME?</v>
      </c>
      <c r="T770" t="e">
        <f ca="1">BDS("45204FG3 Muni","ESG_PROJECT_SUBCATEGORY", "aggregate=y")</f>
        <v>#NAME?</v>
      </c>
    </row>
    <row r="771" spans="1:20" x14ac:dyDescent="0.25">
      <c r="A771" t="e">
        <f ca="1">BDP("45204FG4 Muni","ID_CUSIP")</f>
        <v>#NAME?</v>
      </c>
      <c r="B771" t="e">
        <f ca="1">BDP("45204FG4 Muni","STATE_CODE")</f>
        <v>#NAME?</v>
      </c>
      <c r="C771" t="s">
        <v>53</v>
      </c>
      <c r="D771" t="e">
        <f ca="1">BDP("45204FG4 Muni","YIELD_ON_ISSUE_DATE")</f>
        <v>#NAME?</v>
      </c>
      <c r="E771">
        <v>13325000</v>
      </c>
      <c r="F771" t="e">
        <f ca="1">BDP("45204FG4 Muni","ISSUE_DT")</f>
        <v>#NAME?</v>
      </c>
      <c r="G771" t="e">
        <f ca="1">BDP("45204FG4 Muni","MATURITY")</f>
        <v>#NAME?</v>
      </c>
      <c r="H771" t="e">
        <f ca="1">BDP("45204FG4 Muni","MUNI_TAX_PROV")</f>
        <v>#NAME?</v>
      </c>
      <c r="I771" t="e">
        <f ca="1">BDP("45204FG4 Muni","FINANCING_TYPE")</f>
        <v>#NAME?</v>
      </c>
      <c r="J771" t="e">
        <f ca="1">BDP("45204FG4 Muni","BICS_LEVEL_2_INDUSTRY_GROUP_NAME")</f>
        <v>#NAME?</v>
      </c>
      <c r="K771" t="e">
        <f ca="1">BDP("45204FG4 Muni","SELF_REPRTD_GREEN_INSTR_INDCTR")</f>
        <v>#NAME?</v>
      </c>
      <c r="L771" t="e">
        <f ca="1">BDP("45204FG4 Muni","GB_MANAGEMENT_PROCEEDS")</f>
        <v>#NAME?</v>
      </c>
      <c r="M771" t="e">
        <f ca="1">BDP("45204FG4 Muni","GB_REPORTING")</f>
        <v>#NAME?</v>
      </c>
      <c r="N771" t="e">
        <f ca="1">BDP("45204FG4 Muni","GB_ASSURANCE_PROVIDERS")</f>
        <v>#NAME?</v>
      </c>
      <c r="O771" t="e">
        <f ca="1">BDP("45204FG4 Muni","GB_PROJECT_SELECTION_PROCESS")</f>
        <v>#NAME?</v>
      </c>
      <c r="P771" t="e">
        <f ca="1">BDP("45204FG4 Muni","ESG_FRAMEWORK_INDICATOR")</f>
        <v>#NAME?</v>
      </c>
      <c r="Q771" t="e">
        <f ca="1">BDP("45204FG4 Muni","BLOOMBERG_SECTOR_CODE")</f>
        <v>#NAME?</v>
      </c>
      <c r="R771" t="e">
        <f ca="1">BDP("45204FG4 Muni","ISSUER_TYPE")</f>
        <v>#NAME?</v>
      </c>
      <c r="S771" t="e">
        <f ca="1">BDS("45204FG4 Muni","ESG_PROJECT_CATEGORY", "aggregate=y")</f>
        <v>#NAME?</v>
      </c>
      <c r="T771" t="e">
        <f ca="1">BDS("45204FG4 Muni","ESG_PROJECT_SUBCATEGORY", "aggregate=y")</f>
        <v>#NAME?</v>
      </c>
    </row>
    <row r="772" spans="1:20" x14ac:dyDescent="0.25">
      <c r="A772" t="e">
        <f ca="1">BDP("45204FG5 Muni","ID_CUSIP")</f>
        <v>#NAME?</v>
      </c>
      <c r="B772" t="e">
        <f ca="1">BDP("45204FG5 Muni","STATE_CODE")</f>
        <v>#NAME?</v>
      </c>
      <c r="C772" t="s">
        <v>53</v>
      </c>
      <c r="D772" t="e">
        <f ca="1">BDP("45204FG5 Muni","YIELD_ON_ISSUE_DATE")</f>
        <v>#NAME?</v>
      </c>
      <c r="E772">
        <v>2645000</v>
      </c>
      <c r="F772" t="e">
        <f ca="1">BDP("45204FG5 Muni","ISSUE_DT")</f>
        <v>#NAME?</v>
      </c>
      <c r="G772" t="e">
        <f ca="1">BDP("45204FG5 Muni","MATURITY")</f>
        <v>#NAME?</v>
      </c>
      <c r="H772" t="e">
        <f ca="1">BDP("45204FG5 Muni","MUNI_TAX_PROV")</f>
        <v>#NAME?</v>
      </c>
      <c r="I772" t="e">
        <f ca="1">BDP("45204FG5 Muni","FINANCING_TYPE")</f>
        <v>#NAME?</v>
      </c>
      <c r="J772" t="e">
        <f ca="1">BDP("45204FG5 Muni","BICS_LEVEL_2_INDUSTRY_GROUP_NAME")</f>
        <v>#NAME?</v>
      </c>
      <c r="K772" t="e">
        <f ca="1">BDP("45204FG5 Muni","SELF_REPRTD_GREEN_INSTR_INDCTR")</f>
        <v>#NAME?</v>
      </c>
      <c r="L772" t="e">
        <f ca="1">BDP("45204FG5 Muni","GB_MANAGEMENT_PROCEEDS")</f>
        <v>#NAME?</v>
      </c>
      <c r="M772" t="e">
        <f ca="1">BDP("45204FG5 Muni","GB_REPORTING")</f>
        <v>#NAME?</v>
      </c>
      <c r="N772" t="e">
        <f ca="1">BDP("45204FG5 Muni","GB_ASSURANCE_PROVIDERS")</f>
        <v>#NAME?</v>
      </c>
      <c r="O772" t="e">
        <f ca="1">BDP("45204FG5 Muni","GB_PROJECT_SELECTION_PROCESS")</f>
        <v>#NAME?</v>
      </c>
      <c r="P772" t="e">
        <f ca="1">BDP("45204FG5 Muni","ESG_FRAMEWORK_INDICATOR")</f>
        <v>#NAME?</v>
      </c>
      <c r="Q772" t="e">
        <f ca="1">BDP("45204FG5 Muni","BLOOMBERG_SECTOR_CODE")</f>
        <v>#NAME?</v>
      </c>
      <c r="R772" t="e">
        <f ca="1">BDP("45204FG5 Muni","ISSUER_TYPE")</f>
        <v>#NAME?</v>
      </c>
      <c r="S772" t="e">
        <f ca="1">BDS("45204FG5 Muni","ESG_PROJECT_CATEGORY", "aggregate=y")</f>
        <v>#NAME?</v>
      </c>
      <c r="T772" t="e">
        <f ca="1">BDS("45204FG5 Muni","ESG_PROJECT_SUBCATEGORY", "aggregate=y")</f>
        <v>#NAME?</v>
      </c>
    </row>
    <row r="773" spans="1:20" x14ac:dyDescent="0.25">
      <c r="A773" t="e">
        <f ca="1">BDP("45204FG6 Muni","ID_CUSIP")</f>
        <v>#NAME?</v>
      </c>
      <c r="B773" t="e">
        <f ca="1">BDP("45204FG6 Muni","STATE_CODE")</f>
        <v>#NAME?</v>
      </c>
      <c r="C773" t="s">
        <v>53</v>
      </c>
      <c r="D773" t="e">
        <f ca="1">BDP("45204FG6 Muni","YIELD_ON_ISSUE_DATE")</f>
        <v>#NAME?</v>
      </c>
      <c r="E773">
        <v>4430000</v>
      </c>
      <c r="F773" t="e">
        <f ca="1">BDP("45204FG6 Muni","ISSUE_DT")</f>
        <v>#NAME?</v>
      </c>
      <c r="G773" t="e">
        <f ca="1">BDP("45204FG6 Muni","MATURITY")</f>
        <v>#NAME?</v>
      </c>
      <c r="H773" t="e">
        <f ca="1">BDP("45204FG6 Muni","MUNI_TAX_PROV")</f>
        <v>#NAME?</v>
      </c>
      <c r="I773" t="e">
        <f ca="1">BDP("45204FG6 Muni","FINANCING_TYPE")</f>
        <v>#NAME?</v>
      </c>
      <c r="J773" t="e">
        <f ca="1">BDP("45204FG6 Muni","BICS_LEVEL_2_INDUSTRY_GROUP_NAME")</f>
        <v>#NAME?</v>
      </c>
      <c r="K773" t="e">
        <f ca="1">BDP("45204FG6 Muni","SELF_REPRTD_GREEN_INSTR_INDCTR")</f>
        <v>#NAME?</v>
      </c>
      <c r="L773" t="e">
        <f ca="1">BDP("45204FG6 Muni","GB_MANAGEMENT_PROCEEDS")</f>
        <v>#NAME?</v>
      </c>
      <c r="M773" t="e">
        <f ca="1">BDP("45204FG6 Muni","GB_REPORTING")</f>
        <v>#NAME?</v>
      </c>
      <c r="N773" t="e">
        <f ca="1">BDP("45204FG6 Muni","GB_ASSURANCE_PROVIDERS")</f>
        <v>#NAME?</v>
      </c>
      <c r="O773" t="e">
        <f ca="1">BDP("45204FG6 Muni","GB_PROJECT_SELECTION_PROCESS")</f>
        <v>#NAME?</v>
      </c>
      <c r="P773" t="e">
        <f ca="1">BDP("45204FG6 Muni","ESG_FRAMEWORK_INDICATOR")</f>
        <v>#NAME?</v>
      </c>
      <c r="Q773" t="e">
        <f ca="1">BDP("45204FG6 Muni","BLOOMBERG_SECTOR_CODE")</f>
        <v>#NAME?</v>
      </c>
      <c r="R773" t="e">
        <f ca="1">BDP("45204FG6 Muni","ISSUER_TYPE")</f>
        <v>#NAME?</v>
      </c>
      <c r="S773" t="e">
        <f ca="1">BDS("45204FG6 Muni","ESG_PROJECT_CATEGORY", "aggregate=y")</f>
        <v>#NAME?</v>
      </c>
      <c r="T773" t="e">
        <f ca="1">BDS("45204FG6 Muni","ESG_PROJECT_SUBCATEGORY", "aggregate=y")</f>
        <v>#NAME?</v>
      </c>
    </row>
    <row r="774" spans="1:20" x14ac:dyDescent="0.25">
      <c r="A774" t="e">
        <f ca="1">BDP("45204FG7 Muni","ID_CUSIP")</f>
        <v>#NAME?</v>
      </c>
      <c r="B774" t="e">
        <f ca="1">BDP("45204FG7 Muni","STATE_CODE")</f>
        <v>#NAME?</v>
      </c>
      <c r="C774" t="s">
        <v>53</v>
      </c>
      <c r="D774" t="e">
        <f ca="1">BDP("45204FG7 Muni","YIELD_ON_ISSUE_DATE")</f>
        <v>#NAME?</v>
      </c>
      <c r="E774">
        <v>5675000</v>
      </c>
      <c r="F774" t="e">
        <f ca="1">BDP("45204FG7 Muni","ISSUE_DT")</f>
        <v>#NAME?</v>
      </c>
      <c r="G774" t="e">
        <f ca="1">BDP("45204FG7 Muni","MATURITY")</f>
        <v>#NAME?</v>
      </c>
      <c r="H774" t="e">
        <f ca="1">BDP("45204FG7 Muni","MUNI_TAX_PROV")</f>
        <v>#NAME?</v>
      </c>
      <c r="I774" t="e">
        <f ca="1">BDP("45204FG7 Muni","FINANCING_TYPE")</f>
        <v>#NAME?</v>
      </c>
      <c r="J774" t="e">
        <f ca="1">BDP("45204FG7 Muni","BICS_LEVEL_2_INDUSTRY_GROUP_NAME")</f>
        <v>#NAME?</v>
      </c>
      <c r="K774" t="e">
        <f ca="1">BDP("45204FG7 Muni","SELF_REPRTD_GREEN_INSTR_INDCTR")</f>
        <v>#NAME?</v>
      </c>
      <c r="L774" t="e">
        <f ca="1">BDP("45204FG7 Muni","GB_MANAGEMENT_PROCEEDS")</f>
        <v>#NAME?</v>
      </c>
      <c r="M774" t="e">
        <f ca="1">BDP("45204FG7 Muni","GB_REPORTING")</f>
        <v>#NAME?</v>
      </c>
      <c r="N774" t="e">
        <f ca="1">BDP("45204FG7 Muni","GB_ASSURANCE_PROVIDERS")</f>
        <v>#NAME?</v>
      </c>
      <c r="O774" t="e">
        <f ca="1">BDP("45204FG7 Muni","GB_PROJECT_SELECTION_PROCESS")</f>
        <v>#NAME?</v>
      </c>
      <c r="P774" t="e">
        <f ca="1">BDP("45204FG7 Muni","ESG_FRAMEWORK_INDICATOR")</f>
        <v>#NAME?</v>
      </c>
      <c r="Q774" t="e">
        <f ca="1">BDP("45204FG7 Muni","BLOOMBERG_SECTOR_CODE")</f>
        <v>#NAME?</v>
      </c>
      <c r="R774" t="e">
        <f ca="1">BDP("45204FG7 Muni","ISSUER_TYPE")</f>
        <v>#NAME?</v>
      </c>
      <c r="S774" t="e">
        <f ca="1">BDS("45204FG7 Muni","ESG_PROJECT_CATEGORY", "aggregate=y")</f>
        <v>#NAME?</v>
      </c>
      <c r="T774" t="e">
        <f ca="1">BDS("45204FG7 Muni","ESG_PROJECT_SUBCATEGORY", "aggregate=y")</f>
        <v>#NAME?</v>
      </c>
    </row>
    <row r="775" spans="1:20" x14ac:dyDescent="0.25">
      <c r="A775" t="e">
        <f ca="1">BDP("45204FG8 Muni","ID_CUSIP")</f>
        <v>#NAME?</v>
      </c>
      <c r="B775" t="e">
        <f ca="1">BDP("45204FG8 Muni","STATE_CODE")</f>
        <v>#NAME?</v>
      </c>
      <c r="C775" t="s">
        <v>53</v>
      </c>
      <c r="D775" t="e">
        <f ca="1">BDP("45204FG8 Muni","YIELD_ON_ISSUE_DATE")</f>
        <v>#NAME?</v>
      </c>
      <c r="E775">
        <v>3220000</v>
      </c>
      <c r="F775" t="e">
        <f ca="1">BDP("45204FG8 Muni","ISSUE_DT")</f>
        <v>#NAME?</v>
      </c>
      <c r="G775" t="e">
        <f ca="1">BDP("45204FG8 Muni","MATURITY")</f>
        <v>#NAME?</v>
      </c>
      <c r="H775" t="e">
        <f ca="1">BDP("45204FG8 Muni","MUNI_TAX_PROV")</f>
        <v>#NAME?</v>
      </c>
      <c r="I775" t="e">
        <f ca="1">BDP("45204FG8 Muni","FINANCING_TYPE")</f>
        <v>#NAME?</v>
      </c>
      <c r="J775" t="e">
        <f ca="1">BDP("45204FG8 Muni","BICS_LEVEL_2_INDUSTRY_GROUP_NAME")</f>
        <v>#NAME?</v>
      </c>
      <c r="K775" t="e">
        <f ca="1">BDP("45204FG8 Muni","SELF_REPRTD_GREEN_INSTR_INDCTR")</f>
        <v>#NAME?</v>
      </c>
      <c r="L775" t="e">
        <f ca="1">BDP("45204FG8 Muni","GB_MANAGEMENT_PROCEEDS")</f>
        <v>#NAME?</v>
      </c>
      <c r="M775" t="e">
        <f ca="1">BDP("45204FG8 Muni","GB_REPORTING")</f>
        <v>#NAME?</v>
      </c>
      <c r="N775" t="e">
        <f ca="1">BDP("45204FG8 Muni","GB_ASSURANCE_PROVIDERS")</f>
        <v>#NAME?</v>
      </c>
      <c r="O775" t="e">
        <f ca="1">BDP("45204FG8 Muni","GB_PROJECT_SELECTION_PROCESS")</f>
        <v>#NAME?</v>
      </c>
      <c r="P775" t="e">
        <f ca="1">BDP("45204FG8 Muni","ESG_FRAMEWORK_INDICATOR")</f>
        <v>#NAME?</v>
      </c>
      <c r="Q775" t="e">
        <f ca="1">BDP("45204FG8 Muni","BLOOMBERG_SECTOR_CODE")</f>
        <v>#NAME?</v>
      </c>
      <c r="R775" t="e">
        <f ca="1">BDP("45204FG8 Muni","ISSUER_TYPE")</f>
        <v>#NAME?</v>
      </c>
      <c r="S775" t="e">
        <f ca="1">BDS("45204FG8 Muni","ESG_PROJECT_CATEGORY", "aggregate=y")</f>
        <v>#NAME?</v>
      </c>
      <c r="T775" t="e">
        <f ca="1">BDS("45204FG8 Muni","ESG_PROJECT_SUBCATEGORY", "aggregate=y")</f>
        <v>#NAME?</v>
      </c>
    </row>
    <row r="776" spans="1:20" x14ac:dyDescent="0.25">
      <c r="A776" t="e">
        <f ca="1">BDP("45204FG9 Muni","ID_CUSIP")</f>
        <v>#NAME?</v>
      </c>
      <c r="B776" t="e">
        <f ca="1">BDP("45204FG9 Muni","STATE_CODE")</f>
        <v>#NAME?</v>
      </c>
      <c r="C776" t="s">
        <v>53</v>
      </c>
      <c r="D776" t="e">
        <f ca="1">BDP("45204FG9 Muni","YIELD_ON_ISSUE_DATE")</f>
        <v>#NAME?</v>
      </c>
      <c r="E776">
        <v>5140000</v>
      </c>
      <c r="F776" t="e">
        <f ca="1">BDP("45204FG9 Muni","ISSUE_DT")</f>
        <v>#NAME?</v>
      </c>
      <c r="G776" t="e">
        <f ca="1">BDP("45204FG9 Muni","MATURITY")</f>
        <v>#NAME?</v>
      </c>
      <c r="H776" t="e">
        <f ca="1">BDP("45204FG9 Muni","MUNI_TAX_PROV")</f>
        <v>#NAME?</v>
      </c>
      <c r="I776" t="e">
        <f ca="1">BDP("45204FG9 Muni","FINANCING_TYPE")</f>
        <v>#NAME?</v>
      </c>
      <c r="J776" t="e">
        <f ca="1">BDP("45204FG9 Muni","BICS_LEVEL_2_INDUSTRY_GROUP_NAME")</f>
        <v>#NAME?</v>
      </c>
      <c r="K776" t="e">
        <f ca="1">BDP("45204FG9 Muni","SELF_REPRTD_GREEN_INSTR_INDCTR")</f>
        <v>#NAME?</v>
      </c>
      <c r="L776" t="e">
        <f ca="1">BDP("45204FG9 Muni","GB_MANAGEMENT_PROCEEDS")</f>
        <v>#NAME?</v>
      </c>
      <c r="M776" t="e">
        <f ca="1">BDP("45204FG9 Muni","GB_REPORTING")</f>
        <v>#NAME?</v>
      </c>
      <c r="N776" t="e">
        <f ca="1">BDP("45204FG9 Muni","GB_ASSURANCE_PROVIDERS")</f>
        <v>#NAME?</v>
      </c>
      <c r="O776" t="e">
        <f ca="1">BDP("45204FG9 Muni","GB_PROJECT_SELECTION_PROCESS")</f>
        <v>#NAME?</v>
      </c>
      <c r="P776" t="e">
        <f ca="1">BDP("45204FG9 Muni","ESG_FRAMEWORK_INDICATOR")</f>
        <v>#NAME?</v>
      </c>
      <c r="Q776" t="e">
        <f ca="1">BDP("45204FG9 Muni","BLOOMBERG_SECTOR_CODE")</f>
        <v>#NAME?</v>
      </c>
      <c r="R776" t="e">
        <f ca="1">BDP("45204FG9 Muni","ISSUER_TYPE")</f>
        <v>#NAME?</v>
      </c>
      <c r="S776" t="e">
        <f ca="1">BDS("45204FG9 Muni","ESG_PROJECT_CATEGORY", "aggregate=y")</f>
        <v>#NAME?</v>
      </c>
      <c r="T776" t="e">
        <f ca="1">BDS("45204FG9 Muni","ESG_PROJECT_SUBCATEGORY", "aggregate=y")</f>
        <v>#NAME?</v>
      </c>
    </row>
    <row r="777" spans="1:20" x14ac:dyDescent="0.25">
      <c r="A777" t="e">
        <f ca="1">BDP("45204FH2 Muni","ID_CUSIP")</f>
        <v>#NAME?</v>
      </c>
      <c r="B777" t="e">
        <f ca="1">BDP("45204FH2 Muni","STATE_CODE")</f>
        <v>#NAME?</v>
      </c>
      <c r="C777" t="s">
        <v>53</v>
      </c>
      <c r="D777" t="e">
        <f ca="1">BDP("45204FH2 Muni","YIELD_ON_ISSUE_DATE")</f>
        <v>#NAME?</v>
      </c>
      <c r="E777">
        <v>8205000</v>
      </c>
      <c r="F777" t="e">
        <f ca="1">BDP("45204FH2 Muni","ISSUE_DT")</f>
        <v>#NAME?</v>
      </c>
      <c r="G777" t="e">
        <f ca="1">BDP("45204FH2 Muni","MATURITY")</f>
        <v>#NAME?</v>
      </c>
      <c r="H777" t="e">
        <f ca="1">BDP("45204FH2 Muni","MUNI_TAX_PROV")</f>
        <v>#NAME?</v>
      </c>
      <c r="I777" t="e">
        <f ca="1">BDP("45204FH2 Muni","FINANCING_TYPE")</f>
        <v>#NAME?</v>
      </c>
      <c r="J777" t="e">
        <f ca="1">BDP("45204FH2 Muni","BICS_LEVEL_2_INDUSTRY_GROUP_NAME")</f>
        <v>#NAME?</v>
      </c>
      <c r="K777" t="e">
        <f ca="1">BDP("45204FH2 Muni","SELF_REPRTD_GREEN_INSTR_INDCTR")</f>
        <v>#NAME?</v>
      </c>
      <c r="L777" t="e">
        <f ca="1">BDP("45204FH2 Muni","GB_MANAGEMENT_PROCEEDS")</f>
        <v>#NAME?</v>
      </c>
      <c r="M777" t="e">
        <f ca="1">BDP("45204FH2 Muni","GB_REPORTING")</f>
        <v>#NAME?</v>
      </c>
      <c r="N777" t="e">
        <f ca="1">BDP("45204FH2 Muni","GB_ASSURANCE_PROVIDERS")</f>
        <v>#NAME?</v>
      </c>
      <c r="O777" t="e">
        <f ca="1">BDP("45204FH2 Muni","GB_PROJECT_SELECTION_PROCESS")</f>
        <v>#NAME?</v>
      </c>
      <c r="P777" t="e">
        <f ca="1">BDP("45204FH2 Muni","ESG_FRAMEWORK_INDICATOR")</f>
        <v>#NAME?</v>
      </c>
      <c r="Q777" t="e">
        <f ca="1">BDP("45204FH2 Muni","BLOOMBERG_SECTOR_CODE")</f>
        <v>#NAME?</v>
      </c>
      <c r="R777" t="e">
        <f ca="1">BDP("45204FH2 Muni","ISSUER_TYPE")</f>
        <v>#NAME?</v>
      </c>
      <c r="S777" t="e">
        <f ca="1">BDS("45204FH2 Muni","ESG_PROJECT_CATEGORY", "aggregate=y")</f>
        <v>#NAME?</v>
      </c>
      <c r="T777" t="e">
        <f ca="1">BDS("45204FH2 Muni","ESG_PROJECT_SUBCATEGORY", "aggregate=y")</f>
        <v>#NAME?</v>
      </c>
    </row>
    <row r="778" spans="1:20" x14ac:dyDescent="0.25">
      <c r="A778" t="e">
        <f ca="1">BDP("45204FH3 Muni","ID_CUSIP")</f>
        <v>#NAME?</v>
      </c>
      <c r="B778" t="e">
        <f ca="1">BDP("45204FH3 Muni","STATE_CODE")</f>
        <v>#NAME?</v>
      </c>
      <c r="C778" t="s">
        <v>53</v>
      </c>
      <c r="D778" t="e">
        <f ca="1">BDP("45204FH3 Muni","YIELD_ON_ISSUE_DATE")</f>
        <v>#NAME?</v>
      </c>
      <c r="E778">
        <v>1585000</v>
      </c>
      <c r="F778" t="e">
        <f ca="1">BDP("45204FH3 Muni","ISSUE_DT")</f>
        <v>#NAME?</v>
      </c>
      <c r="G778" t="e">
        <f ca="1">BDP("45204FH3 Muni","MATURITY")</f>
        <v>#NAME?</v>
      </c>
      <c r="H778" t="e">
        <f ca="1">BDP("45204FH3 Muni","MUNI_TAX_PROV")</f>
        <v>#NAME?</v>
      </c>
      <c r="I778" t="e">
        <f ca="1">BDP("45204FH3 Muni","FINANCING_TYPE")</f>
        <v>#NAME?</v>
      </c>
      <c r="J778" t="e">
        <f ca="1">BDP("45204FH3 Muni","BICS_LEVEL_2_INDUSTRY_GROUP_NAME")</f>
        <v>#NAME?</v>
      </c>
      <c r="K778" t="e">
        <f ca="1">BDP("45204FH3 Muni","SELF_REPRTD_GREEN_INSTR_INDCTR")</f>
        <v>#NAME?</v>
      </c>
      <c r="L778" t="e">
        <f ca="1">BDP("45204FH3 Muni","GB_MANAGEMENT_PROCEEDS")</f>
        <v>#NAME?</v>
      </c>
      <c r="M778" t="e">
        <f ca="1">BDP("45204FH3 Muni","GB_REPORTING")</f>
        <v>#NAME?</v>
      </c>
      <c r="N778" t="e">
        <f ca="1">BDP("45204FH3 Muni","GB_ASSURANCE_PROVIDERS")</f>
        <v>#NAME?</v>
      </c>
      <c r="O778" t="e">
        <f ca="1">BDP("45204FH3 Muni","GB_PROJECT_SELECTION_PROCESS")</f>
        <v>#NAME?</v>
      </c>
      <c r="P778" t="e">
        <f ca="1">BDP("45204FH3 Muni","ESG_FRAMEWORK_INDICATOR")</f>
        <v>#NAME?</v>
      </c>
      <c r="Q778" t="e">
        <f ca="1">BDP("45204FH3 Muni","BLOOMBERG_SECTOR_CODE")</f>
        <v>#NAME?</v>
      </c>
      <c r="R778" t="e">
        <f ca="1">BDP("45204FH3 Muni","ISSUER_TYPE")</f>
        <v>#NAME?</v>
      </c>
      <c r="S778" t="e">
        <f ca="1">BDS("45204FH3 Muni","ESG_PROJECT_CATEGORY", "aggregate=y")</f>
        <v>#NAME?</v>
      </c>
      <c r="T778" t="e">
        <f ca="1">BDS("45204FH3 Muni","ESG_PROJECT_SUBCATEGORY", "aggregate=y")</f>
        <v>#NAME?</v>
      </c>
    </row>
    <row r="779" spans="1:20" x14ac:dyDescent="0.25">
      <c r="A779" t="e">
        <f ca="1">BDP("45204FH4 Muni","ID_CUSIP")</f>
        <v>#NAME?</v>
      </c>
      <c r="B779" t="e">
        <f ca="1">BDP("45204FH4 Muni","STATE_CODE")</f>
        <v>#NAME?</v>
      </c>
      <c r="C779" t="s">
        <v>53</v>
      </c>
      <c r="D779" t="e">
        <f ca="1">BDP("45204FH4 Muni","YIELD_ON_ISSUE_DATE")</f>
        <v>#NAME?</v>
      </c>
      <c r="E779">
        <v>4820000</v>
      </c>
      <c r="F779" t="e">
        <f ca="1">BDP("45204FH4 Muni","ISSUE_DT")</f>
        <v>#NAME?</v>
      </c>
      <c r="G779" t="e">
        <f ca="1">BDP("45204FH4 Muni","MATURITY")</f>
        <v>#NAME?</v>
      </c>
      <c r="H779" t="e">
        <f ca="1">BDP("45204FH4 Muni","MUNI_TAX_PROV")</f>
        <v>#NAME?</v>
      </c>
      <c r="I779" t="e">
        <f ca="1">BDP("45204FH4 Muni","FINANCING_TYPE")</f>
        <v>#NAME?</v>
      </c>
      <c r="J779" t="e">
        <f ca="1">BDP("45204FH4 Muni","BICS_LEVEL_2_INDUSTRY_GROUP_NAME")</f>
        <v>#NAME?</v>
      </c>
      <c r="K779" t="e">
        <f ca="1">BDP("45204FH4 Muni","SELF_REPRTD_GREEN_INSTR_INDCTR")</f>
        <v>#NAME?</v>
      </c>
      <c r="L779" t="e">
        <f ca="1">BDP("45204FH4 Muni","GB_MANAGEMENT_PROCEEDS")</f>
        <v>#NAME?</v>
      </c>
      <c r="M779" t="e">
        <f ca="1">BDP("45204FH4 Muni","GB_REPORTING")</f>
        <v>#NAME?</v>
      </c>
      <c r="N779" t="e">
        <f ca="1">BDP("45204FH4 Muni","GB_ASSURANCE_PROVIDERS")</f>
        <v>#NAME?</v>
      </c>
      <c r="O779" t="e">
        <f ca="1">BDP("45204FH4 Muni","GB_PROJECT_SELECTION_PROCESS")</f>
        <v>#NAME?</v>
      </c>
      <c r="P779" t="e">
        <f ca="1">BDP("45204FH4 Muni","ESG_FRAMEWORK_INDICATOR")</f>
        <v>#NAME?</v>
      </c>
      <c r="Q779" t="e">
        <f ca="1">BDP("45204FH4 Muni","BLOOMBERG_SECTOR_CODE")</f>
        <v>#NAME?</v>
      </c>
      <c r="R779" t="e">
        <f ca="1">BDP("45204FH4 Muni","ISSUER_TYPE")</f>
        <v>#NAME?</v>
      </c>
      <c r="S779" t="e">
        <f ca="1">BDS("45204FH4 Muni","ESG_PROJECT_CATEGORY", "aggregate=y")</f>
        <v>#NAME?</v>
      </c>
      <c r="T779" t="e">
        <f ca="1">BDS("45204FH4 Muni","ESG_PROJECT_SUBCATEGORY", "aggregate=y")</f>
        <v>#NAME?</v>
      </c>
    </row>
    <row r="780" spans="1:20" x14ac:dyDescent="0.25">
      <c r="A780" t="e">
        <f ca="1">BDP("45204FH6 Muni","ID_CUSIP")</f>
        <v>#NAME?</v>
      </c>
      <c r="B780" t="e">
        <f ca="1">BDP("45204FH6 Muni","STATE_CODE")</f>
        <v>#NAME?</v>
      </c>
      <c r="C780" t="s">
        <v>53</v>
      </c>
      <c r="D780" t="e">
        <f ca="1">BDP("45204FH6 Muni","YIELD_ON_ISSUE_DATE")</f>
        <v>#NAME?</v>
      </c>
      <c r="E780">
        <v>1155000</v>
      </c>
      <c r="F780" t="e">
        <f ca="1">BDP("45204FH6 Muni","ISSUE_DT")</f>
        <v>#NAME?</v>
      </c>
      <c r="G780" t="e">
        <f ca="1">BDP("45204FH6 Muni","MATURITY")</f>
        <v>#NAME?</v>
      </c>
      <c r="H780" t="e">
        <f ca="1">BDP("45204FH6 Muni","MUNI_TAX_PROV")</f>
        <v>#NAME?</v>
      </c>
      <c r="I780" t="e">
        <f ca="1">BDP("45204FH6 Muni","FINANCING_TYPE")</f>
        <v>#NAME?</v>
      </c>
      <c r="J780" t="e">
        <f ca="1">BDP("45204FH6 Muni","BICS_LEVEL_2_INDUSTRY_GROUP_NAME")</f>
        <v>#NAME?</v>
      </c>
      <c r="K780" t="e">
        <f ca="1">BDP("45204FH6 Muni","SELF_REPRTD_GREEN_INSTR_INDCTR")</f>
        <v>#NAME?</v>
      </c>
      <c r="L780" t="e">
        <f ca="1">BDP("45204FH6 Muni","GB_MANAGEMENT_PROCEEDS")</f>
        <v>#NAME?</v>
      </c>
      <c r="M780" t="e">
        <f ca="1">BDP("45204FH6 Muni","GB_REPORTING")</f>
        <v>#NAME?</v>
      </c>
      <c r="N780" t="e">
        <f ca="1">BDP("45204FH6 Muni","GB_ASSURANCE_PROVIDERS")</f>
        <v>#NAME?</v>
      </c>
      <c r="O780" t="e">
        <f ca="1">BDP("45204FH6 Muni","GB_PROJECT_SELECTION_PROCESS")</f>
        <v>#NAME?</v>
      </c>
      <c r="P780" t="e">
        <f ca="1">BDP("45204FH6 Muni","ESG_FRAMEWORK_INDICATOR")</f>
        <v>#NAME?</v>
      </c>
      <c r="Q780" t="e">
        <f ca="1">BDP("45204FH6 Muni","BLOOMBERG_SECTOR_CODE")</f>
        <v>#NAME?</v>
      </c>
      <c r="R780" t="e">
        <f ca="1">BDP("45204FH6 Muni","ISSUER_TYPE")</f>
        <v>#NAME?</v>
      </c>
      <c r="S780" t="e">
        <f ca="1">BDS("45204FH6 Muni","ESG_PROJECT_CATEGORY", "aggregate=y")</f>
        <v>#NAME?</v>
      </c>
      <c r="T780" t="e">
        <f ca="1">BDS("45204FH6 Muni","ESG_PROJECT_SUBCATEGORY", "aggregate=y")</f>
        <v>#NAME?</v>
      </c>
    </row>
    <row r="781" spans="1:20" x14ac:dyDescent="0.25">
      <c r="A781" t="e">
        <f ca="1">BDP("45204FH7 Muni","ID_CUSIP")</f>
        <v>#NAME?</v>
      </c>
      <c r="B781" t="e">
        <f ca="1">BDP("45204FH7 Muni","STATE_CODE")</f>
        <v>#NAME?</v>
      </c>
      <c r="C781" t="s">
        <v>53</v>
      </c>
      <c r="D781" t="e">
        <f ca="1">BDP("45204FH7 Muni","YIELD_ON_ISSUE_DATE")</f>
        <v>#NAME?</v>
      </c>
      <c r="E781">
        <v>1440000</v>
      </c>
      <c r="F781" t="e">
        <f ca="1">BDP("45204FH7 Muni","ISSUE_DT")</f>
        <v>#NAME?</v>
      </c>
      <c r="G781" t="e">
        <f ca="1">BDP("45204FH7 Muni","MATURITY")</f>
        <v>#NAME?</v>
      </c>
      <c r="H781" t="e">
        <f ca="1">BDP("45204FH7 Muni","MUNI_TAX_PROV")</f>
        <v>#NAME?</v>
      </c>
      <c r="I781" t="e">
        <f ca="1">BDP("45204FH7 Muni","FINANCING_TYPE")</f>
        <v>#NAME?</v>
      </c>
      <c r="J781" t="e">
        <f ca="1">BDP("45204FH7 Muni","BICS_LEVEL_2_INDUSTRY_GROUP_NAME")</f>
        <v>#NAME?</v>
      </c>
      <c r="K781" t="e">
        <f ca="1">BDP("45204FH7 Muni","SELF_REPRTD_GREEN_INSTR_INDCTR")</f>
        <v>#NAME?</v>
      </c>
      <c r="L781" t="e">
        <f ca="1">BDP("45204FH7 Muni","GB_MANAGEMENT_PROCEEDS")</f>
        <v>#NAME?</v>
      </c>
      <c r="M781" t="e">
        <f ca="1">BDP("45204FH7 Muni","GB_REPORTING")</f>
        <v>#NAME?</v>
      </c>
      <c r="N781" t="e">
        <f ca="1">BDP("45204FH7 Muni","GB_ASSURANCE_PROVIDERS")</f>
        <v>#NAME?</v>
      </c>
      <c r="O781" t="e">
        <f ca="1">BDP("45204FH7 Muni","GB_PROJECT_SELECTION_PROCESS")</f>
        <v>#NAME?</v>
      </c>
      <c r="P781" t="e">
        <f ca="1">BDP("45204FH7 Muni","ESG_FRAMEWORK_INDICATOR")</f>
        <v>#NAME?</v>
      </c>
      <c r="Q781" t="e">
        <f ca="1">BDP("45204FH7 Muni","BLOOMBERG_SECTOR_CODE")</f>
        <v>#NAME?</v>
      </c>
      <c r="R781" t="e">
        <f ca="1">BDP("45204FH7 Muni","ISSUER_TYPE")</f>
        <v>#NAME?</v>
      </c>
      <c r="S781" t="e">
        <f ca="1">BDS("45204FH7 Muni","ESG_PROJECT_CATEGORY", "aggregate=y")</f>
        <v>#NAME?</v>
      </c>
      <c r="T781" t="e">
        <f ca="1">BDS("45204FH7 Muni","ESG_PROJECT_SUBCATEGORY", "aggregate=y")</f>
        <v>#NAME?</v>
      </c>
    </row>
    <row r="782" spans="1:20" x14ac:dyDescent="0.25">
      <c r="A782" t="e">
        <f ca="1">BDP("45204FH8 Muni","ID_CUSIP")</f>
        <v>#NAME?</v>
      </c>
      <c r="B782" t="e">
        <f ca="1">BDP("45204FH8 Muni","STATE_CODE")</f>
        <v>#NAME?</v>
      </c>
      <c r="C782" t="s">
        <v>53</v>
      </c>
      <c r="D782" t="e">
        <f ca="1">BDP("45204FH8 Muni","YIELD_ON_ISSUE_DATE")</f>
        <v>#NAME?</v>
      </c>
      <c r="E782">
        <v>3330000</v>
      </c>
      <c r="F782" t="e">
        <f ca="1">BDP("45204FH8 Muni","ISSUE_DT")</f>
        <v>#NAME?</v>
      </c>
      <c r="G782" t="e">
        <f ca="1">BDP("45204FH8 Muni","MATURITY")</f>
        <v>#NAME?</v>
      </c>
      <c r="H782" t="e">
        <f ca="1">BDP("45204FH8 Muni","MUNI_TAX_PROV")</f>
        <v>#NAME?</v>
      </c>
      <c r="I782" t="e">
        <f ca="1">BDP("45204FH8 Muni","FINANCING_TYPE")</f>
        <v>#NAME?</v>
      </c>
      <c r="J782" t="e">
        <f ca="1">BDP("45204FH8 Muni","BICS_LEVEL_2_INDUSTRY_GROUP_NAME")</f>
        <v>#NAME?</v>
      </c>
      <c r="K782" t="e">
        <f ca="1">BDP("45204FH8 Muni","SELF_REPRTD_GREEN_INSTR_INDCTR")</f>
        <v>#NAME?</v>
      </c>
      <c r="L782" t="e">
        <f ca="1">BDP("45204FH8 Muni","GB_MANAGEMENT_PROCEEDS")</f>
        <v>#NAME?</v>
      </c>
      <c r="M782" t="e">
        <f ca="1">BDP("45204FH8 Muni","GB_REPORTING")</f>
        <v>#NAME?</v>
      </c>
      <c r="N782" t="e">
        <f ca="1">BDP("45204FH8 Muni","GB_ASSURANCE_PROVIDERS")</f>
        <v>#NAME?</v>
      </c>
      <c r="O782" t="e">
        <f ca="1">BDP("45204FH8 Muni","GB_PROJECT_SELECTION_PROCESS")</f>
        <v>#NAME?</v>
      </c>
      <c r="P782" t="e">
        <f ca="1">BDP("45204FH8 Muni","ESG_FRAMEWORK_INDICATOR")</f>
        <v>#NAME?</v>
      </c>
      <c r="Q782" t="e">
        <f ca="1">BDP("45204FH8 Muni","BLOOMBERG_SECTOR_CODE")</f>
        <v>#NAME?</v>
      </c>
      <c r="R782" t="e">
        <f ca="1">BDP("45204FH8 Muni","ISSUER_TYPE")</f>
        <v>#NAME?</v>
      </c>
      <c r="S782" t="e">
        <f ca="1">BDS("45204FH8 Muni","ESG_PROJECT_CATEGORY", "aggregate=y")</f>
        <v>#NAME?</v>
      </c>
      <c r="T782" t="e">
        <f ca="1">BDS("45204FH8 Muni","ESG_PROJECT_SUBCATEGORY", "aggregate=y")</f>
        <v>#NAME?</v>
      </c>
    </row>
    <row r="783" spans="1:20" x14ac:dyDescent="0.25">
      <c r="A783" t="e">
        <f ca="1">BDP("45204FH9 Muni","ID_CUSIP")</f>
        <v>#NAME?</v>
      </c>
      <c r="B783" t="e">
        <f ca="1">BDP("45204FH9 Muni","STATE_CODE")</f>
        <v>#NAME?</v>
      </c>
      <c r="C783" t="s">
        <v>53</v>
      </c>
      <c r="D783" t="e">
        <f ca="1">BDP("45204FH9 Muni","YIELD_ON_ISSUE_DATE")</f>
        <v>#NAME?</v>
      </c>
      <c r="E783">
        <v>2440000</v>
      </c>
      <c r="F783" t="e">
        <f ca="1">BDP("45204FH9 Muni","ISSUE_DT")</f>
        <v>#NAME?</v>
      </c>
      <c r="G783" t="e">
        <f ca="1">BDP("45204FH9 Muni","MATURITY")</f>
        <v>#NAME?</v>
      </c>
      <c r="H783" t="e">
        <f ca="1">BDP("45204FH9 Muni","MUNI_TAX_PROV")</f>
        <v>#NAME?</v>
      </c>
      <c r="I783" t="e">
        <f ca="1">BDP("45204FH9 Muni","FINANCING_TYPE")</f>
        <v>#NAME?</v>
      </c>
      <c r="J783" t="e">
        <f ca="1">BDP("45204FH9 Muni","BICS_LEVEL_2_INDUSTRY_GROUP_NAME")</f>
        <v>#NAME?</v>
      </c>
      <c r="K783" t="e">
        <f ca="1">BDP("45204FH9 Muni","SELF_REPRTD_GREEN_INSTR_INDCTR")</f>
        <v>#NAME?</v>
      </c>
      <c r="L783" t="e">
        <f ca="1">BDP("45204FH9 Muni","GB_MANAGEMENT_PROCEEDS")</f>
        <v>#NAME?</v>
      </c>
      <c r="M783" t="e">
        <f ca="1">BDP("45204FH9 Muni","GB_REPORTING")</f>
        <v>#NAME?</v>
      </c>
      <c r="N783" t="e">
        <f ca="1">BDP("45204FH9 Muni","GB_ASSURANCE_PROVIDERS")</f>
        <v>#NAME?</v>
      </c>
      <c r="O783" t="e">
        <f ca="1">BDP("45204FH9 Muni","GB_PROJECT_SELECTION_PROCESS")</f>
        <v>#NAME?</v>
      </c>
      <c r="P783" t="e">
        <f ca="1">BDP("45204FH9 Muni","ESG_FRAMEWORK_INDICATOR")</f>
        <v>#NAME?</v>
      </c>
      <c r="Q783" t="e">
        <f ca="1">BDP("45204FH9 Muni","BLOOMBERG_SECTOR_CODE")</f>
        <v>#NAME?</v>
      </c>
      <c r="R783" t="e">
        <f ca="1">BDP("45204FH9 Muni","ISSUER_TYPE")</f>
        <v>#NAME?</v>
      </c>
      <c r="S783" t="e">
        <f ca="1">BDS("45204FH9 Muni","ESG_PROJECT_CATEGORY", "aggregate=y")</f>
        <v>#NAME?</v>
      </c>
      <c r="T783" t="e">
        <f ca="1">BDS("45204FH9 Muni","ESG_PROJECT_SUBCATEGORY", "aggregate=y")</f>
        <v>#NAME?</v>
      </c>
    </row>
    <row r="784" spans="1:20" x14ac:dyDescent="0.25">
      <c r="A784" t="e">
        <f ca="1">BDP("45204FZU Muni","ID_CUSIP")</f>
        <v>#NAME?</v>
      </c>
      <c r="B784" t="e">
        <f ca="1">BDP("45204FZU Muni","STATE_CODE")</f>
        <v>#NAME?</v>
      </c>
      <c r="C784" t="s">
        <v>53</v>
      </c>
      <c r="D784" t="e">
        <f ca="1">BDP("45204FZU Muni","YIELD_ON_ISSUE_DATE")</f>
        <v>#NAME?</v>
      </c>
      <c r="E784">
        <v>3470000</v>
      </c>
      <c r="F784" t="e">
        <f ca="1">BDP("45204FZU Muni","ISSUE_DT")</f>
        <v>#NAME?</v>
      </c>
      <c r="G784" t="e">
        <f ca="1">BDP("45204FZU Muni","MATURITY")</f>
        <v>#NAME?</v>
      </c>
      <c r="H784" t="e">
        <f ca="1">BDP("45204FZU Muni","MUNI_TAX_PROV")</f>
        <v>#NAME?</v>
      </c>
      <c r="I784" t="e">
        <f ca="1">BDP("45204FZU Muni","FINANCING_TYPE")</f>
        <v>#NAME?</v>
      </c>
      <c r="J784" t="e">
        <f ca="1">BDP("45204FZU Muni","BICS_LEVEL_2_INDUSTRY_GROUP_NAME")</f>
        <v>#NAME?</v>
      </c>
      <c r="K784" t="e">
        <f ca="1">BDP("45204FZU Muni","SELF_REPRTD_GREEN_INSTR_INDCTR")</f>
        <v>#NAME?</v>
      </c>
      <c r="L784" t="e">
        <f ca="1">BDP("45204FZU Muni","GB_MANAGEMENT_PROCEEDS")</f>
        <v>#NAME?</v>
      </c>
      <c r="M784" t="e">
        <f ca="1">BDP("45204FZU Muni","GB_REPORTING")</f>
        <v>#NAME?</v>
      </c>
      <c r="N784" t="e">
        <f ca="1">BDP("45204FZU Muni","GB_ASSURANCE_PROVIDERS")</f>
        <v>#NAME?</v>
      </c>
      <c r="O784" t="e">
        <f ca="1">BDP("45204FZU Muni","GB_PROJECT_SELECTION_PROCESS")</f>
        <v>#NAME?</v>
      </c>
      <c r="P784" t="e">
        <f ca="1">BDP("45204FZU Muni","ESG_FRAMEWORK_INDICATOR")</f>
        <v>#NAME?</v>
      </c>
      <c r="Q784" t="e">
        <f ca="1">BDP("45204FZU Muni","BLOOMBERG_SECTOR_CODE")</f>
        <v>#NAME?</v>
      </c>
      <c r="R784" t="e">
        <f ca="1">BDP("45204FZU Muni","ISSUER_TYPE")</f>
        <v>#NAME?</v>
      </c>
      <c r="S784" t="e">
        <f ca="1">BDS("45204FZU Muni","ESG_PROJECT_CATEGORY", "aggregate=y")</f>
        <v>#NAME?</v>
      </c>
      <c r="T784" t="e">
        <f ca="1">BDS("45204FZU Muni","ESG_PROJECT_SUBCATEGORY", "aggregate=y")</f>
        <v>#NAME?</v>
      </c>
    </row>
    <row r="785" spans="1:20" x14ac:dyDescent="0.25">
      <c r="A785" t="e">
        <f ca="1">BDP("45204FZV Muni","ID_CUSIP")</f>
        <v>#NAME?</v>
      </c>
      <c r="B785" t="e">
        <f ca="1">BDP("45204FZV Muni","STATE_CODE")</f>
        <v>#NAME?</v>
      </c>
      <c r="C785" t="s">
        <v>53</v>
      </c>
      <c r="D785" t="e">
        <f ca="1">BDP("45204FZV Muni","YIELD_ON_ISSUE_DATE")</f>
        <v>#NAME?</v>
      </c>
      <c r="E785">
        <v>4525000</v>
      </c>
      <c r="F785" t="e">
        <f ca="1">BDP("45204FZV Muni","ISSUE_DT")</f>
        <v>#NAME?</v>
      </c>
      <c r="G785" t="e">
        <f ca="1">BDP("45204FZV Muni","MATURITY")</f>
        <v>#NAME?</v>
      </c>
      <c r="H785" t="e">
        <f ca="1">BDP("45204FZV Muni","MUNI_TAX_PROV")</f>
        <v>#NAME?</v>
      </c>
      <c r="I785" t="e">
        <f ca="1">BDP("45204FZV Muni","FINANCING_TYPE")</f>
        <v>#NAME?</v>
      </c>
      <c r="J785" t="e">
        <f ca="1">BDP("45204FZV Muni","BICS_LEVEL_2_INDUSTRY_GROUP_NAME")</f>
        <v>#NAME?</v>
      </c>
      <c r="K785" t="e">
        <f ca="1">BDP("45204FZV Muni","SELF_REPRTD_GREEN_INSTR_INDCTR")</f>
        <v>#NAME?</v>
      </c>
      <c r="L785" t="e">
        <f ca="1">BDP("45204FZV Muni","GB_MANAGEMENT_PROCEEDS")</f>
        <v>#NAME?</v>
      </c>
      <c r="M785" t="e">
        <f ca="1">BDP("45204FZV Muni","GB_REPORTING")</f>
        <v>#NAME?</v>
      </c>
      <c r="N785" t="e">
        <f ca="1">BDP("45204FZV Muni","GB_ASSURANCE_PROVIDERS")</f>
        <v>#NAME?</v>
      </c>
      <c r="O785" t="e">
        <f ca="1">BDP("45204FZV Muni","GB_PROJECT_SELECTION_PROCESS")</f>
        <v>#NAME?</v>
      </c>
      <c r="P785" t="e">
        <f ca="1">BDP("45204FZV Muni","ESG_FRAMEWORK_INDICATOR")</f>
        <v>#NAME?</v>
      </c>
      <c r="Q785" t="e">
        <f ca="1">BDP("45204FZV Muni","BLOOMBERG_SECTOR_CODE")</f>
        <v>#NAME?</v>
      </c>
      <c r="R785" t="e">
        <f ca="1">BDP("45204FZV Muni","ISSUER_TYPE")</f>
        <v>#NAME?</v>
      </c>
      <c r="S785" t="e">
        <f ca="1">BDS("45204FZV Muni","ESG_PROJECT_CATEGORY", "aggregate=y")</f>
        <v>#NAME?</v>
      </c>
      <c r="T785" t="e">
        <f ca="1">BDS("45204FZV Muni","ESG_PROJECT_SUBCATEGORY", "aggregate=y")</f>
        <v>#NAME?</v>
      </c>
    </row>
    <row r="786" spans="1:20" x14ac:dyDescent="0.25">
      <c r="A786" t="e">
        <f ca="1">BDP("45204FZW Muni","ID_CUSIP")</f>
        <v>#NAME?</v>
      </c>
      <c r="B786" t="e">
        <f ca="1">BDP("45204FZW Muni","STATE_CODE")</f>
        <v>#NAME?</v>
      </c>
      <c r="C786" t="s">
        <v>53</v>
      </c>
      <c r="D786" t="e">
        <f ca="1">BDP("45204FZW Muni","YIELD_ON_ISSUE_DATE")</f>
        <v>#NAME?</v>
      </c>
      <c r="E786">
        <v>5010000</v>
      </c>
      <c r="F786" t="e">
        <f ca="1">BDP("45204FZW Muni","ISSUE_DT")</f>
        <v>#NAME?</v>
      </c>
      <c r="G786" t="e">
        <f ca="1">BDP("45204FZW Muni","MATURITY")</f>
        <v>#NAME?</v>
      </c>
      <c r="H786" t="e">
        <f ca="1">BDP("45204FZW Muni","MUNI_TAX_PROV")</f>
        <v>#NAME?</v>
      </c>
      <c r="I786" t="e">
        <f ca="1">BDP("45204FZW Muni","FINANCING_TYPE")</f>
        <v>#NAME?</v>
      </c>
      <c r="J786" t="e">
        <f ca="1">BDP("45204FZW Muni","BICS_LEVEL_2_INDUSTRY_GROUP_NAME")</f>
        <v>#NAME?</v>
      </c>
      <c r="K786" t="e">
        <f ca="1">BDP("45204FZW Muni","SELF_REPRTD_GREEN_INSTR_INDCTR")</f>
        <v>#NAME?</v>
      </c>
      <c r="L786" t="e">
        <f ca="1">BDP("45204FZW Muni","GB_MANAGEMENT_PROCEEDS")</f>
        <v>#NAME?</v>
      </c>
      <c r="M786" t="e">
        <f ca="1">BDP("45204FZW Muni","GB_REPORTING")</f>
        <v>#NAME?</v>
      </c>
      <c r="N786" t="e">
        <f ca="1">BDP("45204FZW Muni","GB_ASSURANCE_PROVIDERS")</f>
        <v>#NAME?</v>
      </c>
      <c r="O786" t="e">
        <f ca="1">BDP("45204FZW Muni","GB_PROJECT_SELECTION_PROCESS")</f>
        <v>#NAME?</v>
      </c>
      <c r="P786" t="e">
        <f ca="1">BDP("45204FZW Muni","ESG_FRAMEWORK_INDICATOR")</f>
        <v>#NAME?</v>
      </c>
      <c r="Q786" t="e">
        <f ca="1">BDP("45204FZW Muni","BLOOMBERG_SECTOR_CODE")</f>
        <v>#NAME?</v>
      </c>
      <c r="R786" t="e">
        <f ca="1">BDP("45204FZW Muni","ISSUER_TYPE")</f>
        <v>#NAME?</v>
      </c>
      <c r="S786" t="e">
        <f ca="1">BDS("45204FZW Muni","ESG_PROJECT_CATEGORY", "aggregate=y")</f>
        <v>#NAME?</v>
      </c>
      <c r="T786" t="e">
        <f ca="1">BDS("45204FZW Muni","ESG_PROJECT_SUBCATEGORY", "aggregate=y")</f>
        <v>#NAME?</v>
      </c>
    </row>
    <row r="787" spans="1:20" x14ac:dyDescent="0.25">
      <c r="A787" t="e">
        <f ca="1">BDP("45204FZX Muni","ID_CUSIP")</f>
        <v>#NAME?</v>
      </c>
      <c r="B787" t="e">
        <f ca="1">BDP("45204FZX Muni","STATE_CODE")</f>
        <v>#NAME?</v>
      </c>
      <c r="C787" t="s">
        <v>53</v>
      </c>
      <c r="D787" t="e">
        <f ca="1">BDP("45204FZX Muni","YIELD_ON_ISSUE_DATE")</f>
        <v>#NAME?</v>
      </c>
      <c r="E787">
        <v>5460000</v>
      </c>
      <c r="F787" t="e">
        <f ca="1">BDP("45204FZX Muni","ISSUE_DT")</f>
        <v>#NAME?</v>
      </c>
      <c r="G787" t="e">
        <f ca="1">BDP("45204FZX Muni","MATURITY")</f>
        <v>#NAME?</v>
      </c>
      <c r="H787" t="e">
        <f ca="1">BDP("45204FZX Muni","MUNI_TAX_PROV")</f>
        <v>#NAME?</v>
      </c>
      <c r="I787" t="e">
        <f ca="1">BDP("45204FZX Muni","FINANCING_TYPE")</f>
        <v>#NAME?</v>
      </c>
      <c r="J787" t="e">
        <f ca="1">BDP("45204FZX Muni","BICS_LEVEL_2_INDUSTRY_GROUP_NAME")</f>
        <v>#NAME?</v>
      </c>
      <c r="K787" t="e">
        <f ca="1">BDP("45204FZX Muni","SELF_REPRTD_GREEN_INSTR_INDCTR")</f>
        <v>#NAME?</v>
      </c>
      <c r="L787" t="e">
        <f ca="1">BDP("45204FZX Muni","GB_MANAGEMENT_PROCEEDS")</f>
        <v>#NAME?</v>
      </c>
      <c r="M787" t="e">
        <f ca="1">BDP("45204FZX Muni","GB_REPORTING")</f>
        <v>#NAME?</v>
      </c>
      <c r="N787" t="e">
        <f ca="1">BDP("45204FZX Muni","GB_ASSURANCE_PROVIDERS")</f>
        <v>#NAME?</v>
      </c>
      <c r="O787" t="e">
        <f ca="1">BDP("45204FZX Muni","GB_PROJECT_SELECTION_PROCESS")</f>
        <v>#NAME?</v>
      </c>
      <c r="P787" t="e">
        <f ca="1">BDP("45204FZX Muni","ESG_FRAMEWORK_INDICATOR")</f>
        <v>#NAME?</v>
      </c>
      <c r="Q787" t="e">
        <f ca="1">BDP("45204FZX Muni","BLOOMBERG_SECTOR_CODE")</f>
        <v>#NAME?</v>
      </c>
      <c r="R787" t="e">
        <f ca="1">BDP("45204FZX Muni","ISSUER_TYPE")</f>
        <v>#NAME?</v>
      </c>
      <c r="S787" t="e">
        <f ca="1">BDS("45204FZX Muni","ESG_PROJECT_CATEGORY", "aggregate=y")</f>
        <v>#NAME?</v>
      </c>
      <c r="T787" t="e">
        <f ca="1">BDS("45204FZX Muni","ESG_PROJECT_SUBCATEGORY", "aggregate=y")</f>
        <v>#NAME?</v>
      </c>
    </row>
    <row r="788" spans="1:20" x14ac:dyDescent="0.25">
      <c r="A788" t="e">
        <f ca="1">BDP("45204FZY Muni","ID_CUSIP")</f>
        <v>#NAME?</v>
      </c>
      <c r="B788" t="e">
        <f ca="1">BDP("45204FZY Muni","STATE_CODE")</f>
        <v>#NAME?</v>
      </c>
      <c r="C788" t="s">
        <v>53</v>
      </c>
      <c r="D788" t="e">
        <f ca="1">BDP("45204FZY Muni","YIELD_ON_ISSUE_DATE")</f>
        <v>#NAME?</v>
      </c>
      <c r="E788">
        <v>6320000</v>
      </c>
      <c r="F788" t="e">
        <f ca="1">BDP("45204FZY Muni","ISSUE_DT")</f>
        <v>#NAME?</v>
      </c>
      <c r="G788" t="e">
        <f ca="1">BDP("45204FZY Muni","MATURITY")</f>
        <v>#NAME?</v>
      </c>
      <c r="H788" t="e">
        <f ca="1">BDP("45204FZY Muni","MUNI_TAX_PROV")</f>
        <v>#NAME?</v>
      </c>
      <c r="I788" t="e">
        <f ca="1">BDP("45204FZY Muni","FINANCING_TYPE")</f>
        <v>#NAME?</v>
      </c>
      <c r="J788" t="e">
        <f ca="1">BDP("45204FZY Muni","BICS_LEVEL_2_INDUSTRY_GROUP_NAME")</f>
        <v>#NAME?</v>
      </c>
      <c r="K788" t="e">
        <f ca="1">BDP("45204FZY Muni","SELF_REPRTD_GREEN_INSTR_INDCTR")</f>
        <v>#NAME?</v>
      </c>
      <c r="L788" t="e">
        <f ca="1">BDP("45204FZY Muni","GB_MANAGEMENT_PROCEEDS")</f>
        <v>#NAME?</v>
      </c>
      <c r="M788" t="e">
        <f ca="1">BDP("45204FZY Muni","GB_REPORTING")</f>
        <v>#NAME?</v>
      </c>
      <c r="N788" t="e">
        <f ca="1">BDP("45204FZY Muni","GB_ASSURANCE_PROVIDERS")</f>
        <v>#NAME?</v>
      </c>
      <c r="O788" t="e">
        <f ca="1">BDP("45204FZY Muni","GB_PROJECT_SELECTION_PROCESS")</f>
        <v>#NAME?</v>
      </c>
      <c r="P788" t="e">
        <f ca="1">BDP("45204FZY Muni","ESG_FRAMEWORK_INDICATOR")</f>
        <v>#NAME?</v>
      </c>
      <c r="Q788" t="e">
        <f ca="1">BDP("45204FZY Muni","BLOOMBERG_SECTOR_CODE")</f>
        <v>#NAME?</v>
      </c>
      <c r="R788" t="e">
        <f ca="1">BDP("45204FZY Muni","ISSUER_TYPE")</f>
        <v>#NAME?</v>
      </c>
      <c r="S788" t="e">
        <f ca="1">BDS("45204FZY Muni","ESG_PROJECT_CATEGORY", "aggregate=y")</f>
        <v>#NAME?</v>
      </c>
      <c r="T788" t="e">
        <f ca="1">BDS("45204FZY Muni","ESG_PROJECT_SUBCATEGORY", "aggregate=y")</f>
        <v>#NAME?</v>
      </c>
    </row>
    <row r="789" spans="1:20" x14ac:dyDescent="0.25">
      <c r="A789" t="e">
        <f ca="1">BDP("479790KM Muni","ID_CUSIP")</f>
        <v>#NAME?</v>
      </c>
      <c r="B789" t="e">
        <f ca="1">BDP("479790KM Muni","STATE_CODE")</f>
        <v>#NAME?</v>
      </c>
      <c r="C789" t="s">
        <v>54</v>
      </c>
      <c r="D789" t="e">
        <f ca="1">BDP("479790KM Muni","YIELD_ON_ISSUE_DATE")</f>
        <v>#NAME?</v>
      </c>
      <c r="E789">
        <v>4675000</v>
      </c>
      <c r="F789" t="e">
        <f ca="1">BDP("479790KM Muni","ISSUE_DT")</f>
        <v>#NAME?</v>
      </c>
      <c r="G789" t="e">
        <f ca="1">BDP("479790KM Muni","MATURITY")</f>
        <v>#NAME?</v>
      </c>
      <c r="H789" t="e">
        <f ca="1">BDP("479790KM Muni","MUNI_TAX_PROV")</f>
        <v>#NAME?</v>
      </c>
      <c r="I789" t="e">
        <f ca="1">BDP("479790KM Muni","FINANCING_TYPE")</f>
        <v>#NAME?</v>
      </c>
      <c r="J789" t="e">
        <f ca="1">BDP("479790KM Muni","BICS_LEVEL_2_INDUSTRY_GROUP_NAME")</f>
        <v>#NAME?</v>
      </c>
      <c r="K789" t="e">
        <f ca="1">BDP("479790KM Muni","SELF_REPRTD_GREEN_INSTR_INDCTR")</f>
        <v>#NAME?</v>
      </c>
      <c r="L789" t="e">
        <f ca="1">BDP("479790KM Muni","GB_MANAGEMENT_PROCEEDS")</f>
        <v>#NAME?</v>
      </c>
      <c r="M789" t="e">
        <f ca="1">BDP("479790KM Muni","GB_REPORTING")</f>
        <v>#NAME?</v>
      </c>
      <c r="N789" t="e">
        <f ca="1">BDP("479790KM Muni","GB_ASSURANCE_PROVIDERS")</f>
        <v>#NAME?</v>
      </c>
      <c r="O789" t="e">
        <f ca="1">BDP("479790KM Muni","GB_PROJECT_SELECTION_PROCESS")</f>
        <v>#NAME?</v>
      </c>
      <c r="P789" t="e">
        <f ca="1">BDP("479790KM Muni","ESG_FRAMEWORK_INDICATOR")</f>
        <v>#NAME?</v>
      </c>
      <c r="Q789" t="e">
        <f ca="1">BDP("479790KM Muni","BLOOMBERG_SECTOR_CODE")</f>
        <v>#NAME?</v>
      </c>
      <c r="R789" t="e">
        <f ca="1">BDP("479790KM Muni","ISSUER_TYPE")</f>
        <v>#NAME?</v>
      </c>
      <c r="S789" t="e">
        <f ca="1">BDS("479790KM Muni","ESG_PROJECT_CATEGORY", "aggregate=y")</f>
        <v>#NAME?</v>
      </c>
      <c r="T789" t="e">
        <f ca="1">BDS("479790KM Muni","ESG_PROJECT_SUBCATEGORY", "aggregate=y")</f>
        <v>#NAME?</v>
      </c>
    </row>
    <row r="790" spans="1:20" x14ac:dyDescent="0.25">
      <c r="A790" t="e">
        <f ca="1">BDP("479790KP Muni","ID_CUSIP")</f>
        <v>#NAME?</v>
      </c>
      <c r="B790" t="e">
        <f ca="1">BDP("479790KP Muni","STATE_CODE")</f>
        <v>#NAME?</v>
      </c>
      <c r="C790" t="s">
        <v>54</v>
      </c>
      <c r="D790" t="e">
        <f ca="1">BDP("479790KP Muni","YIELD_ON_ISSUE_DATE")</f>
        <v>#NAME?</v>
      </c>
      <c r="E790">
        <v>5160000</v>
      </c>
      <c r="F790" t="e">
        <f ca="1">BDP("479790KP Muni","ISSUE_DT")</f>
        <v>#NAME?</v>
      </c>
      <c r="G790" t="e">
        <f ca="1">BDP("479790KP Muni","MATURITY")</f>
        <v>#NAME?</v>
      </c>
      <c r="H790" t="e">
        <f ca="1">BDP("479790KP Muni","MUNI_TAX_PROV")</f>
        <v>#NAME?</v>
      </c>
      <c r="I790" t="e">
        <f ca="1">BDP("479790KP Muni","FINANCING_TYPE")</f>
        <v>#NAME?</v>
      </c>
      <c r="J790" t="e">
        <f ca="1">BDP("479790KP Muni","BICS_LEVEL_2_INDUSTRY_GROUP_NAME")</f>
        <v>#NAME?</v>
      </c>
      <c r="K790" t="e">
        <f ca="1">BDP("479790KP Muni","SELF_REPRTD_GREEN_INSTR_INDCTR")</f>
        <v>#NAME?</v>
      </c>
      <c r="L790" t="e">
        <f ca="1">BDP("479790KP Muni","GB_MANAGEMENT_PROCEEDS")</f>
        <v>#NAME?</v>
      </c>
      <c r="M790" t="e">
        <f ca="1">BDP("479790KP Muni","GB_REPORTING")</f>
        <v>#NAME?</v>
      </c>
      <c r="N790" t="e">
        <f ca="1">BDP("479790KP Muni","GB_ASSURANCE_PROVIDERS")</f>
        <v>#NAME?</v>
      </c>
      <c r="O790" t="e">
        <f ca="1">BDP("479790KP Muni","GB_PROJECT_SELECTION_PROCESS")</f>
        <v>#NAME?</v>
      </c>
      <c r="P790" t="e">
        <f ca="1">BDP("479790KP Muni","ESG_FRAMEWORK_INDICATOR")</f>
        <v>#NAME?</v>
      </c>
      <c r="Q790" t="e">
        <f ca="1">BDP("479790KP Muni","BLOOMBERG_SECTOR_CODE")</f>
        <v>#NAME?</v>
      </c>
      <c r="R790" t="e">
        <f ca="1">BDP("479790KP Muni","ISSUER_TYPE")</f>
        <v>#NAME?</v>
      </c>
      <c r="S790" t="e">
        <f ca="1">BDS("479790KP Muni","ESG_PROJECT_CATEGORY", "aggregate=y")</f>
        <v>#NAME?</v>
      </c>
      <c r="T790" t="e">
        <f ca="1">BDS("479790KP Muni","ESG_PROJECT_SUBCATEGORY", "aggregate=y")</f>
        <v>#NAME?</v>
      </c>
    </row>
    <row r="791" spans="1:20" x14ac:dyDescent="0.25">
      <c r="A791" t="e">
        <f ca="1">BDP("479790KS Muni","ID_CUSIP")</f>
        <v>#NAME?</v>
      </c>
      <c r="B791" t="e">
        <f ca="1">BDP("479790KS Muni","STATE_CODE")</f>
        <v>#NAME?</v>
      </c>
      <c r="C791" t="s">
        <v>54</v>
      </c>
      <c r="D791" t="e">
        <f ca="1">BDP("479790KS Muni","YIELD_ON_ISSUE_DATE")</f>
        <v>#NAME?</v>
      </c>
      <c r="E791">
        <v>5970000</v>
      </c>
      <c r="F791" t="e">
        <f ca="1">BDP("479790KS Muni","ISSUE_DT")</f>
        <v>#NAME?</v>
      </c>
      <c r="G791" t="e">
        <f ca="1">BDP("479790KS Muni","MATURITY")</f>
        <v>#NAME?</v>
      </c>
      <c r="H791" t="e">
        <f ca="1">BDP("479790KS Muni","MUNI_TAX_PROV")</f>
        <v>#NAME?</v>
      </c>
      <c r="I791" t="e">
        <f ca="1">BDP("479790KS Muni","FINANCING_TYPE")</f>
        <v>#NAME?</v>
      </c>
      <c r="J791" t="e">
        <f ca="1">BDP("479790KS Muni","BICS_LEVEL_2_INDUSTRY_GROUP_NAME")</f>
        <v>#NAME?</v>
      </c>
      <c r="K791" t="e">
        <f ca="1">BDP("479790KS Muni","SELF_REPRTD_GREEN_INSTR_INDCTR")</f>
        <v>#NAME?</v>
      </c>
      <c r="L791" t="e">
        <f ca="1">BDP("479790KS Muni","GB_MANAGEMENT_PROCEEDS")</f>
        <v>#NAME?</v>
      </c>
      <c r="M791" t="e">
        <f ca="1">BDP("479790KS Muni","GB_REPORTING")</f>
        <v>#NAME?</v>
      </c>
      <c r="N791" t="e">
        <f ca="1">BDP("479790KS Muni","GB_ASSURANCE_PROVIDERS")</f>
        <v>#NAME?</v>
      </c>
      <c r="O791" t="e">
        <f ca="1">BDP("479790KS Muni","GB_PROJECT_SELECTION_PROCESS")</f>
        <v>#NAME?</v>
      </c>
      <c r="P791" t="e">
        <f ca="1">BDP("479790KS Muni","ESG_FRAMEWORK_INDICATOR")</f>
        <v>#NAME?</v>
      </c>
      <c r="Q791" t="e">
        <f ca="1">BDP("479790KS Muni","BLOOMBERG_SECTOR_CODE")</f>
        <v>#NAME?</v>
      </c>
      <c r="R791" t="e">
        <f ca="1">BDP("479790KS Muni","ISSUER_TYPE")</f>
        <v>#NAME?</v>
      </c>
      <c r="S791" t="e">
        <f ca="1">BDS("479790KS Muni","ESG_PROJECT_CATEGORY", "aggregate=y")</f>
        <v>#NAME?</v>
      </c>
      <c r="T791" t="e">
        <f ca="1">BDS("479790KS Muni","ESG_PROJECT_SUBCATEGORY", "aggregate=y")</f>
        <v>#NAME?</v>
      </c>
    </row>
    <row r="792" spans="1:20" x14ac:dyDescent="0.25">
      <c r="A792" t="e">
        <f ca="1">BDP("479790KT Muni","ID_CUSIP")</f>
        <v>#NAME?</v>
      </c>
      <c r="B792" t="e">
        <f ca="1">BDP("479790KT Muni","STATE_CODE")</f>
        <v>#NAME?</v>
      </c>
      <c r="C792" t="s">
        <v>54</v>
      </c>
      <c r="D792" t="e">
        <f ca="1">BDP("479790KT Muni","YIELD_ON_ISSUE_DATE")</f>
        <v>#NAME?</v>
      </c>
      <c r="E792">
        <v>6265000</v>
      </c>
      <c r="F792" t="e">
        <f ca="1">BDP("479790KT Muni","ISSUE_DT")</f>
        <v>#NAME?</v>
      </c>
      <c r="G792" t="e">
        <f ca="1">BDP("479790KT Muni","MATURITY")</f>
        <v>#NAME?</v>
      </c>
      <c r="H792" t="e">
        <f ca="1">BDP("479790KT Muni","MUNI_TAX_PROV")</f>
        <v>#NAME?</v>
      </c>
      <c r="I792" t="e">
        <f ca="1">BDP("479790KT Muni","FINANCING_TYPE")</f>
        <v>#NAME?</v>
      </c>
      <c r="J792" t="e">
        <f ca="1">BDP("479790KT Muni","BICS_LEVEL_2_INDUSTRY_GROUP_NAME")</f>
        <v>#NAME?</v>
      </c>
      <c r="K792" t="e">
        <f ca="1">BDP("479790KT Muni","SELF_REPRTD_GREEN_INSTR_INDCTR")</f>
        <v>#NAME?</v>
      </c>
      <c r="L792" t="e">
        <f ca="1">BDP("479790KT Muni","GB_MANAGEMENT_PROCEEDS")</f>
        <v>#NAME?</v>
      </c>
      <c r="M792" t="e">
        <f ca="1">BDP("479790KT Muni","GB_REPORTING")</f>
        <v>#NAME?</v>
      </c>
      <c r="N792" t="e">
        <f ca="1">BDP("479790KT Muni","GB_ASSURANCE_PROVIDERS")</f>
        <v>#NAME?</v>
      </c>
      <c r="O792" t="e">
        <f ca="1">BDP("479790KT Muni","GB_PROJECT_SELECTION_PROCESS")</f>
        <v>#NAME?</v>
      </c>
      <c r="P792" t="e">
        <f ca="1">BDP("479790KT Muni","ESG_FRAMEWORK_INDICATOR")</f>
        <v>#NAME?</v>
      </c>
      <c r="Q792" t="e">
        <f ca="1">BDP("479790KT Muni","BLOOMBERG_SECTOR_CODE")</f>
        <v>#NAME?</v>
      </c>
      <c r="R792" t="e">
        <f ca="1">BDP("479790KT Muni","ISSUER_TYPE")</f>
        <v>#NAME?</v>
      </c>
      <c r="S792" t="e">
        <f ca="1">BDS("479790KT Muni","ESG_PROJECT_CATEGORY", "aggregate=y")</f>
        <v>#NAME?</v>
      </c>
      <c r="T792" t="e">
        <f ca="1">BDS("479790KT Muni","ESG_PROJECT_SUBCATEGORY", "aggregate=y")</f>
        <v>#NAME?</v>
      </c>
    </row>
    <row r="793" spans="1:20" x14ac:dyDescent="0.25">
      <c r="A793" t="e">
        <f ca="1">BDP("45204FB4 Muni","ID_CUSIP")</f>
        <v>#NAME?</v>
      </c>
      <c r="B793" t="e">
        <f ca="1">BDP("45204FB4 Muni","STATE_CODE")</f>
        <v>#NAME?</v>
      </c>
      <c r="C793" t="s">
        <v>53</v>
      </c>
      <c r="D793" t="e">
        <f ca="1">BDP("45204FB4 Muni","YIELD_ON_ISSUE_DATE")</f>
        <v>#NAME?</v>
      </c>
      <c r="E793">
        <v>12150000</v>
      </c>
      <c r="F793" t="e">
        <f ca="1">BDP("45204FB4 Muni","ISSUE_DT")</f>
        <v>#NAME?</v>
      </c>
      <c r="G793" t="e">
        <f ca="1">BDP("45204FB4 Muni","MATURITY")</f>
        <v>#NAME?</v>
      </c>
      <c r="H793" t="e">
        <f ca="1">BDP("45204FB4 Muni","MUNI_TAX_PROV")</f>
        <v>#NAME?</v>
      </c>
      <c r="I793" t="e">
        <f ca="1">BDP("45204FB4 Muni","FINANCING_TYPE")</f>
        <v>#NAME?</v>
      </c>
      <c r="J793" t="e">
        <f ca="1">BDP("45204FB4 Muni","BICS_LEVEL_2_INDUSTRY_GROUP_NAME")</f>
        <v>#NAME?</v>
      </c>
      <c r="K793" t="e">
        <f ca="1">BDP("45204FB4 Muni","SELF_REPRTD_GREEN_INSTR_INDCTR")</f>
        <v>#NAME?</v>
      </c>
      <c r="L793" t="e">
        <f ca="1">BDP("45204FB4 Muni","GB_MANAGEMENT_PROCEEDS")</f>
        <v>#NAME?</v>
      </c>
      <c r="M793" t="e">
        <f ca="1">BDP("45204FB4 Muni","GB_REPORTING")</f>
        <v>#NAME?</v>
      </c>
      <c r="N793" t="e">
        <f ca="1">BDP("45204FB4 Muni","GB_ASSURANCE_PROVIDERS")</f>
        <v>#NAME?</v>
      </c>
      <c r="O793" t="e">
        <f ca="1">BDP("45204FB4 Muni","GB_PROJECT_SELECTION_PROCESS")</f>
        <v>#NAME?</v>
      </c>
      <c r="P793" t="e">
        <f ca="1">BDP("45204FB4 Muni","ESG_FRAMEWORK_INDICATOR")</f>
        <v>#NAME?</v>
      </c>
      <c r="Q793" t="e">
        <f ca="1">BDP("45204FB4 Muni","BLOOMBERG_SECTOR_CODE")</f>
        <v>#NAME?</v>
      </c>
      <c r="R793" t="e">
        <f ca="1">BDP("45204FB4 Muni","ISSUER_TYPE")</f>
        <v>#NAME?</v>
      </c>
      <c r="S793" t="e">
        <f ca="1">BDS("45204FB4 Muni","ESG_PROJECT_CATEGORY", "aggregate=y")</f>
        <v>#NAME?</v>
      </c>
      <c r="T793" t="e">
        <f ca="1">BDS("45204FB4 Muni","ESG_PROJECT_SUBCATEGORY", "aggregate=y")</f>
        <v>#NAME?</v>
      </c>
    </row>
    <row r="794" spans="1:20" x14ac:dyDescent="0.25">
      <c r="A794" t="e">
        <f ca="1">BDP("45204FF3 Muni","ID_CUSIP")</f>
        <v>#NAME?</v>
      </c>
      <c r="B794" t="e">
        <f ca="1">BDP("45204FF3 Muni","STATE_CODE")</f>
        <v>#NAME?</v>
      </c>
      <c r="C794" t="s">
        <v>53</v>
      </c>
      <c r="D794" t="e">
        <f ca="1">BDP("45204FF3 Muni","YIELD_ON_ISSUE_DATE")</f>
        <v>#NAME?</v>
      </c>
      <c r="E794">
        <v>13995000</v>
      </c>
      <c r="F794" t="e">
        <f ca="1">BDP("45204FF3 Muni","ISSUE_DT")</f>
        <v>#NAME?</v>
      </c>
      <c r="G794" t="e">
        <f ca="1">BDP("45204FF3 Muni","MATURITY")</f>
        <v>#NAME?</v>
      </c>
      <c r="H794" t="e">
        <f ca="1">BDP("45204FF3 Muni","MUNI_TAX_PROV")</f>
        <v>#NAME?</v>
      </c>
      <c r="I794" t="e">
        <f ca="1">BDP("45204FF3 Muni","FINANCING_TYPE")</f>
        <v>#NAME?</v>
      </c>
      <c r="J794" t="e">
        <f ca="1">BDP("45204FF3 Muni","BICS_LEVEL_2_INDUSTRY_GROUP_NAME")</f>
        <v>#NAME?</v>
      </c>
      <c r="K794" t="e">
        <f ca="1">BDP("45204FF3 Muni","SELF_REPRTD_GREEN_INSTR_INDCTR")</f>
        <v>#NAME?</v>
      </c>
      <c r="L794" t="e">
        <f ca="1">BDP("45204FF3 Muni","GB_MANAGEMENT_PROCEEDS")</f>
        <v>#NAME?</v>
      </c>
      <c r="M794" t="e">
        <f ca="1">BDP("45204FF3 Muni","GB_REPORTING")</f>
        <v>#NAME?</v>
      </c>
      <c r="N794" t="e">
        <f ca="1">BDP("45204FF3 Muni","GB_ASSURANCE_PROVIDERS")</f>
        <v>#NAME?</v>
      </c>
      <c r="O794" t="e">
        <f ca="1">BDP("45204FF3 Muni","GB_PROJECT_SELECTION_PROCESS")</f>
        <v>#NAME?</v>
      </c>
      <c r="P794" t="e">
        <f ca="1">BDP("45204FF3 Muni","ESG_FRAMEWORK_INDICATOR")</f>
        <v>#NAME?</v>
      </c>
      <c r="Q794" t="e">
        <f ca="1">BDP("45204FF3 Muni","BLOOMBERG_SECTOR_CODE")</f>
        <v>#NAME?</v>
      </c>
      <c r="R794" t="e">
        <f ca="1">BDP("45204FF3 Muni","ISSUER_TYPE")</f>
        <v>#NAME?</v>
      </c>
      <c r="S794" t="e">
        <f ca="1">BDS("45204FF3 Muni","ESG_PROJECT_CATEGORY", "aggregate=y")</f>
        <v>#NAME?</v>
      </c>
      <c r="T794" t="e">
        <f ca="1">BDS("45204FF3 Muni","ESG_PROJECT_SUBCATEGORY", "aggregate=y")</f>
        <v>#NAME?</v>
      </c>
    </row>
    <row r="795" spans="1:20" x14ac:dyDescent="0.25">
      <c r="A795" t="e">
        <f ca="1">BDP("479790KX Muni","ID_CUSIP")</f>
        <v>#NAME?</v>
      </c>
      <c r="B795" t="e">
        <f ca="1">BDP("479790KX Muni","STATE_CODE")</f>
        <v>#NAME?</v>
      </c>
      <c r="C795" t="s">
        <v>54</v>
      </c>
      <c r="D795" t="e">
        <f ca="1">BDP("479790KX Muni","YIELD_ON_ISSUE_DATE")</f>
        <v>#NAME?</v>
      </c>
      <c r="E795">
        <v>42310000</v>
      </c>
      <c r="F795" t="e">
        <f ca="1">BDP("479790KX Muni","ISSUE_DT")</f>
        <v>#NAME?</v>
      </c>
      <c r="G795" t="e">
        <f ca="1">BDP("479790KX Muni","MATURITY")</f>
        <v>#NAME?</v>
      </c>
      <c r="H795" t="e">
        <f ca="1">BDP("479790KX Muni","MUNI_TAX_PROV")</f>
        <v>#NAME?</v>
      </c>
      <c r="I795" t="e">
        <f ca="1">BDP("479790KX Muni","FINANCING_TYPE")</f>
        <v>#NAME?</v>
      </c>
      <c r="J795" t="e">
        <f ca="1">BDP("479790KX Muni","BICS_LEVEL_2_INDUSTRY_GROUP_NAME")</f>
        <v>#NAME?</v>
      </c>
      <c r="K795" t="e">
        <f ca="1">BDP("479790KX Muni","SELF_REPRTD_GREEN_INSTR_INDCTR")</f>
        <v>#NAME?</v>
      </c>
      <c r="L795" t="e">
        <f ca="1">BDP("479790KX Muni","GB_MANAGEMENT_PROCEEDS")</f>
        <v>#NAME?</v>
      </c>
      <c r="M795" t="e">
        <f ca="1">BDP("479790KX Muni","GB_REPORTING")</f>
        <v>#NAME?</v>
      </c>
      <c r="N795" t="e">
        <f ca="1">BDP("479790KX Muni","GB_ASSURANCE_PROVIDERS")</f>
        <v>#NAME?</v>
      </c>
      <c r="O795" t="e">
        <f ca="1">BDP("479790KX Muni","GB_PROJECT_SELECTION_PROCESS")</f>
        <v>#NAME?</v>
      </c>
      <c r="P795" t="e">
        <f ca="1">BDP("479790KX Muni","ESG_FRAMEWORK_INDICATOR")</f>
        <v>#NAME?</v>
      </c>
      <c r="Q795" t="e">
        <f ca="1">BDP("479790KX Muni","BLOOMBERG_SECTOR_CODE")</f>
        <v>#NAME?</v>
      </c>
      <c r="R795" t="e">
        <f ca="1">BDP("479790KX Muni","ISSUER_TYPE")</f>
        <v>#NAME?</v>
      </c>
      <c r="S795" t="e">
        <f ca="1">BDS("479790KX Muni","ESG_PROJECT_CATEGORY", "aggregate=y")</f>
        <v>#NAME?</v>
      </c>
      <c r="T795" t="e">
        <f ca="1">BDS("479790KX Muni","ESG_PROJECT_SUBCATEGORY", "aggregate=y")</f>
        <v>#NAME?</v>
      </c>
    </row>
    <row r="796" spans="1:20" x14ac:dyDescent="0.25">
      <c r="A796" t="e">
        <f ca="1">BDP("45204FC3 Muni","ID_CUSIP")</f>
        <v>#NAME?</v>
      </c>
      <c r="B796" t="e">
        <f ca="1">BDP("45204FC3 Muni","STATE_CODE")</f>
        <v>#NAME?</v>
      </c>
      <c r="C796" t="s">
        <v>53</v>
      </c>
      <c r="D796" t="e">
        <f ca="1">BDP("45204FC3 Muni","YIELD_ON_ISSUE_DATE")</f>
        <v>#NAME?</v>
      </c>
      <c r="E796">
        <v>17760000</v>
      </c>
      <c r="F796" t="e">
        <f ca="1">BDP("45204FC3 Muni","ISSUE_DT")</f>
        <v>#NAME?</v>
      </c>
      <c r="G796" t="e">
        <f ca="1">BDP("45204FC3 Muni","MATURITY")</f>
        <v>#NAME?</v>
      </c>
      <c r="H796" t="e">
        <f ca="1">BDP("45204FC3 Muni","MUNI_TAX_PROV")</f>
        <v>#NAME?</v>
      </c>
      <c r="I796" t="e">
        <f ca="1">BDP("45204FC3 Muni","FINANCING_TYPE")</f>
        <v>#NAME?</v>
      </c>
      <c r="J796" t="e">
        <f ca="1">BDP("45204FC3 Muni","BICS_LEVEL_2_INDUSTRY_GROUP_NAME")</f>
        <v>#NAME?</v>
      </c>
      <c r="K796" t="e">
        <f ca="1">BDP("45204FC3 Muni","SELF_REPRTD_GREEN_INSTR_INDCTR")</f>
        <v>#NAME?</v>
      </c>
      <c r="L796" t="e">
        <f ca="1">BDP("45204FC3 Muni","GB_MANAGEMENT_PROCEEDS")</f>
        <v>#NAME?</v>
      </c>
      <c r="M796" t="e">
        <f ca="1">BDP("45204FC3 Muni","GB_REPORTING")</f>
        <v>#NAME?</v>
      </c>
      <c r="N796" t="e">
        <f ca="1">BDP("45204FC3 Muni","GB_ASSURANCE_PROVIDERS")</f>
        <v>#NAME?</v>
      </c>
      <c r="O796" t="e">
        <f ca="1">BDP("45204FC3 Muni","GB_PROJECT_SELECTION_PROCESS")</f>
        <v>#NAME?</v>
      </c>
      <c r="P796" t="e">
        <f ca="1">BDP("45204FC3 Muni","ESG_FRAMEWORK_INDICATOR")</f>
        <v>#NAME?</v>
      </c>
      <c r="Q796" t="e">
        <f ca="1">BDP("45204FC3 Muni","BLOOMBERG_SECTOR_CODE")</f>
        <v>#NAME?</v>
      </c>
      <c r="R796" t="e">
        <f ca="1">BDP("45204FC3 Muni","ISSUER_TYPE")</f>
        <v>#NAME?</v>
      </c>
      <c r="S796" t="e">
        <f ca="1">BDS("45204FC3 Muni","ESG_PROJECT_CATEGORY", "aggregate=y")</f>
        <v>#NAME?</v>
      </c>
      <c r="T796" t="e">
        <f ca="1">BDS("45204FC3 Muni","ESG_PROJECT_SUBCATEGORY", "aggregate=y")</f>
        <v>#NAME?</v>
      </c>
    </row>
    <row r="797" spans="1:20" x14ac:dyDescent="0.25">
      <c r="A797" t="e">
        <f ca="1">BDP("45204FC5 Muni","ID_CUSIP")</f>
        <v>#NAME?</v>
      </c>
      <c r="B797" t="e">
        <f ca="1">BDP("45204FC5 Muni","STATE_CODE")</f>
        <v>#NAME?</v>
      </c>
      <c r="C797" t="s">
        <v>53</v>
      </c>
      <c r="D797" t="e">
        <f ca="1">BDP("45204FC5 Muni","YIELD_ON_ISSUE_DATE")</f>
        <v>#NAME?</v>
      </c>
      <c r="E797">
        <v>39475000</v>
      </c>
      <c r="F797" t="e">
        <f ca="1">BDP("45204FC5 Muni","ISSUE_DT")</f>
        <v>#NAME?</v>
      </c>
      <c r="G797" t="e">
        <f ca="1">BDP("45204FC5 Muni","MATURITY")</f>
        <v>#NAME?</v>
      </c>
      <c r="H797" t="e">
        <f ca="1">BDP("45204FC5 Muni","MUNI_TAX_PROV")</f>
        <v>#NAME?</v>
      </c>
      <c r="I797" t="e">
        <f ca="1">BDP("45204FC5 Muni","FINANCING_TYPE")</f>
        <v>#NAME?</v>
      </c>
      <c r="J797" t="e">
        <f ca="1">BDP("45204FC5 Muni","BICS_LEVEL_2_INDUSTRY_GROUP_NAME")</f>
        <v>#NAME?</v>
      </c>
      <c r="K797" t="e">
        <f ca="1">BDP("45204FC5 Muni","SELF_REPRTD_GREEN_INSTR_INDCTR")</f>
        <v>#NAME?</v>
      </c>
      <c r="L797" t="e">
        <f ca="1">BDP("45204FC5 Muni","GB_MANAGEMENT_PROCEEDS")</f>
        <v>#NAME?</v>
      </c>
      <c r="M797" t="e">
        <f ca="1">BDP("45204FC5 Muni","GB_REPORTING")</f>
        <v>#NAME?</v>
      </c>
      <c r="N797" t="e">
        <f ca="1">BDP("45204FC5 Muni","GB_ASSURANCE_PROVIDERS")</f>
        <v>#NAME?</v>
      </c>
      <c r="O797" t="e">
        <f ca="1">BDP("45204FC5 Muni","GB_PROJECT_SELECTION_PROCESS")</f>
        <v>#NAME?</v>
      </c>
      <c r="P797" t="e">
        <f ca="1">BDP("45204FC5 Muni","ESG_FRAMEWORK_INDICATOR")</f>
        <v>#NAME?</v>
      </c>
      <c r="Q797" t="e">
        <f ca="1">BDP("45204FC5 Muni","BLOOMBERG_SECTOR_CODE")</f>
        <v>#NAME?</v>
      </c>
      <c r="R797" t="e">
        <f ca="1">BDP("45204FC5 Muni","ISSUER_TYPE")</f>
        <v>#NAME?</v>
      </c>
      <c r="S797" t="e">
        <f ca="1">BDS("45204FC5 Muni","ESG_PROJECT_CATEGORY", "aggregate=y")</f>
        <v>#NAME?</v>
      </c>
      <c r="T797" t="e">
        <f ca="1">BDS("45204FC5 Muni","ESG_PROJECT_SUBCATEGORY", "aggregate=y")</f>
        <v>#NAME?</v>
      </c>
    </row>
    <row r="798" spans="1:20" x14ac:dyDescent="0.25">
      <c r="A798" t="e">
        <f ca="1">BDP("45204FE7 Muni","ID_CUSIP")</f>
        <v>#NAME?</v>
      </c>
      <c r="B798" t="e">
        <f ca="1">BDP("45204FE7 Muni","STATE_CODE")</f>
        <v>#NAME?</v>
      </c>
      <c r="C798" t="s">
        <v>53</v>
      </c>
      <c r="D798" t="e">
        <f ca="1">BDP("45204FE7 Muni","YIELD_ON_ISSUE_DATE")</f>
        <v>#NAME?</v>
      </c>
      <c r="E798">
        <v>20960000</v>
      </c>
      <c r="F798" t="e">
        <f ca="1">BDP("45204FE7 Muni","ISSUE_DT")</f>
        <v>#NAME?</v>
      </c>
      <c r="G798" t="e">
        <f ca="1">BDP("45204FE7 Muni","MATURITY")</f>
        <v>#NAME?</v>
      </c>
      <c r="H798" t="e">
        <f ca="1">BDP("45204FE7 Muni","MUNI_TAX_PROV")</f>
        <v>#NAME?</v>
      </c>
      <c r="I798" t="e">
        <f ca="1">BDP("45204FE7 Muni","FINANCING_TYPE")</f>
        <v>#NAME?</v>
      </c>
      <c r="J798" t="e">
        <f ca="1">BDP("45204FE7 Muni","BICS_LEVEL_2_INDUSTRY_GROUP_NAME")</f>
        <v>#NAME?</v>
      </c>
      <c r="K798" t="e">
        <f ca="1">BDP("45204FE7 Muni","SELF_REPRTD_GREEN_INSTR_INDCTR")</f>
        <v>#NAME?</v>
      </c>
      <c r="L798" t="e">
        <f ca="1">BDP("45204FE7 Muni","GB_MANAGEMENT_PROCEEDS")</f>
        <v>#NAME?</v>
      </c>
      <c r="M798" t="e">
        <f ca="1">BDP("45204FE7 Muni","GB_REPORTING")</f>
        <v>#NAME?</v>
      </c>
      <c r="N798" t="e">
        <f ca="1">BDP("45204FE7 Muni","GB_ASSURANCE_PROVIDERS")</f>
        <v>#NAME?</v>
      </c>
      <c r="O798" t="e">
        <f ca="1">BDP("45204FE7 Muni","GB_PROJECT_SELECTION_PROCESS")</f>
        <v>#NAME?</v>
      </c>
      <c r="P798" t="e">
        <f ca="1">BDP("45204FE7 Muni","ESG_FRAMEWORK_INDICATOR")</f>
        <v>#NAME?</v>
      </c>
      <c r="Q798" t="e">
        <f ca="1">BDP("45204FE7 Muni","BLOOMBERG_SECTOR_CODE")</f>
        <v>#NAME?</v>
      </c>
      <c r="R798" t="e">
        <f ca="1">BDP("45204FE7 Muni","ISSUER_TYPE")</f>
        <v>#NAME?</v>
      </c>
      <c r="S798" t="e">
        <f ca="1">BDS("45204FE7 Muni","ESG_PROJECT_CATEGORY", "aggregate=y")</f>
        <v>#NAME?</v>
      </c>
      <c r="T798" t="e">
        <f ca="1">BDS("45204FE7 Muni","ESG_PROJECT_SUBCATEGORY", "aggregate=y")</f>
        <v>#NAME?</v>
      </c>
    </row>
    <row r="799" spans="1:20" x14ac:dyDescent="0.25">
      <c r="A799" t="e">
        <f ca="1">BDP("45204FE5 Muni","ID_CUSIP")</f>
        <v>#NAME?</v>
      </c>
      <c r="B799" t="e">
        <f ca="1">BDP("45204FE5 Muni","STATE_CODE")</f>
        <v>#NAME?</v>
      </c>
      <c r="C799" t="s">
        <v>53</v>
      </c>
      <c r="D799" t="e">
        <f ca="1">BDP("45204FE5 Muni","YIELD_ON_ISSUE_DATE")</f>
        <v>#NAME?</v>
      </c>
      <c r="E799">
        <v>25440000</v>
      </c>
      <c r="F799" t="e">
        <f ca="1">BDP("45204FE5 Muni","ISSUE_DT")</f>
        <v>#NAME?</v>
      </c>
      <c r="G799" t="e">
        <f ca="1">BDP("45204FE5 Muni","MATURITY")</f>
        <v>#NAME?</v>
      </c>
      <c r="H799" t="e">
        <f ca="1">BDP("45204FE5 Muni","MUNI_TAX_PROV")</f>
        <v>#NAME?</v>
      </c>
      <c r="I799" t="e">
        <f ca="1">BDP("45204FE5 Muni","FINANCING_TYPE")</f>
        <v>#NAME?</v>
      </c>
      <c r="J799" t="e">
        <f ca="1">BDP("45204FE5 Muni","BICS_LEVEL_2_INDUSTRY_GROUP_NAME")</f>
        <v>#NAME?</v>
      </c>
      <c r="K799" t="e">
        <f ca="1">BDP("45204FE5 Muni","SELF_REPRTD_GREEN_INSTR_INDCTR")</f>
        <v>#NAME?</v>
      </c>
      <c r="L799" t="e">
        <f ca="1">BDP("45204FE5 Muni","GB_MANAGEMENT_PROCEEDS")</f>
        <v>#NAME?</v>
      </c>
      <c r="M799" t="e">
        <f ca="1">BDP("45204FE5 Muni","GB_REPORTING")</f>
        <v>#NAME?</v>
      </c>
      <c r="N799" t="e">
        <f ca="1">BDP("45204FE5 Muni","GB_ASSURANCE_PROVIDERS")</f>
        <v>#NAME?</v>
      </c>
      <c r="O799" t="e">
        <f ca="1">BDP("45204FE5 Muni","GB_PROJECT_SELECTION_PROCESS")</f>
        <v>#NAME?</v>
      </c>
      <c r="P799" t="e">
        <f ca="1">BDP("45204FE5 Muni","ESG_FRAMEWORK_INDICATOR")</f>
        <v>#NAME?</v>
      </c>
      <c r="Q799" t="e">
        <f ca="1">BDP("45204FE5 Muni","BLOOMBERG_SECTOR_CODE")</f>
        <v>#NAME?</v>
      </c>
      <c r="R799" t="e">
        <f ca="1">BDP("45204FE5 Muni","ISSUER_TYPE")</f>
        <v>#NAME?</v>
      </c>
      <c r="S799" t="e">
        <f ca="1">BDS("45204FE5 Muni","ESG_PROJECT_CATEGORY", "aggregate=y")</f>
        <v>#NAME?</v>
      </c>
      <c r="T799" t="e">
        <f ca="1">BDS("45204FE5 Muni","ESG_PROJECT_SUBCATEGORY", "aggregate=y")</f>
        <v>#NAME?</v>
      </c>
    </row>
    <row r="800" spans="1:20" x14ac:dyDescent="0.25">
      <c r="A800" t="e">
        <f ca="1">BDP("45204FE9 Muni","ID_CUSIP")</f>
        <v>#NAME?</v>
      </c>
      <c r="B800" t="e">
        <f ca="1">BDP("45204FE9 Muni","STATE_CODE")</f>
        <v>#NAME?</v>
      </c>
      <c r="C800" t="s">
        <v>53</v>
      </c>
      <c r="D800" t="e">
        <f ca="1">BDP("45204FE9 Muni","YIELD_ON_ISSUE_DATE")</f>
        <v>#NAME?</v>
      </c>
      <c r="E800">
        <v>18345000</v>
      </c>
      <c r="F800" t="e">
        <f ca="1">BDP("45204FE9 Muni","ISSUE_DT")</f>
        <v>#NAME?</v>
      </c>
      <c r="G800" t="e">
        <f ca="1">BDP("45204FE9 Muni","MATURITY")</f>
        <v>#NAME?</v>
      </c>
      <c r="H800" t="e">
        <f ca="1">BDP("45204FE9 Muni","MUNI_TAX_PROV")</f>
        <v>#NAME?</v>
      </c>
      <c r="I800" t="e">
        <f ca="1">BDP("45204FE9 Muni","FINANCING_TYPE")</f>
        <v>#NAME?</v>
      </c>
      <c r="J800" t="e">
        <f ca="1">BDP("45204FE9 Muni","BICS_LEVEL_2_INDUSTRY_GROUP_NAME")</f>
        <v>#NAME?</v>
      </c>
      <c r="K800" t="e">
        <f ca="1">BDP("45204FE9 Muni","SELF_REPRTD_GREEN_INSTR_INDCTR")</f>
        <v>#NAME?</v>
      </c>
      <c r="L800" t="e">
        <f ca="1">BDP("45204FE9 Muni","GB_MANAGEMENT_PROCEEDS")</f>
        <v>#NAME?</v>
      </c>
      <c r="M800" t="e">
        <f ca="1">BDP("45204FE9 Muni","GB_REPORTING")</f>
        <v>#NAME?</v>
      </c>
      <c r="N800" t="e">
        <f ca="1">BDP("45204FE9 Muni","GB_ASSURANCE_PROVIDERS")</f>
        <v>#NAME?</v>
      </c>
      <c r="O800" t="e">
        <f ca="1">BDP("45204FE9 Muni","GB_PROJECT_SELECTION_PROCESS")</f>
        <v>#NAME?</v>
      </c>
      <c r="P800" t="e">
        <f ca="1">BDP("45204FE9 Muni","ESG_FRAMEWORK_INDICATOR")</f>
        <v>#NAME?</v>
      </c>
      <c r="Q800" t="e">
        <f ca="1">BDP("45204FE9 Muni","BLOOMBERG_SECTOR_CODE")</f>
        <v>#NAME?</v>
      </c>
      <c r="R800" t="e">
        <f ca="1">BDP("45204FE9 Muni","ISSUER_TYPE")</f>
        <v>#NAME?</v>
      </c>
      <c r="S800" t="e">
        <f ca="1">BDS("45204FE9 Muni","ESG_PROJECT_CATEGORY", "aggregate=y")</f>
        <v>#NAME?</v>
      </c>
      <c r="T800" t="e">
        <f ca="1">BDS("45204FE9 Muni","ESG_PROJECT_SUBCATEGORY", "aggregate=y")</f>
        <v>#NAME?</v>
      </c>
    </row>
    <row r="801" spans="1:20" x14ac:dyDescent="0.25">
      <c r="A801" t="e">
        <f ca="1">BDP("45204FD7 Muni","ID_CUSIP")</f>
        <v>#NAME?</v>
      </c>
      <c r="B801" t="e">
        <f ca="1">BDP("45204FD7 Muni","STATE_CODE")</f>
        <v>#NAME?</v>
      </c>
      <c r="C801" t="s">
        <v>53</v>
      </c>
      <c r="D801" t="e">
        <f ca="1">BDP("45204FD7 Muni","YIELD_ON_ISSUE_DATE")</f>
        <v>#NAME?</v>
      </c>
      <c r="E801">
        <v>6525000</v>
      </c>
      <c r="F801" t="e">
        <f ca="1">BDP("45204FD7 Muni","ISSUE_DT")</f>
        <v>#NAME?</v>
      </c>
      <c r="G801" t="e">
        <f ca="1">BDP("45204FD7 Muni","MATURITY")</f>
        <v>#NAME?</v>
      </c>
      <c r="H801" t="e">
        <f ca="1">BDP("45204FD7 Muni","MUNI_TAX_PROV")</f>
        <v>#NAME?</v>
      </c>
      <c r="I801" t="e">
        <f ca="1">BDP("45204FD7 Muni","FINANCING_TYPE")</f>
        <v>#NAME?</v>
      </c>
      <c r="J801" t="e">
        <f ca="1">BDP("45204FD7 Muni","BICS_LEVEL_2_INDUSTRY_GROUP_NAME")</f>
        <v>#NAME?</v>
      </c>
      <c r="K801" t="e">
        <f ca="1">BDP("45204FD7 Muni","SELF_REPRTD_GREEN_INSTR_INDCTR")</f>
        <v>#NAME?</v>
      </c>
      <c r="L801" t="e">
        <f ca="1">BDP("45204FD7 Muni","GB_MANAGEMENT_PROCEEDS")</f>
        <v>#NAME?</v>
      </c>
      <c r="M801" t="e">
        <f ca="1">BDP("45204FD7 Muni","GB_REPORTING")</f>
        <v>#NAME?</v>
      </c>
      <c r="N801" t="e">
        <f ca="1">BDP("45204FD7 Muni","GB_ASSURANCE_PROVIDERS")</f>
        <v>#NAME?</v>
      </c>
      <c r="O801" t="e">
        <f ca="1">BDP("45204FD7 Muni","GB_PROJECT_SELECTION_PROCESS")</f>
        <v>#NAME?</v>
      </c>
      <c r="P801" t="e">
        <f ca="1">BDP("45204FD7 Muni","ESG_FRAMEWORK_INDICATOR")</f>
        <v>#NAME?</v>
      </c>
      <c r="Q801" t="e">
        <f ca="1">BDP("45204FD7 Muni","BLOOMBERG_SECTOR_CODE")</f>
        <v>#NAME?</v>
      </c>
      <c r="R801" t="e">
        <f ca="1">BDP("45204FD7 Muni","ISSUER_TYPE")</f>
        <v>#NAME?</v>
      </c>
      <c r="S801" t="e">
        <f ca="1">BDS("45204FD7 Muni","ESG_PROJECT_CATEGORY", "aggregate=y")</f>
        <v>#NAME?</v>
      </c>
      <c r="T801" t="e">
        <f ca="1">BDS("45204FD7 Muni","ESG_PROJECT_SUBCATEGORY", "aggregate=y")</f>
        <v>#NAME?</v>
      </c>
    </row>
    <row r="802" spans="1:20" x14ac:dyDescent="0.25">
      <c r="A802" t="e">
        <f ca="1">BDP("45204FC6 Muni","ID_CUSIP")</f>
        <v>#NAME?</v>
      </c>
      <c r="B802" t="e">
        <f ca="1">BDP("45204FC6 Muni","STATE_CODE")</f>
        <v>#NAME?</v>
      </c>
      <c r="C802" t="s">
        <v>53</v>
      </c>
      <c r="D802" t="e">
        <f ca="1">BDP("45204FC6 Muni","YIELD_ON_ISSUE_DATE")</f>
        <v>#NAME?</v>
      </c>
      <c r="E802">
        <v>41155000</v>
      </c>
      <c r="F802" t="e">
        <f ca="1">BDP("45204FC6 Muni","ISSUE_DT")</f>
        <v>#NAME?</v>
      </c>
      <c r="G802" t="e">
        <f ca="1">BDP("45204FC6 Muni","MATURITY")</f>
        <v>#NAME?</v>
      </c>
      <c r="H802" t="e">
        <f ca="1">BDP("45204FC6 Muni","MUNI_TAX_PROV")</f>
        <v>#NAME?</v>
      </c>
      <c r="I802" t="e">
        <f ca="1">BDP("45204FC6 Muni","FINANCING_TYPE")</f>
        <v>#NAME?</v>
      </c>
      <c r="J802" t="e">
        <f ca="1">BDP("45204FC6 Muni","BICS_LEVEL_2_INDUSTRY_GROUP_NAME")</f>
        <v>#NAME?</v>
      </c>
      <c r="K802" t="e">
        <f ca="1">BDP("45204FC6 Muni","SELF_REPRTD_GREEN_INSTR_INDCTR")</f>
        <v>#NAME?</v>
      </c>
      <c r="L802" t="e">
        <f ca="1">BDP("45204FC6 Muni","GB_MANAGEMENT_PROCEEDS")</f>
        <v>#NAME?</v>
      </c>
      <c r="M802" t="e">
        <f ca="1">BDP("45204FC6 Muni","GB_REPORTING")</f>
        <v>#NAME?</v>
      </c>
      <c r="N802" t="e">
        <f ca="1">BDP("45204FC6 Muni","GB_ASSURANCE_PROVIDERS")</f>
        <v>#NAME?</v>
      </c>
      <c r="O802" t="e">
        <f ca="1">BDP("45204FC6 Muni","GB_PROJECT_SELECTION_PROCESS")</f>
        <v>#NAME?</v>
      </c>
      <c r="P802" t="e">
        <f ca="1">BDP("45204FC6 Muni","ESG_FRAMEWORK_INDICATOR")</f>
        <v>#NAME?</v>
      </c>
      <c r="Q802" t="e">
        <f ca="1">BDP("45204FC6 Muni","BLOOMBERG_SECTOR_CODE")</f>
        <v>#NAME?</v>
      </c>
      <c r="R802" t="e">
        <f ca="1">BDP("45204FC6 Muni","ISSUER_TYPE")</f>
        <v>#NAME?</v>
      </c>
      <c r="S802" t="e">
        <f ca="1">BDS("45204FC6 Muni","ESG_PROJECT_CATEGORY", "aggregate=y")</f>
        <v>#NAME?</v>
      </c>
      <c r="T802" t="e">
        <f ca="1">BDS("45204FC6 Muni","ESG_PROJECT_SUBCATEGORY", "aggregate=y")</f>
        <v>#NAME?</v>
      </c>
    </row>
    <row r="803" spans="1:20" x14ac:dyDescent="0.25">
      <c r="A803" t="e">
        <f ca="1">BDP("45204FD6 Muni","ID_CUSIP")</f>
        <v>#NAME?</v>
      </c>
      <c r="B803" t="e">
        <f ca="1">BDP("45204FD6 Muni","STATE_CODE")</f>
        <v>#NAME?</v>
      </c>
      <c r="C803" t="s">
        <v>53</v>
      </c>
      <c r="D803" t="e">
        <f ca="1">BDP("45204FD6 Muni","YIELD_ON_ISSUE_DATE")</f>
        <v>#NAME?</v>
      </c>
      <c r="E803">
        <v>8640000</v>
      </c>
      <c r="F803" t="e">
        <f ca="1">BDP("45204FD6 Muni","ISSUE_DT")</f>
        <v>#NAME?</v>
      </c>
      <c r="G803" t="e">
        <f ca="1">BDP("45204FD6 Muni","MATURITY")</f>
        <v>#NAME?</v>
      </c>
      <c r="H803" t="e">
        <f ca="1">BDP("45204FD6 Muni","MUNI_TAX_PROV")</f>
        <v>#NAME?</v>
      </c>
      <c r="I803" t="e">
        <f ca="1">BDP("45204FD6 Muni","FINANCING_TYPE")</f>
        <v>#NAME?</v>
      </c>
      <c r="J803" t="e">
        <f ca="1">BDP("45204FD6 Muni","BICS_LEVEL_2_INDUSTRY_GROUP_NAME")</f>
        <v>#NAME?</v>
      </c>
      <c r="K803" t="e">
        <f ca="1">BDP("45204FD6 Muni","SELF_REPRTD_GREEN_INSTR_INDCTR")</f>
        <v>#NAME?</v>
      </c>
      <c r="L803" t="e">
        <f ca="1">BDP("45204FD6 Muni","GB_MANAGEMENT_PROCEEDS")</f>
        <v>#NAME?</v>
      </c>
      <c r="M803" t="e">
        <f ca="1">BDP("45204FD6 Muni","GB_REPORTING")</f>
        <v>#NAME?</v>
      </c>
      <c r="N803" t="e">
        <f ca="1">BDP("45204FD6 Muni","GB_ASSURANCE_PROVIDERS")</f>
        <v>#NAME?</v>
      </c>
      <c r="O803" t="e">
        <f ca="1">BDP("45204FD6 Muni","GB_PROJECT_SELECTION_PROCESS")</f>
        <v>#NAME?</v>
      </c>
      <c r="P803" t="e">
        <f ca="1">BDP("45204FD6 Muni","ESG_FRAMEWORK_INDICATOR")</f>
        <v>#NAME?</v>
      </c>
      <c r="Q803" t="e">
        <f ca="1">BDP("45204FD6 Muni","BLOOMBERG_SECTOR_CODE")</f>
        <v>#NAME?</v>
      </c>
      <c r="R803" t="e">
        <f ca="1">BDP("45204FD6 Muni","ISSUER_TYPE")</f>
        <v>#NAME?</v>
      </c>
      <c r="S803" t="e">
        <f ca="1">BDS("45204FD6 Muni","ESG_PROJECT_CATEGORY", "aggregate=y")</f>
        <v>#NAME?</v>
      </c>
      <c r="T803" t="e">
        <f ca="1">BDS("45204FD6 Muni","ESG_PROJECT_SUBCATEGORY", "aggregate=y")</f>
        <v>#NAME?</v>
      </c>
    </row>
    <row r="804" spans="1:20" x14ac:dyDescent="0.25">
      <c r="A804" t="e">
        <f ca="1">BDP("45204FA2 Muni","ID_CUSIP")</f>
        <v>#NAME?</v>
      </c>
      <c r="B804" t="e">
        <f ca="1">BDP("45204FA2 Muni","STATE_CODE")</f>
        <v>#NAME?</v>
      </c>
      <c r="C804" t="s">
        <v>53</v>
      </c>
      <c r="D804" t="e">
        <f ca="1">BDP("45204FA2 Muni","YIELD_ON_ISSUE_DATE")</f>
        <v>#NAME?</v>
      </c>
      <c r="E804">
        <v>7670000</v>
      </c>
      <c r="F804" t="e">
        <f ca="1">BDP("45204FA2 Muni","ISSUE_DT")</f>
        <v>#NAME?</v>
      </c>
      <c r="G804" t="e">
        <f ca="1">BDP("45204FA2 Muni","MATURITY")</f>
        <v>#NAME?</v>
      </c>
      <c r="H804" t="e">
        <f ca="1">BDP("45204FA2 Muni","MUNI_TAX_PROV")</f>
        <v>#NAME?</v>
      </c>
      <c r="I804" t="e">
        <f ca="1">BDP("45204FA2 Muni","FINANCING_TYPE")</f>
        <v>#NAME?</v>
      </c>
      <c r="J804" t="e">
        <f ca="1">BDP("45204FA2 Muni","BICS_LEVEL_2_INDUSTRY_GROUP_NAME")</f>
        <v>#NAME?</v>
      </c>
      <c r="K804" t="e">
        <f ca="1">BDP("45204FA2 Muni","SELF_REPRTD_GREEN_INSTR_INDCTR")</f>
        <v>#NAME?</v>
      </c>
      <c r="L804" t="e">
        <f ca="1">BDP("45204FA2 Muni","GB_MANAGEMENT_PROCEEDS")</f>
        <v>#NAME?</v>
      </c>
      <c r="M804" t="e">
        <f ca="1">BDP("45204FA2 Muni","GB_REPORTING")</f>
        <v>#NAME?</v>
      </c>
      <c r="N804" t="e">
        <f ca="1">BDP("45204FA2 Muni","GB_ASSURANCE_PROVIDERS")</f>
        <v>#NAME?</v>
      </c>
      <c r="O804" t="e">
        <f ca="1">BDP("45204FA2 Muni","GB_PROJECT_SELECTION_PROCESS")</f>
        <v>#NAME?</v>
      </c>
      <c r="P804" t="e">
        <f ca="1">BDP("45204FA2 Muni","ESG_FRAMEWORK_INDICATOR")</f>
        <v>#NAME?</v>
      </c>
      <c r="Q804" t="e">
        <f ca="1">BDP("45204FA2 Muni","BLOOMBERG_SECTOR_CODE")</f>
        <v>#NAME?</v>
      </c>
      <c r="R804" t="e">
        <f ca="1">BDP("45204FA2 Muni","ISSUER_TYPE")</f>
        <v>#NAME?</v>
      </c>
      <c r="S804" t="e">
        <f ca="1">BDS("45204FA2 Muni","ESG_PROJECT_CATEGORY", "aggregate=y")</f>
        <v>#NAME?</v>
      </c>
      <c r="T804" t="e">
        <f ca="1">BDS("45204FA2 Muni","ESG_PROJECT_SUBCATEGORY", "aggregate=y")</f>
        <v>#NAME?</v>
      </c>
    </row>
    <row r="805" spans="1:20" x14ac:dyDescent="0.25">
      <c r="A805" t="e">
        <f ca="1">BDP("45204FC9 Muni","ID_CUSIP")</f>
        <v>#NAME?</v>
      </c>
      <c r="B805" t="e">
        <f ca="1">BDP("45204FC9 Muni","STATE_CODE")</f>
        <v>#NAME?</v>
      </c>
      <c r="C805" t="s">
        <v>53</v>
      </c>
      <c r="D805" t="e">
        <f ca="1">BDP("45204FC9 Muni","YIELD_ON_ISSUE_DATE")</f>
        <v>#NAME?</v>
      </c>
      <c r="E805">
        <v>32315000</v>
      </c>
      <c r="F805" t="e">
        <f ca="1">BDP("45204FC9 Muni","ISSUE_DT")</f>
        <v>#NAME?</v>
      </c>
      <c r="G805" t="e">
        <f ca="1">BDP("45204FC9 Muni","MATURITY")</f>
        <v>#NAME?</v>
      </c>
      <c r="H805" t="e">
        <f ca="1">BDP("45204FC9 Muni","MUNI_TAX_PROV")</f>
        <v>#NAME?</v>
      </c>
      <c r="I805" t="e">
        <f ca="1">BDP("45204FC9 Muni","FINANCING_TYPE")</f>
        <v>#NAME?</v>
      </c>
      <c r="J805" t="e">
        <f ca="1">BDP("45204FC9 Muni","BICS_LEVEL_2_INDUSTRY_GROUP_NAME")</f>
        <v>#NAME?</v>
      </c>
      <c r="K805" t="e">
        <f ca="1">BDP("45204FC9 Muni","SELF_REPRTD_GREEN_INSTR_INDCTR")</f>
        <v>#NAME?</v>
      </c>
      <c r="L805" t="e">
        <f ca="1">BDP("45204FC9 Muni","GB_MANAGEMENT_PROCEEDS")</f>
        <v>#NAME?</v>
      </c>
      <c r="M805" t="e">
        <f ca="1">BDP("45204FC9 Muni","GB_REPORTING")</f>
        <v>#NAME?</v>
      </c>
      <c r="N805" t="e">
        <f ca="1">BDP("45204FC9 Muni","GB_ASSURANCE_PROVIDERS")</f>
        <v>#NAME?</v>
      </c>
      <c r="O805" t="e">
        <f ca="1">BDP("45204FC9 Muni","GB_PROJECT_SELECTION_PROCESS")</f>
        <v>#NAME?</v>
      </c>
      <c r="P805" t="e">
        <f ca="1">BDP("45204FC9 Muni","ESG_FRAMEWORK_INDICATOR")</f>
        <v>#NAME?</v>
      </c>
      <c r="Q805" t="e">
        <f ca="1">BDP("45204FC9 Muni","BLOOMBERG_SECTOR_CODE")</f>
        <v>#NAME?</v>
      </c>
      <c r="R805" t="e">
        <f ca="1">BDP("45204FC9 Muni","ISSUER_TYPE")</f>
        <v>#NAME?</v>
      </c>
      <c r="S805" t="e">
        <f ca="1">BDS("45204FC9 Muni","ESG_PROJECT_CATEGORY", "aggregate=y")</f>
        <v>#NAME?</v>
      </c>
      <c r="T805" t="e">
        <f ca="1">BDS("45204FC9 Muni","ESG_PROJECT_SUBCATEGORY", "aggregate=y")</f>
        <v>#NAME?</v>
      </c>
    </row>
    <row r="806" spans="1:20" x14ac:dyDescent="0.25">
      <c r="A806" t="e">
        <f ca="1">BDP("45204FD3 Muni","ID_CUSIP")</f>
        <v>#NAME?</v>
      </c>
      <c r="B806" t="e">
        <f ca="1">BDP("45204FD3 Muni","STATE_CODE")</f>
        <v>#NAME?</v>
      </c>
      <c r="C806" t="s">
        <v>53</v>
      </c>
      <c r="D806" t="e">
        <f ca="1">BDP("45204FD3 Muni","YIELD_ON_ISSUE_DATE")</f>
        <v>#NAME?</v>
      </c>
      <c r="E806">
        <v>13605000</v>
      </c>
      <c r="F806" t="e">
        <f ca="1">BDP("45204FD3 Muni","ISSUE_DT")</f>
        <v>#NAME?</v>
      </c>
      <c r="G806" t="e">
        <f ca="1">BDP("45204FD3 Muni","MATURITY")</f>
        <v>#NAME?</v>
      </c>
      <c r="H806" t="e">
        <f ca="1">BDP("45204FD3 Muni","MUNI_TAX_PROV")</f>
        <v>#NAME?</v>
      </c>
      <c r="I806" t="e">
        <f ca="1">BDP("45204FD3 Muni","FINANCING_TYPE")</f>
        <v>#NAME?</v>
      </c>
      <c r="J806" t="e">
        <f ca="1">BDP("45204FD3 Muni","BICS_LEVEL_2_INDUSTRY_GROUP_NAME")</f>
        <v>#NAME?</v>
      </c>
      <c r="K806" t="e">
        <f ca="1">BDP("45204FD3 Muni","SELF_REPRTD_GREEN_INSTR_INDCTR")</f>
        <v>#NAME?</v>
      </c>
      <c r="L806" t="e">
        <f ca="1">BDP("45204FD3 Muni","GB_MANAGEMENT_PROCEEDS")</f>
        <v>#NAME?</v>
      </c>
      <c r="M806" t="e">
        <f ca="1">BDP("45204FD3 Muni","GB_REPORTING")</f>
        <v>#NAME?</v>
      </c>
      <c r="N806" t="e">
        <f ca="1">BDP("45204FD3 Muni","GB_ASSURANCE_PROVIDERS")</f>
        <v>#NAME?</v>
      </c>
      <c r="O806" t="e">
        <f ca="1">BDP("45204FD3 Muni","GB_PROJECT_SELECTION_PROCESS")</f>
        <v>#NAME?</v>
      </c>
      <c r="P806" t="e">
        <f ca="1">BDP("45204FD3 Muni","ESG_FRAMEWORK_INDICATOR")</f>
        <v>#NAME?</v>
      </c>
      <c r="Q806" t="e">
        <f ca="1">BDP("45204FD3 Muni","BLOOMBERG_SECTOR_CODE")</f>
        <v>#NAME?</v>
      </c>
      <c r="R806" t="e">
        <f ca="1">BDP("45204FD3 Muni","ISSUER_TYPE")</f>
        <v>#NAME?</v>
      </c>
      <c r="S806" t="e">
        <f ca="1">BDS("45204FD3 Muni","ESG_PROJECT_CATEGORY", "aggregate=y")</f>
        <v>#NAME?</v>
      </c>
      <c r="T806" t="e">
        <f ca="1">BDS("45204FD3 Muni","ESG_PROJECT_SUBCATEGORY", "aggregate=y")</f>
        <v>#NAME?</v>
      </c>
    </row>
    <row r="807" spans="1:20" x14ac:dyDescent="0.25">
      <c r="A807" t="e">
        <f ca="1">BDP("45204FC4 Muni","ID_CUSIP")</f>
        <v>#NAME?</v>
      </c>
      <c r="B807" t="e">
        <f ca="1">BDP("45204FC4 Muni","STATE_CODE")</f>
        <v>#NAME?</v>
      </c>
      <c r="C807" t="s">
        <v>53</v>
      </c>
      <c r="D807" t="e">
        <f ca="1">BDP("45204FC4 Muni","YIELD_ON_ISSUE_DATE")</f>
        <v>#NAME?</v>
      </c>
      <c r="E807">
        <v>18945000</v>
      </c>
      <c r="F807" t="e">
        <f ca="1">BDP("45204FC4 Muni","ISSUE_DT")</f>
        <v>#NAME?</v>
      </c>
      <c r="G807" t="e">
        <f ca="1">BDP("45204FC4 Muni","MATURITY")</f>
        <v>#NAME?</v>
      </c>
      <c r="H807" t="e">
        <f ca="1">BDP("45204FC4 Muni","MUNI_TAX_PROV")</f>
        <v>#NAME?</v>
      </c>
      <c r="I807" t="e">
        <f ca="1">BDP("45204FC4 Muni","FINANCING_TYPE")</f>
        <v>#NAME?</v>
      </c>
      <c r="J807" t="e">
        <f ca="1">BDP("45204FC4 Muni","BICS_LEVEL_2_INDUSTRY_GROUP_NAME")</f>
        <v>#NAME?</v>
      </c>
      <c r="K807" t="e">
        <f ca="1">BDP("45204FC4 Muni","SELF_REPRTD_GREEN_INSTR_INDCTR")</f>
        <v>#NAME?</v>
      </c>
      <c r="L807" t="e">
        <f ca="1">BDP("45204FC4 Muni","GB_MANAGEMENT_PROCEEDS")</f>
        <v>#NAME?</v>
      </c>
      <c r="M807" t="e">
        <f ca="1">BDP("45204FC4 Muni","GB_REPORTING")</f>
        <v>#NAME?</v>
      </c>
      <c r="N807" t="e">
        <f ca="1">BDP("45204FC4 Muni","GB_ASSURANCE_PROVIDERS")</f>
        <v>#NAME?</v>
      </c>
      <c r="O807" t="e">
        <f ca="1">BDP("45204FC4 Muni","GB_PROJECT_SELECTION_PROCESS")</f>
        <v>#NAME?</v>
      </c>
      <c r="P807" t="e">
        <f ca="1">BDP("45204FC4 Muni","ESG_FRAMEWORK_INDICATOR")</f>
        <v>#NAME?</v>
      </c>
      <c r="Q807" t="e">
        <f ca="1">BDP("45204FC4 Muni","BLOOMBERG_SECTOR_CODE")</f>
        <v>#NAME?</v>
      </c>
      <c r="R807" t="e">
        <f ca="1">BDP("45204FC4 Muni","ISSUER_TYPE")</f>
        <v>#NAME?</v>
      </c>
      <c r="S807" t="e">
        <f ca="1">BDS("45204FC4 Muni","ESG_PROJECT_CATEGORY", "aggregate=y")</f>
        <v>#NAME?</v>
      </c>
      <c r="T807" t="e">
        <f ca="1">BDS("45204FC4 Muni","ESG_PROJECT_SUBCATEGORY", "aggregate=y")</f>
        <v>#NAME?</v>
      </c>
    </row>
    <row r="808" spans="1:20" x14ac:dyDescent="0.25">
      <c r="A808" t="e">
        <f ca="1">BDP("45204FC8 Muni","ID_CUSIP")</f>
        <v>#NAME?</v>
      </c>
      <c r="B808" t="e">
        <f ca="1">BDP("45204FC8 Muni","STATE_CODE")</f>
        <v>#NAME?</v>
      </c>
      <c r="C808" t="s">
        <v>53</v>
      </c>
      <c r="D808" t="e">
        <f ca="1">BDP("45204FC8 Muni","YIELD_ON_ISSUE_DATE")</f>
        <v>#NAME?</v>
      </c>
      <c r="E808">
        <v>39215000</v>
      </c>
      <c r="F808" t="e">
        <f ca="1">BDP("45204FC8 Muni","ISSUE_DT")</f>
        <v>#NAME?</v>
      </c>
      <c r="G808" t="e">
        <f ca="1">BDP("45204FC8 Muni","MATURITY")</f>
        <v>#NAME?</v>
      </c>
      <c r="H808" t="e">
        <f ca="1">BDP("45204FC8 Muni","MUNI_TAX_PROV")</f>
        <v>#NAME?</v>
      </c>
      <c r="I808" t="e">
        <f ca="1">BDP("45204FC8 Muni","FINANCING_TYPE")</f>
        <v>#NAME?</v>
      </c>
      <c r="J808" t="e">
        <f ca="1">BDP("45204FC8 Muni","BICS_LEVEL_2_INDUSTRY_GROUP_NAME")</f>
        <v>#NAME?</v>
      </c>
      <c r="K808" t="e">
        <f ca="1">BDP("45204FC8 Muni","SELF_REPRTD_GREEN_INSTR_INDCTR")</f>
        <v>#NAME?</v>
      </c>
      <c r="L808" t="e">
        <f ca="1">BDP("45204FC8 Muni","GB_MANAGEMENT_PROCEEDS")</f>
        <v>#NAME?</v>
      </c>
      <c r="M808" t="e">
        <f ca="1">BDP("45204FC8 Muni","GB_REPORTING")</f>
        <v>#NAME?</v>
      </c>
      <c r="N808" t="e">
        <f ca="1">BDP("45204FC8 Muni","GB_ASSURANCE_PROVIDERS")</f>
        <v>#NAME?</v>
      </c>
      <c r="O808" t="e">
        <f ca="1">BDP("45204FC8 Muni","GB_PROJECT_SELECTION_PROCESS")</f>
        <v>#NAME?</v>
      </c>
      <c r="P808" t="e">
        <f ca="1">BDP("45204FC8 Muni","ESG_FRAMEWORK_INDICATOR")</f>
        <v>#NAME?</v>
      </c>
      <c r="Q808" t="e">
        <f ca="1">BDP("45204FC8 Muni","BLOOMBERG_SECTOR_CODE")</f>
        <v>#NAME?</v>
      </c>
      <c r="R808" t="e">
        <f ca="1">BDP("45204FC8 Muni","ISSUER_TYPE")</f>
        <v>#NAME?</v>
      </c>
      <c r="S808" t="e">
        <f ca="1">BDS("45204FC8 Muni","ESG_PROJECT_CATEGORY", "aggregate=y")</f>
        <v>#NAME?</v>
      </c>
      <c r="T808" t="e">
        <f ca="1">BDS("45204FC8 Muni","ESG_PROJECT_SUBCATEGORY", "aggregate=y")</f>
        <v>#NAME?</v>
      </c>
    </row>
    <row r="809" spans="1:20" x14ac:dyDescent="0.25">
      <c r="A809" t="e">
        <f ca="1">BDP("479790KL Muni","ID_CUSIP")</f>
        <v>#NAME?</v>
      </c>
      <c r="B809" t="e">
        <f ca="1">BDP("479790KL Muni","STATE_CODE")</f>
        <v>#NAME?</v>
      </c>
      <c r="C809" t="s">
        <v>54</v>
      </c>
      <c r="D809" t="e">
        <f ca="1">BDP("479790KL Muni","YIELD_ON_ISSUE_DATE")</f>
        <v>#NAME?</v>
      </c>
      <c r="E809">
        <v>4455000</v>
      </c>
      <c r="F809" t="e">
        <f ca="1">BDP("479790KL Muni","ISSUE_DT")</f>
        <v>#NAME?</v>
      </c>
      <c r="G809" t="e">
        <f ca="1">BDP("479790KL Muni","MATURITY")</f>
        <v>#NAME?</v>
      </c>
      <c r="H809" t="e">
        <f ca="1">BDP("479790KL Muni","MUNI_TAX_PROV")</f>
        <v>#NAME?</v>
      </c>
      <c r="I809" t="e">
        <f ca="1">BDP("479790KL Muni","FINANCING_TYPE")</f>
        <v>#NAME?</v>
      </c>
      <c r="J809" t="e">
        <f ca="1">BDP("479790KL Muni","BICS_LEVEL_2_INDUSTRY_GROUP_NAME")</f>
        <v>#NAME?</v>
      </c>
      <c r="K809" t="e">
        <f ca="1">BDP("479790KL Muni","SELF_REPRTD_GREEN_INSTR_INDCTR")</f>
        <v>#NAME?</v>
      </c>
      <c r="L809" t="e">
        <f ca="1">BDP("479790KL Muni","GB_MANAGEMENT_PROCEEDS")</f>
        <v>#NAME?</v>
      </c>
      <c r="M809" t="e">
        <f ca="1">BDP("479790KL Muni","GB_REPORTING")</f>
        <v>#NAME?</v>
      </c>
      <c r="N809" t="e">
        <f ca="1">BDP("479790KL Muni","GB_ASSURANCE_PROVIDERS")</f>
        <v>#NAME?</v>
      </c>
      <c r="O809" t="e">
        <f ca="1">BDP("479790KL Muni","GB_PROJECT_SELECTION_PROCESS")</f>
        <v>#NAME?</v>
      </c>
      <c r="P809" t="e">
        <f ca="1">BDP("479790KL Muni","ESG_FRAMEWORK_INDICATOR")</f>
        <v>#NAME?</v>
      </c>
      <c r="Q809" t="e">
        <f ca="1">BDP("479790KL Muni","BLOOMBERG_SECTOR_CODE")</f>
        <v>#NAME?</v>
      </c>
      <c r="R809" t="e">
        <f ca="1">BDP("479790KL Muni","ISSUER_TYPE")</f>
        <v>#NAME?</v>
      </c>
      <c r="S809" t="e">
        <f ca="1">BDS("479790KL Muni","ESG_PROJECT_CATEGORY", "aggregate=y")</f>
        <v>#NAME?</v>
      </c>
      <c r="T809" t="e">
        <f ca="1">BDS("479790KL Muni","ESG_PROJECT_SUBCATEGORY", "aggregate=y")</f>
        <v>#NAME?</v>
      </c>
    </row>
    <row r="810" spans="1:20" x14ac:dyDescent="0.25">
      <c r="A810" t="e">
        <f ca="1">BDP("45204FB6 Muni","ID_CUSIP")</f>
        <v>#NAME?</v>
      </c>
      <c r="B810" t="e">
        <f ca="1">BDP("45204FB6 Muni","STATE_CODE")</f>
        <v>#NAME?</v>
      </c>
      <c r="C810" t="s">
        <v>53</v>
      </c>
      <c r="D810" t="e">
        <f ca="1">BDP("45204FB6 Muni","YIELD_ON_ISSUE_DATE")</f>
        <v>#NAME?</v>
      </c>
      <c r="E810">
        <v>13315000</v>
      </c>
      <c r="F810" t="e">
        <f ca="1">BDP("45204FB6 Muni","ISSUE_DT")</f>
        <v>#NAME?</v>
      </c>
      <c r="G810" t="e">
        <f ca="1">BDP("45204FB6 Muni","MATURITY")</f>
        <v>#NAME?</v>
      </c>
      <c r="H810" t="e">
        <f ca="1">BDP("45204FB6 Muni","MUNI_TAX_PROV")</f>
        <v>#NAME?</v>
      </c>
      <c r="I810" t="e">
        <f ca="1">BDP("45204FB6 Muni","FINANCING_TYPE")</f>
        <v>#NAME?</v>
      </c>
      <c r="J810" t="e">
        <f ca="1">BDP("45204FB6 Muni","BICS_LEVEL_2_INDUSTRY_GROUP_NAME")</f>
        <v>#NAME?</v>
      </c>
      <c r="K810" t="e">
        <f ca="1">BDP("45204FB6 Muni","SELF_REPRTD_GREEN_INSTR_INDCTR")</f>
        <v>#NAME?</v>
      </c>
      <c r="L810" t="e">
        <f ca="1">BDP("45204FB6 Muni","GB_MANAGEMENT_PROCEEDS")</f>
        <v>#NAME?</v>
      </c>
      <c r="M810" t="e">
        <f ca="1">BDP("45204FB6 Muni","GB_REPORTING")</f>
        <v>#NAME?</v>
      </c>
      <c r="N810" t="e">
        <f ca="1">BDP("45204FB6 Muni","GB_ASSURANCE_PROVIDERS")</f>
        <v>#NAME?</v>
      </c>
      <c r="O810" t="e">
        <f ca="1">BDP("45204FB6 Muni","GB_PROJECT_SELECTION_PROCESS")</f>
        <v>#NAME?</v>
      </c>
      <c r="P810" t="e">
        <f ca="1">BDP("45204FB6 Muni","ESG_FRAMEWORK_INDICATOR")</f>
        <v>#NAME?</v>
      </c>
      <c r="Q810" t="e">
        <f ca="1">BDP("45204FB6 Muni","BLOOMBERG_SECTOR_CODE")</f>
        <v>#NAME?</v>
      </c>
      <c r="R810" t="e">
        <f ca="1">BDP("45204FB6 Muni","ISSUER_TYPE")</f>
        <v>#NAME?</v>
      </c>
      <c r="S810" t="e">
        <f ca="1">BDS("45204FB6 Muni","ESG_PROJECT_CATEGORY", "aggregate=y")</f>
        <v>#NAME?</v>
      </c>
      <c r="T810" t="e">
        <f ca="1">BDS("45204FB6 Muni","ESG_PROJECT_SUBCATEGORY", "aggregate=y")</f>
        <v>#NAME?</v>
      </c>
    </row>
    <row r="811" spans="1:20" x14ac:dyDescent="0.25">
      <c r="A811" t="e">
        <f ca="1">BDP("45204FZZ Muni","ID_CUSIP")</f>
        <v>#NAME?</v>
      </c>
      <c r="B811" t="e">
        <f ca="1">BDP("45204FZZ Muni","STATE_CODE")</f>
        <v>#NAME?</v>
      </c>
      <c r="C811" t="s">
        <v>53</v>
      </c>
      <c r="D811" t="e">
        <f ca="1">BDP("45204FZZ Muni","YIELD_ON_ISSUE_DATE")</f>
        <v>#NAME?</v>
      </c>
      <c r="E811">
        <v>7175000</v>
      </c>
      <c r="F811" t="e">
        <f ca="1">BDP("45204FZZ Muni","ISSUE_DT")</f>
        <v>#NAME?</v>
      </c>
      <c r="G811" t="e">
        <f ca="1">BDP("45204FZZ Muni","MATURITY")</f>
        <v>#NAME?</v>
      </c>
      <c r="H811" t="e">
        <f ca="1">BDP("45204FZZ Muni","MUNI_TAX_PROV")</f>
        <v>#NAME?</v>
      </c>
      <c r="I811" t="e">
        <f ca="1">BDP("45204FZZ Muni","FINANCING_TYPE")</f>
        <v>#NAME?</v>
      </c>
      <c r="J811" t="e">
        <f ca="1">BDP("45204FZZ Muni","BICS_LEVEL_2_INDUSTRY_GROUP_NAME")</f>
        <v>#NAME?</v>
      </c>
      <c r="K811" t="e">
        <f ca="1">BDP("45204FZZ Muni","SELF_REPRTD_GREEN_INSTR_INDCTR")</f>
        <v>#NAME?</v>
      </c>
      <c r="L811" t="e">
        <f ca="1">BDP("45204FZZ Muni","GB_MANAGEMENT_PROCEEDS")</f>
        <v>#NAME?</v>
      </c>
      <c r="M811" t="e">
        <f ca="1">BDP("45204FZZ Muni","GB_REPORTING")</f>
        <v>#NAME?</v>
      </c>
      <c r="N811" t="e">
        <f ca="1">BDP("45204FZZ Muni","GB_ASSURANCE_PROVIDERS")</f>
        <v>#NAME?</v>
      </c>
      <c r="O811" t="e">
        <f ca="1">BDP("45204FZZ Muni","GB_PROJECT_SELECTION_PROCESS")</f>
        <v>#NAME?</v>
      </c>
      <c r="P811" t="e">
        <f ca="1">BDP("45204FZZ Muni","ESG_FRAMEWORK_INDICATOR")</f>
        <v>#NAME?</v>
      </c>
      <c r="Q811" t="e">
        <f ca="1">BDP("45204FZZ Muni","BLOOMBERG_SECTOR_CODE")</f>
        <v>#NAME?</v>
      </c>
      <c r="R811" t="e">
        <f ca="1">BDP("45204FZZ Muni","ISSUER_TYPE")</f>
        <v>#NAME?</v>
      </c>
      <c r="S811" t="e">
        <f ca="1">BDS("45204FZZ Muni","ESG_PROJECT_CATEGORY", "aggregate=y")</f>
        <v>#NAME?</v>
      </c>
      <c r="T811" t="e">
        <f ca="1">BDS("45204FZZ Muni","ESG_PROJECT_SUBCATEGORY", "aggregate=y")</f>
        <v>#NAME?</v>
      </c>
    </row>
    <row r="812" spans="1:20" x14ac:dyDescent="0.25">
      <c r="A812" t="e">
        <f ca="1">BDP("479790KV Muni","ID_CUSIP")</f>
        <v>#NAME?</v>
      </c>
      <c r="B812" t="e">
        <f ca="1">BDP("479790KV Muni","STATE_CODE")</f>
        <v>#NAME?</v>
      </c>
      <c r="C812" t="s">
        <v>54</v>
      </c>
      <c r="D812" t="e">
        <f ca="1">BDP("479790KV Muni","YIELD_ON_ISSUE_DATE")</f>
        <v>#NAME?</v>
      </c>
      <c r="E812">
        <v>6910000</v>
      </c>
      <c r="F812" t="e">
        <f ca="1">BDP("479790KV Muni","ISSUE_DT")</f>
        <v>#NAME?</v>
      </c>
      <c r="G812" t="e">
        <f ca="1">BDP("479790KV Muni","MATURITY")</f>
        <v>#NAME?</v>
      </c>
      <c r="H812" t="e">
        <f ca="1">BDP("479790KV Muni","MUNI_TAX_PROV")</f>
        <v>#NAME?</v>
      </c>
      <c r="I812" t="e">
        <f ca="1">BDP("479790KV Muni","FINANCING_TYPE")</f>
        <v>#NAME?</v>
      </c>
      <c r="J812" t="e">
        <f ca="1">BDP("479790KV Muni","BICS_LEVEL_2_INDUSTRY_GROUP_NAME")</f>
        <v>#NAME?</v>
      </c>
      <c r="K812" t="e">
        <f ca="1">BDP("479790KV Muni","SELF_REPRTD_GREEN_INSTR_INDCTR")</f>
        <v>#NAME?</v>
      </c>
      <c r="L812" t="e">
        <f ca="1">BDP("479790KV Muni","GB_MANAGEMENT_PROCEEDS")</f>
        <v>#NAME?</v>
      </c>
      <c r="M812" t="e">
        <f ca="1">BDP("479790KV Muni","GB_REPORTING")</f>
        <v>#NAME?</v>
      </c>
      <c r="N812" t="e">
        <f ca="1">BDP("479790KV Muni","GB_ASSURANCE_PROVIDERS")</f>
        <v>#NAME?</v>
      </c>
      <c r="O812" t="e">
        <f ca="1">BDP("479790KV Muni","GB_PROJECT_SELECTION_PROCESS")</f>
        <v>#NAME?</v>
      </c>
      <c r="P812" t="e">
        <f ca="1">BDP("479790KV Muni","ESG_FRAMEWORK_INDICATOR")</f>
        <v>#NAME?</v>
      </c>
      <c r="Q812" t="e">
        <f ca="1">BDP("479790KV Muni","BLOOMBERG_SECTOR_CODE")</f>
        <v>#NAME?</v>
      </c>
      <c r="R812" t="e">
        <f ca="1">BDP("479790KV Muni","ISSUER_TYPE")</f>
        <v>#NAME?</v>
      </c>
      <c r="S812" t="e">
        <f ca="1">BDS("479790KV Muni","ESG_PROJECT_CATEGORY", "aggregate=y")</f>
        <v>#NAME?</v>
      </c>
      <c r="T812" t="e">
        <f ca="1">BDS("479790KV Muni","ESG_PROJECT_SUBCATEGORY", "aggregate=y")</f>
        <v>#NAME?</v>
      </c>
    </row>
    <row r="813" spans="1:20" x14ac:dyDescent="0.25">
      <c r="A813" t="e">
        <f ca="1">BDP("45204FC7 Muni","ID_CUSIP")</f>
        <v>#NAME?</v>
      </c>
      <c r="B813" t="e">
        <f ca="1">BDP("45204FC7 Muni","STATE_CODE")</f>
        <v>#NAME?</v>
      </c>
      <c r="C813" t="s">
        <v>53</v>
      </c>
      <c r="D813" t="e">
        <f ca="1">BDP("45204FC7 Muni","YIELD_ON_ISSUE_DATE")</f>
        <v>#NAME?</v>
      </c>
      <c r="E813">
        <v>39940000</v>
      </c>
      <c r="F813" t="e">
        <f ca="1">BDP("45204FC7 Muni","ISSUE_DT")</f>
        <v>#NAME?</v>
      </c>
      <c r="G813" t="e">
        <f ca="1">BDP("45204FC7 Muni","MATURITY")</f>
        <v>#NAME?</v>
      </c>
      <c r="H813" t="e">
        <f ca="1">BDP("45204FC7 Muni","MUNI_TAX_PROV")</f>
        <v>#NAME?</v>
      </c>
      <c r="I813" t="e">
        <f ca="1">BDP("45204FC7 Muni","FINANCING_TYPE")</f>
        <v>#NAME?</v>
      </c>
      <c r="J813" t="e">
        <f ca="1">BDP("45204FC7 Muni","BICS_LEVEL_2_INDUSTRY_GROUP_NAME")</f>
        <v>#NAME?</v>
      </c>
      <c r="K813" t="e">
        <f ca="1">BDP("45204FC7 Muni","SELF_REPRTD_GREEN_INSTR_INDCTR")</f>
        <v>#NAME?</v>
      </c>
      <c r="L813" t="e">
        <f ca="1">BDP("45204FC7 Muni","GB_MANAGEMENT_PROCEEDS")</f>
        <v>#NAME?</v>
      </c>
      <c r="M813" t="e">
        <f ca="1">BDP("45204FC7 Muni","GB_REPORTING")</f>
        <v>#NAME?</v>
      </c>
      <c r="N813" t="e">
        <f ca="1">BDP("45204FC7 Muni","GB_ASSURANCE_PROVIDERS")</f>
        <v>#NAME?</v>
      </c>
      <c r="O813" t="e">
        <f ca="1">BDP("45204FC7 Muni","GB_PROJECT_SELECTION_PROCESS")</f>
        <v>#NAME?</v>
      </c>
      <c r="P813" t="e">
        <f ca="1">BDP("45204FC7 Muni","ESG_FRAMEWORK_INDICATOR")</f>
        <v>#NAME?</v>
      </c>
      <c r="Q813" t="e">
        <f ca="1">BDP("45204FC7 Muni","BLOOMBERG_SECTOR_CODE")</f>
        <v>#NAME?</v>
      </c>
      <c r="R813" t="e">
        <f ca="1">BDP("45204FC7 Muni","ISSUER_TYPE")</f>
        <v>#NAME?</v>
      </c>
      <c r="S813" t="e">
        <f ca="1">BDS("45204FC7 Muni","ESG_PROJECT_CATEGORY", "aggregate=y")</f>
        <v>#NAME?</v>
      </c>
      <c r="T813" t="e">
        <f ca="1">BDS("45204FC7 Muni","ESG_PROJECT_SUBCATEGORY", "aggregate=y")</f>
        <v>#NAME?</v>
      </c>
    </row>
    <row r="814" spans="1:20" x14ac:dyDescent="0.25">
      <c r="A814" t="e">
        <f ca="1">BDP("45204FD2 Muni","ID_CUSIP")</f>
        <v>#NAME?</v>
      </c>
      <c r="B814" t="e">
        <f ca="1">BDP("45204FD2 Muni","STATE_CODE")</f>
        <v>#NAME?</v>
      </c>
      <c r="C814" t="s">
        <v>53</v>
      </c>
      <c r="D814" t="e">
        <f ca="1">BDP("45204FD2 Muni","YIELD_ON_ISSUE_DATE")</f>
        <v>#NAME?</v>
      </c>
      <c r="E814">
        <v>24830000</v>
      </c>
      <c r="F814" t="e">
        <f ca="1">BDP("45204FD2 Muni","ISSUE_DT")</f>
        <v>#NAME?</v>
      </c>
      <c r="G814" t="e">
        <f ca="1">BDP("45204FD2 Muni","MATURITY")</f>
        <v>#NAME?</v>
      </c>
      <c r="H814" t="e">
        <f ca="1">BDP("45204FD2 Muni","MUNI_TAX_PROV")</f>
        <v>#NAME?</v>
      </c>
      <c r="I814" t="e">
        <f ca="1">BDP("45204FD2 Muni","FINANCING_TYPE")</f>
        <v>#NAME?</v>
      </c>
      <c r="J814" t="e">
        <f ca="1">BDP("45204FD2 Muni","BICS_LEVEL_2_INDUSTRY_GROUP_NAME")</f>
        <v>#NAME?</v>
      </c>
      <c r="K814" t="e">
        <f ca="1">BDP("45204FD2 Muni","SELF_REPRTD_GREEN_INSTR_INDCTR")</f>
        <v>#NAME?</v>
      </c>
      <c r="L814" t="e">
        <f ca="1">BDP("45204FD2 Muni","GB_MANAGEMENT_PROCEEDS")</f>
        <v>#NAME?</v>
      </c>
      <c r="M814" t="e">
        <f ca="1">BDP("45204FD2 Muni","GB_REPORTING")</f>
        <v>#NAME?</v>
      </c>
      <c r="N814" t="e">
        <f ca="1">BDP("45204FD2 Muni","GB_ASSURANCE_PROVIDERS")</f>
        <v>#NAME?</v>
      </c>
      <c r="O814" t="e">
        <f ca="1">BDP("45204FD2 Muni","GB_PROJECT_SELECTION_PROCESS")</f>
        <v>#NAME?</v>
      </c>
      <c r="P814" t="e">
        <f ca="1">BDP("45204FD2 Muni","ESG_FRAMEWORK_INDICATOR")</f>
        <v>#NAME?</v>
      </c>
      <c r="Q814" t="e">
        <f ca="1">BDP("45204FD2 Muni","BLOOMBERG_SECTOR_CODE")</f>
        <v>#NAME?</v>
      </c>
      <c r="R814" t="e">
        <f ca="1">BDP("45204FD2 Muni","ISSUER_TYPE")</f>
        <v>#NAME?</v>
      </c>
      <c r="S814" t="e">
        <f ca="1">BDS("45204FD2 Muni","ESG_PROJECT_CATEGORY", "aggregate=y")</f>
        <v>#NAME?</v>
      </c>
      <c r="T814" t="e">
        <f ca="1">BDS("45204FD2 Muni","ESG_PROJECT_SUBCATEGORY", "aggregate=y")</f>
        <v>#NAME?</v>
      </c>
    </row>
    <row r="815" spans="1:20" x14ac:dyDescent="0.25">
      <c r="A815" t="e">
        <f ca="1">BDP("45204FF9 Muni","ID_CUSIP")</f>
        <v>#NAME?</v>
      </c>
      <c r="B815" t="e">
        <f ca="1">BDP("45204FF9 Muni","STATE_CODE")</f>
        <v>#NAME?</v>
      </c>
      <c r="C815" t="s">
        <v>53</v>
      </c>
      <c r="D815" t="e">
        <f ca="1">BDP("45204FF9 Muni","YIELD_ON_ISSUE_DATE")</f>
        <v>#NAME?</v>
      </c>
      <c r="E815">
        <v>15295000</v>
      </c>
      <c r="F815" t="e">
        <f ca="1">BDP("45204FF9 Muni","ISSUE_DT")</f>
        <v>#NAME?</v>
      </c>
      <c r="G815" t="e">
        <f ca="1">BDP("45204FF9 Muni","MATURITY")</f>
        <v>#NAME?</v>
      </c>
      <c r="H815" t="e">
        <f ca="1">BDP("45204FF9 Muni","MUNI_TAX_PROV")</f>
        <v>#NAME?</v>
      </c>
      <c r="I815" t="e">
        <f ca="1">BDP("45204FF9 Muni","FINANCING_TYPE")</f>
        <v>#NAME?</v>
      </c>
      <c r="J815" t="e">
        <f ca="1">BDP("45204FF9 Muni","BICS_LEVEL_2_INDUSTRY_GROUP_NAME")</f>
        <v>#NAME?</v>
      </c>
      <c r="K815" t="e">
        <f ca="1">BDP("45204FF9 Muni","SELF_REPRTD_GREEN_INSTR_INDCTR")</f>
        <v>#NAME?</v>
      </c>
      <c r="L815" t="e">
        <f ca="1">BDP("45204FF9 Muni","GB_MANAGEMENT_PROCEEDS")</f>
        <v>#NAME?</v>
      </c>
      <c r="M815" t="e">
        <f ca="1">BDP("45204FF9 Muni","GB_REPORTING")</f>
        <v>#NAME?</v>
      </c>
      <c r="N815" t="e">
        <f ca="1">BDP("45204FF9 Muni","GB_ASSURANCE_PROVIDERS")</f>
        <v>#NAME?</v>
      </c>
      <c r="O815" t="e">
        <f ca="1">BDP("45204FF9 Muni","GB_PROJECT_SELECTION_PROCESS")</f>
        <v>#NAME?</v>
      </c>
      <c r="P815" t="e">
        <f ca="1">BDP("45204FF9 Muni","ESG_FRAMEWORK_INDICATOR")</f>
        <v>#NAME?</v>
      </c>
      <c r="Q815" t="e">
        <f ca="1">BDP("45204FF9 Muni","BLOOMBERG_SECTOR_CODE")</f>
        <v>#NAME?</v>
      </c>
      <c r="R815" t="e">
        <f ca="1">BDP("45204FF9 Muni","ISSUER_TYPE")</f>
        <v>#NAME?</v>
      </c>
      <c r="S815" t="e">
        <f ca="1">BDS("45204FF9 Muni","ESG_PROJECT_CATEGORY", "aggregate=y")</f>
        <v>#NAME?</v>
      </c>
      <c r="T815" t="e">
        <f ca="1">BDS("45204FF9 Muni","ESG_PROJECT_SUBCATEGORY", "aggregate=y")</f>
        <v>#NAME?</v>
      </c>
    </row>
    <row r="816" spans="1:20" x14ac:dyDescent="0.25">
      <c r="A816" t="e">
        <f ca="1">BDP("45204FH5 Muni","ID_CUSIP")</f>
        <v>#NAME?</v>
      </c>
      <c r="B816" t="e">
        <f ca="1">BDP("45204FH5 Muni","STATE_CODE")</f>
        <v>#NAME?</v>
      </c>
      <c r="C816" t="s">
        <v>53</v>
      </c>
      <c r="D816" t="e">
        <f ca="1">BDP("45204FH5 Muni","YIELD_ON_ISSUE_DATE")</f>
        <v>#NAME?</v>
      </c>
      <c r="E816">
        <v>5420000</v>
      </c>
      <c r="F816" t="e">
        <f ca="1">BDP("45204FH5 Muni","ISSUE_DT")</f>
        <v>#NAME?</v>
      </c>
      <c r="G816" t="e">
        <f ca="1">BDP("45204FH5 Muni","MATURITY")</f>
        <v>#NAME?</v>
      </c>
      <c r="H816" t="e">
        <f ca="1">BDP("45204FH5 Muni","MUNI_TAX_PROV")</f>
        <v>#NAME?</v>
      </c>
      <c r="I816" t="e">
        <f ca="1">BDP("45204FH5 Muni","FINANCING_TYPE")</f>
        <v>#NAME?</v>
      </c>
      <c r="J816" t="e">
        <f ca="1">BDP("45204FH5 Muni","BICS_LEVEL_2_INDUSTRY_GROUP_NAME")</f>
        <v>#NAME?</v>
      </c>
      <c r="K816" t="e">
        <f ca="1">BDP("45204FH5 Muni","SELF_REPRTD_GREEN_INSTR_INDCTR")</f>
        <v>#NAME?</v>
      </c>
      <c r="L816" t="e">
        <f ca="1">BDP("45204FH5 Muni","GB_MANAGEMENT_PROCEEDS")</f>
        <v>#NAME?</v>
      </c>
      <c r="M816" t="e">
        <f ca="1">BDP("45204FH5 Muni","GB_REPORTING")</f>
        <v>#NAME?</v>
      </c>
      <c r="N816" t="e">
        <f ca="1">BDP("45204FH5 Muni","GB_ASSURANCE_PROVIDERS")</f>
        <v>#NAME?</v>
      </c>
      <c r="O816" t="e">
        <f ca="1">BDP("45204FH5 Muni","GB_PROJECT_SELECTION_PROCESS")</f>
        <v>#NAME?</v>
      </c>
      <c r="P816" t="e">
        <f ca="1">BDP("45204FH5 Muni","ESG_FRAMEWORK_INDICATOR")</f>
        <v>#NAME?</v>
      </c>
      <c r="Q816" t="e">
        <f ca="1">BDP("45204FH5 Muni","BLOOMBERG_SECTOR_CODE")</f>
        <v>#NAME?</v>
      </c>
      <c r="R816" t="e">
        <f ca="1">BDP("45204FH5 Muni","ISSUER_TYPE")</f>
        <v>#NAME?</v>
      </c>
      <c r="S816" t="e">
        <f ca="1">BDS("45204FH5 Muni","ESG_PROJECT_CATEGORY", "aggregate=y")</f>
        <v>#NAME?</v>
      </c>
      <c r="T816" t="e">
        <f ca="1">BDS("45204FH5 Muni","ESG_PROJECT_SUBCATEGORY", "aggregate=y")</f>
        <v>#NAME?</v>
      </c>
    </row>
    <row r="817" spans="1:20" x14ac:dyDescent="0.25">
      <c r="A817" t="e">
        <f ca="1">BDP("45204FB2 Muni","ID_CUSIP")</f>
        <v>#NAME?</v>
      </c>
      <c r="B817" t="e">
        <f ca="1">BDP("45204FB2 Muni","STATE_CODE")</f>
        <v>#NAME?</v>
      </c>
      <c r="C817" t="s">
        <v>53</v>
      </c>
      <c r="D817" t="e">
        <f ca="1">BDP("45204FB2 Muni","YIELD_ON_ISSUE_DATE")</f>
        <v>#NAME?</v>
      </c>
      <c r="E817">
        <v>10855000</v>
      </c>
      <c r="F817" t="e">
        <f ca="1">BDP("45204FB2 Muni","ISSUE_DT")</f>
        <v>#NAME?</v>
      </c>
      <c r="G817" t="e">
        <f ca="1">BDP("45204FB2 Muni","MATURITY")</f>
        <v>#NAME?</v>
      </c>
      <c r="H817" t="e">
        <f ca="1">BDP("45204FB2 Muni","MUNI_TAX_PROV")</f>
        <v>#NAME?</v>
      </c>
      <c r="I817" t="e">
        <f ca="1">BDP("45204FB2 Muni","FINANCING_TYPE")</f>
        <v>#NAME?</v>
      </c>
      <c r="J817" t="e">
        <f ca="1">BDP("45204FB2 Muni","BICS_LEVEL_2_INDUSTRY_GROUP_NAME")</f>
        <v>#NAME?</v>
      </c>
      <c r="K817" t="e">
        <f ca="1">BDP("45204FB2 Muni","SELF_REPRTD_GREEN_INSTR_INDCTR")</f>
        <v>#NAME?</v>
      </c>
      <c r="L817" t="e">
        <f ca="1">BDP("45204FB2 Muni","GB_MANAGEMENT_PROCEEDS")</f>
        <v>#NAME?</v>
      </c>
      <c r="M817" t="e">
        <f ca="1">BDP("45204FB2 Muni","GB_REPORTING")</f>
        <v>#NAME?</v>
      </c>
      <c r="N817" t="e">
        <f ca="1">BDP("45204FB2 Muni","GB_ASSURANCE_PROVIDERS")</f>
        <v>#NAME?</v>
      </c>
      <c r="O817" t="e">
        <f ca="1">BDP("45204FB2 Muni","GB_PROJECT_SELECTION_PROCESS")</f>
        <v>#NAME?</v>
      </c>
      <c r="P817" t="e">
        <f ca="1">BDP("45204FB2 Muni","ESG_FRAMEWORK_INDICATOR")</f>
        <v>#NAME?</v>
      </c>
      <c r="Q817" t="e">
        <f ca="1">BDP("45204FB2 Muni","BLOOMBERG_SECTOR_CODE")</f>
        <v>#NAME?</v>
      </c>
      <c r="R817" t="e">
        <f ca="1">BDP("45204FB2 Muni","ISSUER_TYPE")</f>
        <v>#NAME?</v>
      </c>
      <c r="S817" t="e">
        <f ca="1">BDS("45204FB2 Muni","ESG_PROJECT_CATEGORY", "aggregate=y")</f>
        <v>#NAME?</v>
      </c>
      <c r="T817" t="e">
        <f ca="1">BDS("45204FB2 Muni","ESG_PROJECT_SUBCATEGORY", "aggregate=y")</f>
        <v>#NAME?</v>
      </c>
    </row>
    <row r="818" spans="1:20" x14ac:dyDescent="0.25">
      <c r="A818" t="e">
        <f ca="1">BDP("45204FB3 Muni","ID_CUSIP")</f>
        <v>#NAME?</v>
      </c>
      <c r="B818" t="e">
        <f ca="1">BDP("45204FB3 Muni","STATE_CODE")</f>
        <v>#NAME?</v>
      </c>
      <c r="C818" t="s">
        <v>53</v>
      </c>
      <c r="D818" t="e">
        <f ca="1">BDP("45204FB3 Muni","YIELD_ON_ISSUE_DATE")</f>
        <v>#NAME?</v>
      </c>
      <c r="E818">
        <v>11460000</v>
      </c>
      <c r="F818" t="e">
        <f ca="1">BDP("45204FB3 Muni","ISSUE_DT")</f>
        <v>#NAME?</v>
      </c>
      <c r="G818" t="e">
        <f ca="1">BDP("45204FB3 Muni","MATURITY")</f>
        <v>#NAME?</v>
      </c>
      <c r="H818" t="e">
        <f ca="1">BDP("45204FB3 Muni","MUNI_TAX_PROV")</f>
        <v>#NAME?</v>
      </c>
      <c r="I818" t="e">
        <f ca="1">BDP("45204FB3 Muni","FINANCING_TYPE")</f>
        <v>#NAME?</v>
      </c>
      <c r="J818" t="e">
        <f ca="1">BDP("45204FB3 Muni","BICS_LEVEL_2_INDUSTRY_GROUP_NAME")</f>
        <v>#NAME?</v>
      </c>
      <c r="K818" t="e">
        <f ca="1">BDP("45204FB3 Muni","SELF_REPRTD_GREEN_INSTR_INDCTR")</f>
        <v>#NAME?</v>
      </c>
      <c r="L818" t="e">
        <f ca="1">BDP("45204FB3 Muni","GB_MANAGEMENT_PROCEEDS")</f>
        <v>#NAME?</v>
      </c>
      <c r="M818" t="e">
        <f ca="1">BDP("45204FB3 Muni","GB_REPORTING")</f>
        <v>#NAME?</v>
      </c>
      <c r="N818" t="e">
        <f ca="1">BDP("45204FB3 Muni","GB_ASSURANCE_PROVIDERS")</f>
        <v>#NAME?</v>
      </c>
      <c r="O818" t="e">
        <f ca="1">BDP("45204FB3 Muni","GB_PROJECT_SELECTION_PROCESS")</f>
        <v>#NAME?</v>
      </c>
      <c r="P818" t="e">
        <f ca="1">BDP("45204FB3 Muni","ESG_FRAMEWORK_INDICATOR")</f>
        <v>#NAME?</v>
      </c>
      <c r="Q818" t="e">
        <f ca="1">BDP("45204FB3 Muni","BLOOMBERG_SECTOR_CODE")</f>
        <v>#NAME?</v>
      </c>
      <c r="R818" t="e">
        <f ca="1">BDP("45204FB3 Muni","ISSUER_TYPE")</f>
        <v>#NAME?</v>
      </c>
      <c r="S818" t="e">
        <f ca="1">BDS("45204FB3 Muni","ESG_PROJECT_CATEGORY", "aggregate=y")</f>
        <v>#NAME?</v>
      </c>
      <c r="T818" t="e">
        <f ca="1">BDS("45204FB3 Muni","ESG_PROJECT_SUBCATEGORY", "aggregate=y")</f>
        <v>#NAME?</v>
      </c>
    </row>
    <row r="819" spans="1:20" x14ac:dyDescent="0.25">
      <c r="A819" t="e">
        <f ca="1">BDP("45204FE4 Muni","ID_CUSIP")</f>
        <v>#NAME?</v>
      </c>
      <c r="B819" t="e">
        <f ca="1">BDP("45204FE4 Muni","STATE_CODE")</f>
        <v>#NAME?</v>
      </c>
      <c r="C819" t="s">
        <v>53</v>
      </c>
      <c r="D819" t="e">
        <f ca="1">BDP("45204FE4 Muni","YIELD_ON_ISSUE_DATE")</f>
        <v>#NAME?</v>
      </c>
      <c r="E819">
        <v>8510000</v>
      </c>
      <c r="F819" t="e">
        <f ca="1">BDP("45204FE4 Muni","ISSUE_DT")</f>
        <v>#NAME?</v>
      </c>
      <c r="G819" t="e">
        <f ca="1">BDP("45204FE4 Muni","MATURITY")</f>
        <v>#NAME?</v>
      </c>
      <c r="H819" t="e">
        <f ca="1">BDP("45204FE4 Muni","MUNI_TAX_PROV")</f>
        <v>#NAME?</v>
      </c>
      <c r="I819" t="e">
        <f ca="1">BDP("45204FE4 Muni","FINANCING_TYPE")</f>
        <v>#NAME?</v>
      </c>
      <c r="J819" t="e">
        <f ca="1">BDP("45204FE4 Muni","BICS_LEVEL_2_INDUSTRY_GROUP_NAME")</f>
        <v>#NAME?</v>
      </c>
      <c r="K819" t="e">
        <f ca="1">BDP("45204FE4 Muni","SELF_REPRTD_GREEN_INSTR_INDCTR")</f>
        <v>#NAME?</v>
      </c>
      <c r="L819" t="e">
        <f ca="1">BDP("45204FE4 Muni","GB_MANAGEMENT_PROCEEDS")</f>
        <v>#NAME?</v>
      </c>
      <c r="M819" t="e">
        <f ca="1">BDP("45204FE4 Muni","GB_REPORTING")</f>
        <v>#NAME?</v>
      </c>
      <c r="N819" t="e">
        <f ca="1">BDP("45204FE4 Muni","GB_ASSURANCE_PROVIDERS")</f>
        <v>#NAME?</v>
      </c>
      <c r="O819" t="e">
        <f ca="1">BDP("45204FE4 Muni","GB_PROJECT_SELECTION_PROCESS")</f>
        <v>#NAME?</v>
      </c>
      <c r="P819" t="e">
        <f ca="1">BDP("45204FE4 Muni","ESG_FRAMEWORK_INDICATOR")</f>
        <v>#NAME?</v>
      </c>
      <c r="Q819" t="e">
        <f ca="1">BDP("45204FE4 Muni","BLOOMBERG_SECTOR_CODE")</f>
        <v>#NAME?</v>
      </c>
      <c r="R819" t="e">
        <f ca="1">BDP("45204FE4 Muni","ISSUER_TYPE")</f>
        <v>#NAME?</v>
      </c>
      <c r="S819" t="e">
        <f ca="1">BDS("45204FE4 Muni","ESG_PROJECT_CATEGORY", "aggregate=y")</f>
        <v>#NAME?</v>
      </c>
      <c r="T819" t="e">
        <f ca="1">BDS("45204FE4 Muni","ESG_PROJECT_SUBCATEGORY", "aggregate=y")</f>
        <v>#NAME?</v>
      </c>
    </row>
    <row r="820" spans="1:20" x14ac:dyDescent="0.25">
      <c r="A820" t="e">
        <f ca="1">BDP("45204FE6 Muni","ID_CUSIP")</f>
        <v>#NAME?</v>
      </c>
      <c r="B820" t="e">
        <f ca="1">BDP("45204FE6 Muni","STATE_CODE")</f>
        <v>#NAME?</v>
      </c>
      <c r="C820" t="s">
        <v>53</v>
      </c>
      <c r="D820" t="e">
        <f ca="1">BDP("45204FE6 Muni","YIELD_ON_ISSUE_DATE")</f>
        <v>#NAME?</v>
      </c>
      <c r="E820">
        <v>10285000</v>
      </c>
      <c r="F820" t="e">
        <f ca="1">BDP("45204FE6 Muni","ISSUE_DT")</f>
        <v>#NAME?</v>
      </c>
      <c r="G820" t="e">
        <f ca="1">BDP("45204FE6 Muni","MATURITY")</f>
        <v>#NAME?</v>
      </c>
      <c r="H820" t="e">
        <f ca="1">BDP("45204FE6 Muni","MUNI_TAX_PROV")</f>
        <v>#NAME?</v>
      </c>
      <c r="I820" t="e">
        <f ca="1">BDP("45204FE6 Muni","FINANCING_TYPE")</f>
        <v>#NAME?</v>
      </c>
      <c r="J820" t="e">
        <f ca="1">BDP("45204FE6 Muni","BICS_LEVEL_2_INDUSTRY_GROUP_NAME")</f>
        <v>#NAME?</v>
      </c>
      <c r="K820" t="e">
        <f ca="1">BDP("45204FE6 Muni","SELF_REPRTD_GREEN_INSTR_INDCTR")</f>
        <v>#NAME?</v>
      </c>
      <c r="L820" t="e">
        <f ca="1">BDP("45204FE6 Muni","GB_MANAGEMENT_PROCEEDS")</f>
        <v>#NAME?</v>
      </c>
      <c r="M820" t="e">
        <f ca="1">BDP("45204FE6 Muni","GB_REPORTING")</f>
        <v>#NAME?</v>
      </c>
      <c r="N820" t="e">
        <f ca="1">BDP("45204FE6 Muni","GB_ASSURANCE_PROVIDERS")</f>
        <v>#NAME?</v>
      </c>
      <c r="O820" t="e">
        <f ca="1">BDP("45204FE6 Muni","GB_PROJECT_SELECTION_PROCESS")</f>
        <v>#NAME?</v>
      </c>
      <c r="P820" t="e">
        <f ca="1">BDP("45204FE6 Muni","ESG_FRAMEWORK_INDICATOR")</f>
        <v>#NAME?</v>
      </c>
      <c r="Q820" t="e">
        <f ca="1">BDP("45204FE6 Muni","BLOOMBERG_SECTOR_CODE")</f>
        <v>#NAME?</v>
      </c>
      <c r="R820" t="e">
        <f ca="1">BDP("45204FE6 Muni","ISSUER_TYPE")</f>
        <v>#NAME?</v>
      </c>
      <c r="S820" t="e">
        <f ca="1">BDS("45204FE6 Muni","ESG_PROJECT_CATEGORY", "aggregate=y")</f>
        <v>#NAME?</v>
      </c>
      <c r="T820" t="e">
        <f ca="1">BDS("45204FE6 Muni","ESG_PROJECT_SUBCATEGORY", "aggregate=y")</f>
        <v>#NAME?</v>
      </c>
    </row>
    <row r="821" spans="1:20" x14ac:dyDescent="0.25">
      <c r="A821" t="e">
        <f ca="1">BDP("45204FF2 Muni","ID_CUSIP")</f>
        <v>#NAME?</v>
      </c>
      <c r="B821" t="e">
        <f ca="1">BDP("45204FF2 Muni","STATE_CODE")</f>
        <v>#NAME?</v>
      </c>
      <c r="C821" t="s">
        <v>53</v>
      </c>
      <c r="D821" t="e">
        <f ca="1">BDP("45204FF2 Muni","YIELD_ON_ISSUE_DATE")</f>
        <v>#NAME?</v>
      </c>
      <c r="E821">
        <v>17085000</v>
      </c>
      <c r="F821" t="e">
        <f ca="1">BDP("45204FF2 Muni","ISSUE_DT")</f>
        <v>#NAME?</v>
      </c>
      <c r="G821" t="e">
        <f ca="1">BDP("45204FF2 Muni","MATURITY")</f>
        <v>#NAME?</v>
      </c>
      <c r="H821" t="e">
        <f ca="1">BDP("45204FF2 Muni","MUNI_TAX_PROV")</f>
        <v>#NAME?</v>
      </c>
      <c r="I821" t="e">
        <f ca="1">BDP("45204FF2 Muni","FINANCING_TYPE")</f>
        <v>#NAME?</v>
      </c>
      <c r="J821" t="e">
        <f ca="1">BDP("45204FF2 Muni","BICS_LEVEL_2_INDUSTRY_GROUP_NAME")</f>
        <v>#NAME?</v>
      </c>
      <c r="K821" t="e">
        <f ca="1">BDP("45204FF2 Muni","SELF_REPRTD_GREEN_INSTR_INDCTR")</f>
        <v>#NAME?</v>
      </c>
      <c r="L821" t="e">
        <f ca="1">BDP("45204FF2 Muni","GB_MANAGEMENT_PROCEEDS")</f>
        <v>#NAME?</v>
      </c>
      <c r="M821" t="e">
        <f ca="1">BDP("45204FF2 Muni","GB_REPORTING")</f>
        <v>#NAME?</v>
      </c>
      <c r="N821" t="e">
        <f ca="1">BDP("45204FF2 Muni","GB_ASSURANCE_PROVIDERS")</f>
        <v>#NAME?</v>
      </c>
      <c r="O821" t="e">
        <f ca="1">BDP("45204FF2 Muni","GB_PROJECT_SELECTION_PROCESS")</f>
        <v>#NAME?</v>
      </c>
      <c r="P821" t="e">
        <f ca="1">BDP("45204FF2 Muni","ESG_FRAMEWORK_INDICATOR")</f>
        <v>#NAME?</v>
      </c>
      <c r="Q821" t="e">
        <f ca="1">BDP("45204FF2 Muni","BLOOMBERG_SECTOR_CODE")</f>
        <v>#NAME?</v>
      </c>
      <c r="R821" t="e">
        <f ca="1">BDP("45204FF2 Muni","ISSUER_TYPE")</f>
        <v>#NAME?</v>
      </c>
      <c r="S821" t="e">
        <f ca="1">BDS("45204FF2 Muni","ESG_PROJECT_CATEGORY", "aggregate=y")</f>
        <v>#NAME?</v>
      </c>
      <c r="T821" t="e">
        <f ca="1">BDS("45204FF2 Muni","ESG_PROJECT_SUBCATEGORY", "aggregate=y")</f>
        <v>#NAME?</v>
      </c>
    </row>
    <row r="822" spans="1:20" x14ac:dyDescent="0.25">
      <c r="A822" t="e">
        <f ca="1">BDP("45204FF5 Muni","ID_CUSIP")</f>
        <v>#NAME?</v>
      </c>
      <c r="B822" t="e">
        <f ca="1">BDP("45204FF5 Muni","STATE_CODE")</f>
        <v>#NAME?</v>
      </c>
      <c r="C822" t="s">
        <v>53</v>
      </c>
      <c r="D822" t="e">
        <f ca="1">BDP("45204FF5 Muni","YIELD_ON_ISSUE_DATE")</f>
        <v>#NAME?</v>
      </c>
      <c r="E822">
        <v>12015000</v>
      </c>
      <c r="F822" t="e">
        <f ca="1">BDP("45204FF5 Muni","ISSUE_DT")</f>
        <v>#NAME?</v>
      </c>
      <c r="G822" t="e">
        <f ca="1">BDP("45204FF5 Muni","MATURITY")</f>
        <v>#NAME?</v>
      </c>
      <c r="H822" t="e">
        <f ca="1">BDP("45204FF5 Muni","MUNI_TAX_PROV")</f>
        <v>#NAME?</v>
      </c>
      <c r="I822" t="e">
        <f ca="1">BDP("45204FF5 Muni","FINANCING_TYPE")</f>
        <v>#NAME?</v>
      </c>
      <c r="J822" t="e">
        <f ca="1">BDP("45204FF5 Muni","BICS_LEVEL_2_INDUSTRY_GROUP_NAME")</f>
        <v>#NAME?</v>
      </c>
      <c r="K822" t="e">
        <f ca="1">BDP("45204FF5 Muni","SELF_REPRTD_GREEN_INSTR_INDCTR")</f>
        <v>#NAME?</v>
      </c>
      <c r="L822" t="e">
        <f ca="1">BDP("45204FF5 Muni","GB_MANAGEMENT_PROCEEDS")</f>
        <v>#NAME?</v>
      </c>
      <c r="M822" t="e">
        <f ca="1">BDP("45204FF5 Muni","GB_REPORTING")</f>
        <v>#NAME?</v>
      </c>
      <c r="N822" t="e">
        <f ca="1">BDP("45204FF5 Muni","GB_ASSURANCE_PROVIDERS")</f>
        <v>#NAME?</v>
      </c>
      <c r="O822" t="e">
        <f ca="1">BDP("45204FF5 Muni","GB_PROJECT_SELECTION_PROCESS")</f>
        <v>#NAME?</v>
      </c>
      <c r="P822" t="e">
        <f ca="1">BDP("45204FF5 Muni","ESG_FRAMEWORK_INDICATOR")</f>
        <v>#NAME?</v>
      </c>
      <c r="Q822" t="e">
        <f ca="1">BDP("45204FF5 Muni","BLOOMBERG_SECTOR_CODE")</f>
        <v>#NAME?</v>
      </c>
      <c r="R822" t="e">
        <f ca="1">BDP("45204FF5 Muni","ISSUER_TYPE")</f>
        <v>#NAME?</v>
      </c>
      <c r="S822" t="e">
        <f ca="1">BDS("45204FF5 Muni","ESG_PROJECT_CATEGORY", "aggregate=y")</f>
        <v>#NAME?</v>
      </c>
      <c r="T822" t="e">
        <f ca="1">BDS("45204FF5 Muni","ESG_PROJECT_SUBCATEGORY", "aggregate=y")</f>
        <v>#NAME?</v>
      </c>
    </row>
    <row r="823" spans="1:20" x14ac:dyDescent="0.25">
      <c r="A823" t="e">
        <f ca="1">BDP("45204FZT Muni","ID_CUSIP")</f>
        <v>#NAME?</v>
      </c>
      <c r="B823" t="e">
        <f ca="1">BDP("45204FZT Muni","STATE_CODE")</f>
        <v>#NAME?</v>
      </c>
      <c r="C823" t="s">
        <v>53</v>
      </c>
      <c r="D823" t="e">
        <f ca="1">BDP("45204FZT Muni","YIELD_ON_ISSUE_DATE")</f>
        <v>#NAME?</v>
      </c>
      <c r="E823">
        <v>3195000</v>
      </c>
      <c r="F823" t="e">
        <f ca="1">BDP("45204FZT Muni","ISSUE_DT")</f>
        <v>#NAME?</v>
      </c>
      <c r="G823" t="e">
        <f ca="1">BDP("45204FZT Muni","MATURITY")</f>
        <v>#NAME?</v>
      </c>
      <c r="H823" t="e">
        <f ca="1">BDP("45204FZT Muni","MUNI_TAX_PROV")</f>
        <v>#NAME?</v>
      </c>
      <c r="I823" t="e">
        <f ca="1">BDP("45204FZT Muni","FINANCING_TYPE")</f>
        <v>#NAME?</v>
      </c>
      <c r="J823" t="e">
        <f ca="1">BDP("45204FZT Muni","BICS_LEVEL_2_INDUSTRY_GROUP_NAME")</f>
        <v>#NAME?</v>
      </c>
      <c r="K823" t="e">
        <f ca="1">BDP("45204FZT Muni","SELF_REPRTD_GREEN_INSTR_INDCTR")</f>
        <v>#NAME?</v>
      </c>
      <c r="L823" t="e">
        <f ca="1">BDP("45204FZT Muni","GB_MANAGEMENT_PROCEEDS")</f>
        <v>#NAME?</v>
      </c>
      <c r="M823" t="e">
        <f ca="1">BDP("45204FZT Muni","GB_REPORTING")</f>
        <v>#NAME?</v>
      </c>
      <c r="N823" t="e">
        <f ca="1">BDP("45204FZT Muni","GB_ASSURANCE_PROVIDERS")</f>
        <v>#NAME?</v>
      </c>
      <c r="O823" t="e">
        <f ca="1">BDP("45204FZT Muni","GB_PROJECT_SELECTION_PROCESS")</f>
        <v>#NAME?</v>
      </c>
      <c r="P823" t="e">
        <f ca="1">BDP("45204FZT Muni","ESG_FRAMEWORK_INDICATOR")</f>
        <v>#NAME?</v>
      </c>
      <c r="Q823" t="e">
        <f ca="1">BDP("45204FZT Muni","BLOOMBERG_SECTOR_CODE")</f>
        <v>#NAME?</v>
      </c>
      <c r="R823" t="e">
        <f ca="1">BDP("45204FZT Muni","ISSUER_TYPE")</f>
        <v>#NAME?</v>
      </c>
      <c r="S823" t="e">
        <f ca="1">BDS("45204FZT Muni","ESG_PROJECT_CATEGORY", "aggregate=y")</f>
        <v>#NAME?</v>
      </c>
      <c r="T823" t="e">
        <f ca="1">BDS("45204FZT Muni","ESG_PROJECT_SUBCATEGORY", "aggregate=y")</f>
        <v>#NAME?</v>
      </c>
    </row>
    <row r="824" spans="1:20" x14ac:dyDescent="0.25">
      <c r="A824" t="e">
        <f ca="1">BDP("479790KK Muni","ID_CUSIP")</f>
        <v>#NAME?</v>
      </c>
      <c r="B824" t="e">
        <f ca="1">BDP("479790KK Muni","STATE_CODE")</f>
        <v>#NAME?</v>
      </c>
      <c r="C824" t="s">
        <v>54</v>
      </c>
      <c r="D824" t="e">
        <f ca="1">BDP("479790KK Muni","YIELD_ON_ISSUE_DATE")</f>
        <v>#NAME?</v>
      </c>
      <c r="E824">
        <v>4240000</v>
      </c>
      <c r="F824" t="e">
        <f ca="1">BDP("479790KK Muni","ISSUE_DT")</f>
        <v>#NAME?</v>
      </c>
      <c r="G824" t="e">
        <f ca="1">BDP("479790KK Muni","MATURITY")</f>
        <v>#NAME?</v>
      </c>
      <c r="H824" t="e">
        <f ca="1">BDP("479790KK Muni","MUNI_TAX_PROV")</f>
        <v>#NAME?</v>
      </c>
      <c r="I824" t="e">
        <f ca="1">BDP("479790KK Muni","FINANCING_TYPE")</f>
        <v>#NAME?</v>
      </c>
      <c r="J824" t="e">
        <f ca="1">BDP("479790KK Muni","BICS_LEVEL_2_INDUSTRY_GROUP_NAME")</f>
        <v>#NAME?</v>
      </c>
      <c r="K824" t="e">
        <f ca="1">BDP("479790KK Muni","SELF_REPRTD_GREEN_INSTR_INDCTR")</f>
        <v>#NAME?</v>
      </c>
      <c r="L824" t="e">
        <f ca="1">BDP("479790KK Muni","GB_MANAGEMENT_PROCEEDS")</f>
        <v>#NAME?</v>
      </c>
      <c r="M824" t="e">
        <f ca="1">BDP("479790KK Muni","GB_REPORTING")</f>
        <v>#NAME?</v>
      </c>
      <c r="N824" t="e">
        <f ca="1">BDP("479790KK Muni","GB_ASSURANCE_PROVIDERS")</f>
        <v>#NAME?</v>
      </c>
      <c r="O824" t="e">
        <f ca="1">BDP("479790KK Muni","GB_PROJECT_SELECTION_PROCESS")</f>
        <v>#NAME?</v>
      </c>
      <c r="P824" t="e">
        <f ca="1">BDP("479790KK Muni","ESG_FRAMEWORK_INDICATOR")</f>
        <v>#NAME?</v>
      </c>
      <c r="Q824" t="e">
        <f ca="1">BDP("479790KK Muni","BLOOMBERG_SECTOR_CODE")</f>
        <v>#NAME?</v>
      </c>
      <c r="R824" t="e">
        <f ca="1">BDP("479790KK Muni","ISSUER_TYPE")</f>
        <v>#NAME?</v>
      </c>
      <c r="S824" t="e">
        <f ca="1">BDS("479790KK Muni","ESG_PROJECT_CATEGORY", "aggregate=y")</f>
        <v>#NAME?</v>
      </c>
      <c r="T824" t="e">
        <f ca="1">BDS("479790KK Muni","ESG_PROJECT_SUBCATEGORY", "aggregate=y")</f>
        <v>#NAME?</v>
      </c>
    </row>
    <row r="825" spans="1:20" x14ac:dyDescent="0.25">
      <c r="A825" t="e">
        <f ca="1">BDP("479790KN Muni","ID_CUSIP")</f>
        <v>#NAME?</v>
      </c>
      <c r="B825" t="e">
        <f ca="1">BDP("479790KN Muni","STATE_CODE")</f>
        <v>#NAME?</v>
      </c>
      <c r="C825" t="s">
        <v>54</v>
      </c>
      <c r="D825" t="e">
        <f ca="1">BDP("479790KN Muni","YIELD_ON_ISSUE_DATE")</f>
        <v>#NAME?</v>
      </c>
      <c r="E825">
        <v>4915000</v>
      </c>
      <c r="F825" t="e">
        <f ca="1">BDP("479790KN Muni","ISSUE_DT")</f>
        <v>#NAME?</v>
      </c>
      <c r="G825" t="e">
        <f ca="1">BDP("479790KN Muni","MATURITY")</f>
        <v>#NAME?</v>
      </c>
      <c r="H825" t="e">
        <f ca="1">BDP("479790KN Muni","MUNI_TAX_PROV")</f>
        <v>#NAME?</v>
      </c>
      <c r="I825" t="e">
        <f ca="1">BDP("479790KN Muni","FINANCING_TYPE")</f>
        <v>#NAME?</v>
      </c>
      <c r="J825" t="e">
        <f ca="1">BDP("479790KN Muni","BICS_LEVEL_2_INDUSTRY_GROUP_NAME")</f>
        <v>#NAME?</v>
      </c>
      <c r="K825" t="e">
        <f ca="1">BDP("479790KN Muni","SELF_REPRTD_GREEN_INSTR_INDCTR")</f>
        <v>#NAME?</v>
      </c>
      <c r="L825" t="e">
        <f ca="1">BDP("479790KN Muni","GB_MANAGEMENT_PROCEEDS")</f>
        <v>#NAME?</v>
      </c>
      <c r="M825" t="e">
        <f ca="1">BDP("479790KN Muni","GB_REPORTING")</f>
        <v>#NAME?</v>
      </c>
      <c r="N825" t="e">
        <f ca="1">BDP("479790KN Muni","GB_ASSURANCE_PROVIDERS")</f>
        <v>#NAME?</v>
      </c>
      <c r="O825" t="e">
        <f ca="1">BDP("479790KN Muni","GB_PROJECT_SELECTION_PROCESS")</f>
        <v>#NAME?</v>
      </c>
      <c r="P825" t="e">
        <f ca="1">BDP("479790KN Muni","ESG_FRAMEWORK_INDICATOR")</f>
        <v>#NAME?</v>
      </c>
      <c r="Q825" t="e">
        <f ca="1">BDP("479790KN Muni","BLOOMBERG_SECTOR_CODE")</f>
        <v>#NAME?</v>
      </c>
      <c r="R825" t="e">
        <f ca="1">BDP("479790KN Muni","ISSUER_TYPE")</f>
        <v>#NAME?</v>
      </c>
      <c r="S825" t="e">
        <f ca="1">BDS("479790KN Muni","ESG_PROJECT_CATEGORY", "aggregate=y")</f>
        <v>#NAME?</v>
      </c>
      <c r="T825" t="e">
        <f ca="1">BDS("479790KN Muni","ESG_PROJECT_SUBCATEGORY", "aggregate=y")</f>
        <v>#NAME?</v>
      </c>
    </row>
    <row r="826" spans="1:20" x14ac:dyDescent="0.25">
      <c r="A826" t="e">
        <f ca="1">BDP("479790KQ Muni","ID_CUSIP")</f>
        <v>#NAME?</v>
      </c>
      <c r="B826" t="e">
        <f ca="1">BDP("479790KQ Muni","STATE_CODE")</f>
        <v>#NAME?</v>
      </c>
      <c r="C826" t="s">
        <v>54</v>
      </c>
      <c r="D826" t="e">
        <f ca="1">BDP("479790KQ Muni","YIELD_ON_ISSUE_DATE")</f>
        <v>#NAME?</v>
      </c>
      <c r="E826">
        <v>5410000</v>
      </c>
      <c r="F826" t="e">
        <f ca="1">BDP("479790KQ Muni","ISSUE_DT")</f>
        <v>#NAME?</v>
      </c>
      <c r="G826" t="e">
        <f ca="1">BDP("479790KQ Muni","MATURITY")</f>
        <v>#NAME?</v>
      </c>
      <c r="H826" t="e">
        <f ca="1">BDP("479790KQ Muni","MUNI_TAX_PROV")</f>
        <v>#NAME?</v>
      </c>
      <c r="I826" t="e">
        <f ca="1">BDP("479790KQ Muni","FINANCING_TYPE")</f>
        <v>#NAME?</v>
      </c>
      <c r="J826" t="e">
        <f ca="1">BDP("479790KQ Muni","BICS_LEVEL_2_INDUSTRY_GROUP_NAME")</f>
        <v>#NAME?</v>
      </c>
      <c r="K826" t="e">
        <f ca="1">BDP("479790KQ Muni","SELF_REPRTD_GREEN_INSTR_INDCTR")</f>
        <v>#NAME?</v>
      </c>
      <c r="L826" t="e">
        <f ca="1">BDP("479790KQ Muni","GB_MANAGEMENT_PROCEEDS")</f>
        <v>#NAME?</v>
      </c>
      <c r="M826" t="e">
        <f ca="1">BDP("479790KQ Muni","GB_REPORTING")</f>
        <v>#NAME?</v>
      </c>
      <c r="N826" t="e">
        <f ca="1">BDP("479790KQ Muni","GB_ASSURANCE_PROVIDERS")</f>
        <v>#NAME?</v>
      </c>
      <c r="O826" t="e">
        <f ca="1">BDP("479790KQ Muni","GB_PROJECT_SELECTION_PROCESS")</f>
        <v>#NAME?</v>
      </c>
      <c r="P826" t="e">
        <f ca="1">BDP("479790KQ Muni","ESG_FRAMEWORK_INDICATOR")</f>
        <v>#NAME?</v>
      </c>
      <c r="Q826" t="e">
        <f ca="1">BDP("479790KQ Muni","BLOOMBERG_SECTOR_CODE")</f>
        <v>#NAME?</v>
      </c>
      <c r="R826" t="e">
        <f ca="1">BDP("479790KQ Muni","ISSUER_TYPE")</f>
        <v>#NAME?</v>
      </c>
      <c r="S826" t="e">
        <f ca="1">BDS("479790KQ Muni","ESG_PROJECT_CATEGORY", "aggregate=y")</f>
        <v>#NAME?</v>
      </c>
      <c r="T826" t="e">
        <f ca="1">BDS("479790KQ Muni","ESG_PROJECT_SUBCATEGORY", "aggregate=y")</f>
        <v>#NAME?</v>
      </c>
    </row>
    <row r="827" spans="1:20" x14ac:dyDescent="0.25">
      <c r="A827" t="e">
        <f ca="1">BDP("479790KR Muni","ID_CUSIP")</f>
        <v>#NAME?</v>
      </c>
      <c r="B827" t="e">
        <f ca="1">BDP("479790KR Muni","STATE_CODE")</f>
        <v>#NAME?</v>
      </c>
      <c r="C827" t="s">
        <v>54</v>
      </c>
      <c r="D827" t="e">
        <f ca="1">BDP("479790KR Muni","YIELD_ON_ISSUE_DATE")</f>
        <v>#NAME?</v>
      </c>
      <c r="E827">
        <v>5685000</v>
      </c>
      <c r="F827" t="e">
        <f ca="1">BDP("479790KR Muni","ISSUE_DT")</f>
        <v>#NAME?</v>
      </c>
      <c r="G827" t="e">
        <f ca="1">BDP("479790KR Muni","MATURITY")</f>
        <v>#NAME?</v>
      </c>
      <c r="H827" t="e">
        <f ca="1">BDP("479790KR Muni","MUNI_TAX_PROV")</f>
        <v>#NAME?</v>
      </c>
      <c r="I827" t="e">
        <f ca="1">BDP("479790KR Muni","FINANCING_TYPE")</f>
        <v>#NAME?</v>
      </c>
      <c r="J827" t="e">
        <f ca="1">BDP("479790KR Muni","BICS_LEVEL_2_INDUSTRY_GROUP_NAME")</f>
        <v>#NAME?</v>
      </c>
      <c r="K827" t="e">
        <f ca="1">BDP("479790KR Muni","SELF_REPRTD_GREEN_INSTR_INDCTR")</f>
        <v>#NAME?</v>
      </c>
      <c r="L827" t="e">
        <f ca="1">BDP("479790KR Muni","GB_MANAGEMENT_PROCEEDS")</f>
        <v>#NAME?</v>
      </c>
      <c r="M827" t="e">
        <f ca="1">BDP("479790KR Muni","GB_REPORTING")</f>
        <v>#NAME?</v>
      </c>
      <c r="N827" t="e">
        <f ca="1">BDP("479790KR Muni","GB_ASSURANCE_PROVIDERS")</f>
        <v>#NAME?</v>
      </c>
      <c r="O827" t="e">
        <f ca="1">BDP("479790KR Muni","GB_PROJECT_SELECTION_PROCESS")</f>
        <v>#NAME?</v>
      </c>
      <c r="P827" t="e">
        <f ca="1">BDP("479790KR Muni","ESG_FRAMEWORK_INDICATOR")</f>
        <v>#NAME?</v>
      </c>
      <c r="Q827" t="e">
        <f ca="1">BDP("479790KR Muni","BLOOMBERG_SECTOR_CODE")</f>
        <v>#NAME?</v>
      </c>
      <c r="R827" t="e">
        <f ca="1">BDP("479790KR Muni","ISSUER_TYPE")</f>
        <v>#NAME?</v>
      </c>
      <c r="S827" t="e">
        <f ca="1">BDS("479790KR Muni","ESG_PROJECT_CATEGORY", "aggregate=y")</f>
        <v>#NAME?</v>
      </c>
      <c r="T827" t="e">
        <f ca="1">BDS("479790KR Muni","ESG_PROJECT_SUBCATEGORY", "aggregate=y")</f>
        <v>#NAME?</v>
      </c>
    </row>
    <row r="828" spans="1:20" x14ac:dyDescent="0.25">
      <c r="A828" t="e">
        <f ca="1">BDP("479790KU Muni","ID_CUSIP")</f>
        <v>#NAME?</v>
      </c>
      <c r="B828" t="e">
        <f ca="1">BDP("479790KU Muni","STATE_CODE")</f>
        <v>#NAME?</v>
      </c>
      <c r="C828" t="s">
        <v>54</v>
      </c>
      <c r="D828" t="e">
        <f ca="1">BDP("479790KU Muni","YIELD_ON_ISSUE_DATE")</f>
        <v>#NAME?</v>
      </c>
      <c r="E828">
        <v>6580000</v>
      </c>
      <c r="F828" t="e">
        <f ca="1">BDP("479790KU Muni","ISSUE_DT")</f>
        <v>#NAME?</v>
      </c>
      <c r="G828" t="e">
        <f ca="1">BDP("479790KU Muni","MATURITY")</f>
        <v>#NAME?</v>
      </c>
      <c r="H828" t="e">
        <f ca="1">BDP("479790KU Muni","MUNI_TAX_PROV")</f>
        <v>#NAME?</v>
      </c>
      <c r="I828" t="e">
        <f ca="1">BDP("479790KU Muni","FINANCING_TYPE")</f>
        <v>#NAME?</v>
      </c>
      <c r="J828" t="e">
        <f ca="1">BDP("479790KU Muni","BICS_LEVEL_2_INDUSTRY_GROUP_NAME")</f>
        <v>#NAME?</v>
      </c>
      <c r="K828" t="e">
        <f ca="1">BDP("479790KU Muni","SELF_REPRTD_GREEN_INSTR_INDCTR")</f>
        <v>#NAME?</v>
      </c>
      <c r="L828" t="e">
        <f ca="1">BDP("479790KU Muni","GB_MANAGEMENT_PROCEEDS")</f>
        <v>#NAME?</v>
      </c>
      <c r="M828" t="e">
        <f ca="1">BDP("479790KU Muni","GB_REPORTING")</f>
        <v>#NAME?</v>
      </c>
      <c r="N828" t="e">
        <f ca="1">BDP("479790KU Muni","GB_ASSURANCE_PROVIDERS")</f>
        <v>#NAME?</v>
      </c>
      <c r="O828" t="e">
        <f ca="1">BDP("479790KU Muni","GB_PROJECT_SELECTION_PROCESS")</f>
        <v>#NAME?</v>
      </c>
      <c r="P828" t="e">
        <f ca="1">BDP("479790KU Muni","ESG_FRAMEWORK_INDICATOR")</f>
        <v>#NAME?</v>
      </c>
      <c r="Q828" t="e">
        <f ca="1">BDP("479790KU Muni","BLOOMBERG_SECTOR_CODE")</f>
        <v>#NAME?</v>
      </c>
      <c r="R828" t="e">
        <f ca="1">BDP("479790KU Muni","ISSUER_TYPE")</f>
        <v>#NAME?</v>
      </c>
      <c r="S828" t="e">
        <f ca="1">BDS("479790KU Muni","ESG_PROJECT_CATEGORY", "aggregate=y")</f>
        <v>#NAME?</v>
      </c>
      <c r="T828" t="e">
        <f ca="1">BDS("479790KU Muni","ESG_PROJECT_SUBCATEGORY", "aggregate=y")</f>
        <v>#NAME?</v>
      </c>
    </row>
    <row r="829" spans="1:20" x14ac:dyDescent="0.25">
      <c r="A829" t="e">
        <f ca="1">BDP("479790KW Muni","ID_CUSIP")</f>
        <v>#NAME?</v>
      </c>
      <c r="B829" t="e">
        <f ca="1">BDP("479790KW Muni","STATE_CODE")</f>
        <v>#NAME?</v>
      </c>
      <c r="C829" t="s">
        <v>54</v>
      </c>
      <c r="D829" t="e">
        <f ca="1">BDP("479790KW Muni","YIELD_ON_ISSUE_DATE")</f>
        <v>#NAME?</v>
      </c>
      <c r="E829">
        <v>7260000</v>
      </c>
      <c r="F829" t="e">
        <f ca="1">BDP("479790KW Muni","ISSUE_DT")</f>
        <v>#NAME?</v>
      </c>
      <c r="G829" t="e">
        <f ca="1">BDP("479790KW Muni","MATURITY")</f>
        <v>#NAME?</v>
      </c>
      <c r="H829" t="e">
        <f ca="1">BDP("479790KW Muni","MUNI_TAX_PROV")</f>
        <v>#NAME?</v>
      </c>
      <c r="I829" t="e">
        <f ca="1">BDP("479790KW Muni","FINANCING_TYPE")</f>
        <v>#NAME?</v>
      </c>
      <c r="J829" t="e">
        <f ca="1">BDP("479790KW Muni","BICS_LEVEL_2_INDUSTRY_GROUP_NAME")</f>
        <v>#NAME?</v>
      </c>
      <c r="K829" t="e">
        <f ca="1">BDP("479790KW Muni","SELF_REPRTD_GREEN_INSTR_INDCTR")</f>
        <v>#NAME?</v>
      </c>
      <c r="L829" t="e">
        <f ca="1">BDP("479790KW Muni","GB_MANAGEMENT_PROCEEDS")</f>
        <v>#NAME?</v>
      </c>
      <c r="M829" t="e">
        <f ca="1">BDP("479790KW Muni","GB_REPORTING")</f>
        <v>#NAME?</v>
      </c>
      <c r="N829" t="e">
        <f ca="1">BDP("479790KW Muni","GB_ASSURANCE_PROVIDERS")</f>
        <v>#NAME?</v>
      </c>
      <c r="O829" t="e">
        <f ca="1">BDP("479790KW Muni","GB_PROJECT_SELECTION_PROCESS")</f>
        <v>#NAME?</v>
      </c>
      <c r="P829" t="e">
        <f ca="1">BDP("479790KW Muni","ESG_FRAMEWORK_INDICATOR")</f>
        <v>#NAME?</v>
      </c>
      <c r="Q829" t="e">
        <f ca="1">BDP("479790KW Muni","BLOOMBERG_SECTOR_CODE")</f>
        <v>#NAME?</v>
      </c>
      <c r="R829" t="e">
        <f ca="1">BDP("479790KW Muni","ISSUER_TYPE")</f>
        <v>#NAME?</v>
      </c>
      <c r="S829" t="e">
        <f ca="1">BDS("479790KW Muni","ESG_PROJECT_CATEGORY", "aggregate=y")</f>
        <v>#NAME?</v>
      </c>
      <c r="T829" t="e">
        <f ca="1">BDS("479790KW Muni","ESG_PROJECT_SUBCATEGORY", "aggregate=y")</f>
        <v>#NAME?</v>
      </c>
    </row>
    <row r="830" spans="1:20" x14ac:dyDescent="0.25">
      <c r="A830" t="e">
        <f ca="1">BDP("45506EPH Muni","ID_CUSIP")</f>
        <v>#NAME?</v>
      </c>
      <c r="B830" t="e">
        <f ca="1">BDP("45506EPH Muni","STATE_CODE")</f>
        <v>#NAME?</v>
      </c>
      <c r="C830" t="s">
        <v>55</v>
      </c>
      <c r="D830" t="e">
        <f ca="1">BDP("45506EPH Muni","YIELD_ON_ISSUE_DATE")</f>
        <v>#NAME?</v>
      </c>
      <c r="E830">
        <v>4255000</v>
      </c>
      <c r="F830" t="e">
        <f ca="1">BDP("45506EPH Muni","ISSUE_DT")</f>
        <v>#NAME?</v>
      </c>
      <c r="G830" t="e">
        <f ca="1">BDP("45506EPH Muni","MATURITY")</f>
        <v>#NAME?</v>
      </c>
      <c r="H830" t="e">
        <f ca="1">BDP("45506EPH Muni","MUNI_TAX_PROV")</f>
        <v>#NAME?</v>
      </c>
      <c r="I830" t="e">
        <f ca="1">BDP("45506EPH Muni","FINANCING_TYPE")</f>
        <v>#NAME?</v>
      </c>
      <c r="J830" t="e">
        <f ca="1">BDP("45506EPH Muni","BICS_LEVEL_2_INDUSTRY_GROUP_NAME")</f>
        <v>#NAME?</v>
      </c>
      <c r="K830" t="e">
        <f ca="1">BDP("45506EPH Muni","SELF_REPRTD_GREEN_INSTR_INDCTR")</f>
        <v>#NAME?</v>
      </c>
      <c r="L830" t="e">
        <f ca="1">BDP("45506EPH Muni","GB_MANAGEMENT_PROCEEDS")</f>
        <v>#NAME?</v>
      </c>
      <c r="M830" t="e">
        <f ca="1">BDP("45506EPH Muni","GB_REPORTING")</f>
        <v>#NAME?</v>
      </c>
      <c r="N830" t="e">
        <f ca="1">BDP("45506EPH Muni","GB_ASSURANCE_PROVIDERS")</f>
        <v>#NAME?</v>
      </c>
      <c r="O830" t="e">
        <f ca="1">BDP("45506EPH Muni","GB_PROJECT_SELECTION_PROCESS")</f>
        <v>#NAME?</v>
      </c>
      <c r="P830" t="e">
        <f ca="1">BDP("45506EPH Muni","ESG_FRAMEWORK_INDICATOR")</f>
        <v>#NAME?</v>
      </c>
      <c r="Q830" t="e">
        <f ca="1">BDP("45506EPH Muni","BLOOMBERG_SECTOR_CODE")</f>
        <v>#NAME?</v>
      </c>
      <c r="R830" t="e">
        <f ca="1">BDP("45506EPH Muni","ISSUER_TYPE")</f>
        <v>#NAME?</v>
      </c>
      <c r="S830" t="e">
        <f ca="1">BDS("45506EPH Muni","ESG_PROJECT_CATEGORY", "aggregate=y")</f>
        <v>#NAME?</v>
      </c>
      <c r="T830" t="e">
        <f ca="1">BDS("45506EPH Muni","ESG_PROJECT_SUBCATEGORY", "aggregate=y")</f>
        <v>#NAME?</v>
      </c>
    </row>
    <row r="831" spans="1:20" x14ac:dyDescent="0.25">
      <c r="A831" t="e">
        <f ca="1">BDP("45506EPJ Muni","ID_CUSIP")</f>
        <v>#NAME?</v>
      </c>
      <c r="B831" t="e">
        <f ca="1">BDP("45506EPJ Muni","STATE_CODE")</f>
        <v>#NAME?</v>
      </c>
      <c r="C831" t="s">
        <v>55</v>
      </c>
      <c r="D831" t="e">
        <f ca="1">BDP("45506EPJ Muni","YIELD_ON_ISSUE_DATE")</f>
        <v>#NAME?</v>
      </c>
      <c r="E831">
        <v>1530000</v>
      </c>
      <c r="F831" t="e">
        <f ca="1">BDP("45506EPJ Muni","ISSUE_DT")</f>
        <v>#NAME?</v>
      </c>
      <c r="G831" t="e">
        <f ca="1">BDP("45506EPJ Muni","MATURITY")</f>
        <v>#NAME?</v>
      </c>
      <c r="H831" t="e">
        <f ca="1">BDP("45506EPJ Muni","MUNI_TAX_PROV")</f>
        <v>#NAME?</v>
      </c>
      <c r="I831" t="e">
        <f ca="1">BDP("45506EPJ Muni","FINANCING_TYPE")</f>
        <v>#NAME?</v>
      </c>
      <c r="J831" t="e">
        <f ca="1">BDP("45506EPJ Muni","BICS_LEVEL_2_INDUSTRY_GROUP_NAME")</f>
        <v>#NAME?</v>
      </c>
      <c r="K831" t="e">
        <f ca="1">BDP("45506EPJ Muni","SELF_REPRTD_GREEN_INSTR_INDCTR")</f>
        <v>#NAME?</v>
      </c>
      <c r="L831" t="e">
        <f ca="1">BDP("45506EPJ Muni","GB_MANAGEMENT_PROCEEDS")</f>
        <v>#NAME?</v>
      </c>
      <c r="M831" t="e">
        <f ca="1">BDP("45506EPJ Muni","GB_REPORTING")</f>
        <v>#NAME?</v>
      </c>
      <c r="N831" t="e">
        <f ca="1">BDP("45506EPJ Muni","GB_ASSURANCE_PROVIDERS")</f>
        <v>#NAME?</v>
      </c>
      <c r="O831" t="e">
        <f ca="1">BDP("45506EPJ Muni","GB_PROJECT_SELECTION_PROCESS")</f>
        <v>#NAME?</v>
      </c>
      <c r="P831" t="e">
        <f ca="1">BDP("45506EPJ Muni","ESG_FRAMEWORK_INDICATOR")</f>
        <v>#NAME?</v>
      </c>
      <c r="Q831" t="e">
        <f ca="1">BDP("45506EPJ Muni","BLOOMBERG_SECTOR_CODE")</f>
        <v>#NAME?</v>
      </c>
      <c r="R831" t="e">
        <f ca="1">BDP("45506EPJ Muni","ISSUER_TYPE")</f>
        <v>#NAME?</v>
      </c>
      <c r="S831" t="e">
        <f ca="1">BDS("45506EPJ Muni","ESG_PROJECT_CATEGORY", "aggregate=y")</f>
        <v>#NAME?</v>
      </c>
      <c r="T831" t="e">
        <f ca="1">BDS("45506EPJ Muni","ESG_PROJECT_SUBCATEGORY", "aggregate=y")</f>
        <v>#NAME?</v>
      </c>
    </row>
    <row r="832" spans="1:20" x14ac:dyDescent="0.25">
      <c r="A832" t="e">
        <f ca="1">BDP("45506EPM Muni","ID_CUSIP")</f>
        <v>#NAME?</v>
      </c>
      <c r="B832" t="e">
        <f ca="1">BDP("45506EPM Muni","STATE_CODE")</f>
        <v>#NAME?</v>
      </c>
      <c r="C832" t="s">
        <v>55</v>
      </c>
      <c r="D832" t="e">
        <f ca="1">BDP("45506EPM Muni","YIELD_ON_ISSUE_DATE")</f>
        <v>#NAME?</v>
      </c>
      <c r="E832">
        <v>9625000</v>
      </c>
      <c r="F832" t="e">
        <f ca="1">BDP("45506EPM Muni","ISSUE_DT")</f>
        <v>#NAME?</v>
      </c>
      <c r="G832" t="e">
        <f ca="1">BDP("45506EPM Muni","MATURITY")</f>
        <v>#NAME?</v>
      </c>
      <c r="H832" t="e">
        <f ca="1">BDP("45506EPM Muni","MUNI_TAX_PROV")</f>
        <v>#NAME?</v>
      </c>
      <c r="I832" t="e">
        <f ca="1">BDP("45506EPM Muni","FINANCING_TYPE")</f>
        <v>#NAME?</v>
      </c>
      <c r="J832" t="e">
        <f ca="1">BDP("45506EPM Muni","BICS_LEVEL_2_INDUSTRY_GROUP_NAME")</f>
        <v>#NAME?</v>
      </c>
      <c r="K832" t="e">
        <f ca="1">BDP("45506EPM Muni","SELF_REPRTD_GREEN_INSTR_INDCTR")</f>
        <v>#NAME?</v>
      </c>
      <c r="L832" t="e">
        <f ca="1">BDP("45506EPM Muni","GB_MANAGEMENT_PROCEEDS")</f>
        <v>#NAME?</v>
      </c>
      <c r="M832" t="e">
        <f ca="1">BDP("45506EPM Muni","GB_REPORTING")</f>
        <v>#NAME?</v>
      </c>
      <c r="N832" t="e">
        <f ca="1">BDP("45506EPM Muni","GB_ASSURANCE_PROVIDERS")</f>
        <v>#NAME?</v>
      </c>
      <c r="O832" t="e">
        <f ca="1">BDP("45506EPM Muni","GB_PROJECT_SELECTION_PROCESS")</f>
        <v>#NAME?</v>
      </c>
      <c r="P832" t="e">
        <f ca="1">BDP("45506EPM Muni","ESG_FRAMEWORK_INDICATOR")</f>
        <v>#NAME?</v>
      </c>
      <c r="Q832" t="e">
        <f ca="1">BDP("45506EPM Muni","BLOOMBERG_SECTOR_CODE")</f>
        <v>#NAME?</v>
      </c>
      <c r="R832" t="e">
        <f ca="1">BDP("45506EPM Muni","ISSUER_TYPE")</f>
        <v>#NAME?</v>
      </c>
      <c r="S832" t="e">
        <f ca="1">BDS("45506EPM Muni","ESG_PROJECT_CATEGORY", "aggregate=y")</f>
        <v>#NAME?</v>
      </c>
      <c r="T832" t="e">
        <f ca="1">BDS("45506EPM Muni","ESG_PROJECT_SUBCATEGORY", "aggregate=y")</f>
        <v>#NAME?</v>
      </c>
    </row>
    <row r="833" spans="1:20" x14ac:dyDescent="0.25">
      <c r="A833" t="e">
        <f ca="1">BDP("45506EPN Muni","ID_CUSIP")</f>
        <v>#NAME?</v>
      </c>
      <c r="B833" t="e">
        <f ca="1">BDP("45506EPN Muni","STATE_CODE")</f>
        <v>#NAME?</v>
      </c>
      <c r="C833" t="s">
        <v>55</v>
      </c>
      <c r="D833" t="e">
        <f ca="1">BDP("45506EPN Muni","YIELD_ON_ISSUE_DATE")</f>
        <v>#NAME?</v>
      </c>
      <c r="E833">
        <v>5320000</v>
      </c>
      <c r="F833" t="e">
        <f ca="1">BDP("45506EPN Muni","ISSUE_DT")</f>
        <v>#NAME?</v>
      </c>
      <c r="G833" t="e">
        <f ca="1">BDP("45506EPN Muni","MATURITY")</f>
        <v>#NAME?</v>
      </c>
      <c r="H833" t="e">
        <f ca="1">BDP("45506EPN Muni","MUNI_TAX_PROV")</f>
        <v>#NAME?</v>
      </c>
      <c r="I833" t="e">
        <f ca="1">BDP("45506EPN Muni","FINANCING_TYPE")</f>
        <v>#NAME?</v>
      </c>
      <c r="J833" t="e">
        <f ca="1">BDP("45506EPN Muni","BICS_LEVEL_2_INDUSTRY_GROUP_NAME")</f>
        <v>#NAME?</v>
      </c>
      <c r="K833" t="e">
        <f ca="1">BDP("45506EPN Muni","SELF_REPRTD_GREEN_INSTR_INDCTR")</f>
        <v>#NAME?</v>
      </c>
      <c r="L833" t="e">
        <f ca="1">BDP("45506EPN Muni","GB_MANAGEMENT_PROCEEDS")</f>
        <v>#NAME?</v>
      </c>
      <c r="M833" t="e">
        <f ca="1">BDP("45506EPN Muni","GB_REPORTING")</f>
        <v>#NAME?</v>
      </c>
      <c r="N833" t="e">
        <f ca="1">BDP("45506EPN Muni","GB_ASSURANCE_PROVIDERS")</f>
        <v>#NAME?</v>
      </c>
      <c r="O833" t="e">
        <f ca="1">BDP("45506EPN Muni","GB_PROJECT_SELECTION_PROCESS")</f>
        <v>#NAME?</v>
      </c>
      <c r="P833" t="e">
        <f ca="1">BDP("45506EPN Muni","ESG_FRAMEWORK_INDICATOR")</f>
        <v>#NAME?</v>
      </c>
      <c r="Q833" t="e">
        <f ca="1">BDP("45506EPN Muni","BLOOMBERG_SECTOR_CODE")</f>
        <v>#NAME?</v>
      </c>
      <c r="R833" t="e">
        <f ca="1">BDP("45506EPN Muni","ISSUER_TYPE")</f>
        <v>#NAME?</v>
      </c>
      <c r="S833" t="e">
        <f ca="1">BDS("45506EPN Muni","ESG_PROJECT_CATEGORY", "aggregate=y")</f>
        <v>#NAME?</v>
      </c>
      <c r="T833" t="e">
        <f ca="1">BDS("45506EPN Muni","ESG_PROJECT_SUBCATEGORY", "aggregate=y")</f>
        <v>#NAME?</v>
      </c>
    </row>
    <row r="834" spans="1:20" x14ac:dyDescent="0.25">
      <c r="A834" t="e">
        <f ca="1">BDP("45506EPQ Muni","ID_CUSIP")</f>
        <v>#NAME?</v>
      </c>
      <c r="B834" t="e">
        <f ca="1">BDP("45506EPQ Muni","STATE_CODE")</f>
        <v>#NAME?</v>
      </c>
      <c r="C834" t="s">
        <v>55</v>
      </c>
      <c r="D834" t="e">
        <f ca="1">BDP("45506EPQ Muni","YIELD_ON_ISSUE_DATE")</f>
        <v>#NAME?</v>
      </c>
      <c r="E834">
        <v>18480000</v>
      </c>
      <c r="F834" t="e">
        <f ca="1">BDP("45506EPQ Muni","ISSUE_DT")</f>
        <v>#NAME?</v>
      </c>
      <c r="G834" t="e">
        <f ca="1">BDP("45506EPQ Muni","MATURITY")</f>
        <v>#NAME?</v>
      </c>
      <c r="H834" t="e">
        <f ca="1">BDP("45506EPQ Muni","MUNI_TAX_PROV")</f>
        <v>#NAME?</v>
      </c>
      <c r="I834" t="e">
        <f ca="1">BDP("45506EPQ Muni","FINANCING_TYPE")</f>
        <v>#NAME?</v>
      </c>
      <c r="J834" t="e">
        <f ca="1">BDP("45506EPQ Muni","BICS_LEVEL_2_INDUSTRY_GROUP_NAME")</f>
        <v>#NAME?</v>
      </c>
      <c r="K834" t="e">
        <f ca="1">BDP("45506EPQ Muni","SELF_REPRTD_GREEN_INSTR_INDCTR")</f>
        <v>#NAME?</v>
      </c>
      <c r="L834" t="e">
        <f ca="1">BDP("45506EPQ Muni","GB_MANAGEMENT_PROCEEDS")</f>
        <v>#NAME?</v>
      </c>
      <c r="M834" t="e">
        <f ca="1">BDP("45506EPQ Muni","GB_REPORTING")</f>
        <v>#NAME?</v>
      </c>
      <c r="N834" t="e">
        <f ca="1">BDP("45506EPQ Muni","GB_ASSURANCE_PROVIDERS")</f>
        <v>#NAME?</v>
      </c>
      <c r="O834" t="e">
        <f ca="1">BDP("45506EPQ Muni","GB_PROJECT_SELECTION_PROCESS")</f>
        <v>#NAME?</v>
      </c>
      <c r="P834" t="e">
        <f ca="1">BDP("45506EPQ Muni","ESG_FRAMEWORK_INDICATOR")</f>
        <v>#NAME?</v>
      </c>
      <c r="Q834" t="e">
        <f ca="1">BDP("45506EPQ Muni","BLOOMBERG_SECTOR_CODE")</f>
        <v>#NAME?</v>
      </c>
      <c r="R834" t="e">
        <f ca="1">BDP("45506EPQ Muni","ISSUER_TYPE")</f>
        <v>#NAME?</v>
      </c>
      <c r="S834" t="e">
        <f ca="1">BDS("45506EPQ Muni","ESG_PROJECT_CATEGORY", "aggregate=y")</f>
        <v>#NAME?</v>
      </c>
      <c r="T834" t="e">
        <f ca="1">BDS("45506EPQ Muni","ESG_PROJECT_SUBCATEGORY", "aggregate=y")</f>
        <v>#NAME?</v>
      </c>
    </row>
    <row r="835" spans="1:20" x14ac:dyDescent="0.25">
      <c r="A835" t="e">
        <f ca="1">BDP("45506ELS Muni","ID_CUSIP")</f>
        <v>#NAME?</v>
      </c>
      <c r="B835" t="e">
        <f ca="1">BDP("45506ELS Muni","STATE_CODE")</f>
        <v>#NAME?</v>
      </c>
      <c r="C835" t="s">
        <v>55</v>
      </c>
      <c r="D835" t="e">
        <f ca="1">BDP("45506ELS Muni","YIELD_ON_ISSUE_DATE")</f>
        <v>#NAME?</v>
      </c>
      <c r="E835">
        <v>5545000</v>
      </c>
      <c r="F835" t="e">
        <f ca="1">BDP("45506ELS Muni","ISSUE_DT")</f>
        <v>#NAME?</v>
      </c>
      <c r="G835" t="e">
        <f ca="1">BDP("45506ELS Muni","MATURITY")</f>
        <v>#NAME?</v>
      </c>
      <c r="H835" t="e">
        <f ca="1">BDP("45506ELS Muni","MUNI_TAX_PROV")</f>
        <v>#NAME?</v>
      </c>
      <c r="I835" t="e">
        <f ca="1">BDP("45506ELS Muni","FINANCING_TYPE")</f>
        <v>#NAME?</v>
      </c>
      <c r="J835" t="e">
        <f ca="1">BDP("45506ELS Muni","BICS_LEVEL_2_INDUSTRY_GROUP_NAME")</f>
        <v>#NAME?</v>
      </c>
      <c r="K835" t="e">
        <f ca="1">BDP("45506ELS Muni","SELF_REPRTD_GREEN_INSTR_INDCTR")</f>
        <v>#NAME?</v>
      </c>
      <c r="L835" t="e">
        <f ca="1">BDP("45506ELS Muni","GB_MANAGEMENT_PROCEEDS")</f>
        <v>#NAME?</v>
      </c>
      <c r="M835" t="e">
        <f ca="1">BDP("45506ELS Muni","GB_REPORTING")</f>
        <v>#NAME?</v>
      </c>
      <c r="N835" t="e">
        <f ca="1">BDP("45506ELS Muni","GB_ASSURANCE_PROVIDERS")</f>
        <v>#NAME?</v>
      </c>
      <c r="O835" t="e">
        <f ca="1">BDP("45506ELS Muni","GB_PROJECT_SELECTION_PROCESS")</f>
        <v>#NAME?</v>
      </c>
      <c r="P835" t="e">
        <f ca="1">BDP("45506ELS Muni","ESG_FRAMEWORK_INDICATOR")</f>
        <v>#NAME?</v>
      </c>
      <c r="Q835" t="e">
        <f ca="1">BDP("45506ELS Muni","BLOOMBERG_SECTOR_CODE")</f>
        <v>#NAME?</v>
      </c>
      <c r="R835" t="e">
        <f ca="1">BDP("45506ELS Muni","ISSUER_TYPE")</f>
        <v>#NAME?</v>
      </c>
      <c r="S835" t="e">
        <f ca="1">BDS("45506ELS Muni","ESG_PROJECT_CATEGORY", "aggregate=y")</f>
        <v>#NAME?</v>
      </c>
      <c r="T835" t="e">
        <f ca="1">BDS("45506ELS Muni","ESG_PROJECT_SUBCATEGORY", "aggregate=y")</f>
        <v>#NAME?</v>
      </c>
    </row>
    <row r="836" spans="1:20" x14ac:dyDescent="0.25">
      <c r="A836" t="e">
        <f ca="1">BDP("45506ELT Muni","ID_CUSIP")</f>
        <v>#NAME?</v>
      </c>
      <c r="B836" t="e">
        <f ca="1">BDP("45506ELT Muni","STATE_CODE")</f>
        <v>#NAME?</v>
      </c>
      <c r="C836" t="s">
        <v>55</v>
      </c>
      <c r="D836" t="e">
        <f ca="1">BDP("45506ELT Muni","YIELD_ON_ISSUE_DATE")</f>
        <v>#NAME?</v>
      </c>
      <c r="E836">
        <v>5540000</v>
      </c>
      <c r="F836" t="e">
        <f ca="1">BDP("45506ELT Muni","ISSUE_DT")</f>
        <v>#NAME?</v>
      </c>
      <c r="G836" t="e">
        <f ca="1">BDP("45506ELT Muni","MATURITY")</f>
        <v>#NAME?</v>
      </c>
      <c r="H836" t="e">
        <f ca="1">BDP("45506ELT Muni","MUNI_TAX_PROV")</f>
        <v>#NAME?</v>
      </c>
      <c r="I836" t="e">
        <f ca="1">BDP("45506ELT Muni","FINANCING_TYPE")</f>
        <v>#NAME?</v>
      </c>
      <c r="J836" t="e">
        <f ca="1">BDP("45506ELT Muni","BICS_LEVEL_2_INDUSTRY_GROUP_NAME")</f>
        <v>#NAME?</v>
      </c>
      <c r="K836" t="e">
        <f ca="1">BDP("45506ELT Muni","SELF_REPRTD_GREEN_INSTR_INDCTR")</f>
        <v>#NAME?</v>
      </c>
      <c r="L836" t="e">
        <f ca="1">BDP("45506ELT Muni","GB_MANAGEMENT_PROCEEDS")</f>
        <v>#NAME?</v>
      </c>
      <c r="M836" t="e">
        <f ca="1">BDP("45506ELT Muni","GB_REPORTING")</f>
        <v>#NAME?</v>
      </c>
      <c r="N836" t="e">
        <f ca="1">BDP("45506ELT Muni","GB_ASSURANCE_PROVIDERS")</f>
        <v>#NAME?</v>
      </c>
      <c r="O836" t="e">
        <f ca="1">BDP("45506ELT Muni","GB_PROJECT_SELECTION_PROCESS")</f>
        <v>#NAME?</v>
      </c>
      <c r="P836" t="e">
        <f ca="1">BDP("45506ELT Muni","ESG_FRAMEWORK_INDICATOR")</f>
        <v>#NAME?</v>
      </c>
      <c r="Q836" t="e">
        <f ca="1">BDP("45506ELT Muni","BLOOMBERG_SECTOR_CODE")</f>
        <v>#NAME?</v>
      </c>
      <c r="R836" t="e">
        <f ca="1">BDP("45506ELT Muni","ISSUER_TYPE")</f>
        <v>#NAME?</v>
      </c>
      <c r="S836" t="e">
        <f ca="1">BDS("45506ELT Muni","ESG_PROJECT_CATEGORY", "aggregate=y")</f>
        <v>#NAME?</v>
      </c>
      <c r="T836" t="e">
        <f ca="1">BDS("45506ELT Muni","ESG_PROJECT_SUBCATEGORY", "aggregate=y")</f>
        <v>#NAME?</v>
      </c>
    </row>
    <row r="837" spans="1:20" x14ac:dyDescent="0.25">
      <c r="A837" t="e">
        <f ca="1">BDP("45506ELU Muni","ID_CUSIP")</f>
        <v>#NAME?</v>
      </c>
      <c r="B837" t="e">
        <f ca="1">BDP("45506ELU Muni","STATE_CODE")</f>
        <v>#NAME?</v>
      </c>
      <c r="C837" t="s">
        <v>55</v>
      </c>
      <c r="D837" t="e">
        <f ca="1">BDP("45506ELU Muni","YIELD_ON_ISSUE_DATE")</f>
        <v>#NAME?</v>
      </c>
      <c r="E837">
        <v>1440000</v>
      </c>
      <c r="F837" t="e">
        <f ca="1">BDP("45506ELU Muni","ISSUE_DT")</f>
        <v>#NAME?</v>
      </c>
      <c r="G837" t="e">
        <f ca="1">BDP("45506ELU Muni","MATURITY")</f>
        <v>#NAME?</v>
      </c>
      <c r="H837" t="e">
        <f ca="1">BDP("45506ELU Muni","MUNI_TAX_PROV")</f>
        <v>#NAME?</v>
      </c>
      <c r="I837" t="e">
        <f ca="1">BDP("45506ELU Muni","FINANCING_TYPE")</f>
        <v>#NAME?</v>
      </c>
      <c r="J837" t="e">
        <f ca="1">BDP("45506ELU Muni","BICS_LEVEL_2_INDUSTRY_GROUP_NAME")</f>
        <v>#NAME?</v>
      </c>
      <c r="K837" t="e">
        <f ca="1">BDP("45506ELU Muni","SELF_REPRTD_GREEN_INSTR_INDCTR")</f>
        <v>#NAME?</v>
      </c>
      <c r="L837" t="e">
        <f ca="1">BDP("45506ELU Muni","GB_MANAGEMENT_PROCEEDS")</f>
        <v>#NAME?</v>
      </c>
      <c r="M837" t="e">
        <f ca="1">BDP("45506ELU Muni","GB_REPORTING")</f>
        <v>#NAME?</v>
      </c>
      <c r="N837" t="e">
        <f ca="1">BDP("45506ELU Muni","GB_ASSURANCE_PROVIDERS")</f>
        <v>#NAME?</v>
      </c>
      <c r="O837" t="e">
        <f ca="1">BDP("45506ELU Muni","GB_PROJECT_SELECTION_PROCESS")</f>
        <v>#NAME?</v>
      </c>
      <c r="P837" t="e">
        <f ca="1">BDP("45506ELU Muni","ESG_FRAMEWORK_INDICATOR")</f>
        <v>#NAME?</v>
      </c>
      <c r="Q837" t="e">
        <f ca="1">BDP("45506ELU Muni","BLOOMBERG_SECTOR_CODE")</f>
        <v>#NAME?</v>
      </c>
      <c r="R837" t="e">
        <f ca="1">BDP("45506ELU Muni","ISSUER_TYPE")</f>
        <v>#NAME?</v>
      </c>
      <c r="S837" t="e">
        <f ca="1">BDS("45506ELU Muni","ESG_PROJECT_CATEGORY", "aggregate=y")</f>
        <v>#NAME?</v>
      </c>
      <c r="T837" t="e">
        <f ca="1">BDS("45506ELU Muni","ESG_PROJECT_SUBCATEGORY", "aggregate=y")</f>
        <v>#NAME?</v>
      </c>
    </row>
    <row r="838" spans="1:20" x14ac:dyDescent="0.25">
      <c r="A838" t="e">
        <f ca="1">BDP("45506ELV Muni","ID_CUSIP")</f>
        <v>#NAME?</v>
      </c>
      <c r="B838" t="e">
        <f ca="1">BDP("45506ELV Muni","STATE_CODE")</f>
        <v>#NAME?</v>
      </c>
      <c r="C838" t="s">
        <v>55</v>
      </c>
      <c r="D838" t="e">
        <f ca="1">BDP("45506ELV Muni","YIELD_ON_ISSUE_DATE")</f>
        <v>#NAME?</v>
      </c>
      <c r="E838">
        <v>1515000</v>
      </c>
      <c r="F838" t="e">
        <f ca="1">BDP("45506ELV Muni","ISSUE_DT")</f>
        <v>#NAME?</v>
      </c>
      <c r="G838" t="e">
        <f ca="1">BDP("45506ELV Muni","MATURITY")</f>
        <v>#NAME?</v>
      </c>
      <c r="H838" t="e">
        <f ca="1">BDP("45506ELV Muni","MUNI_TAX_PROV")</f>
        <v>#NAME?</v>
      </c>
      <c r="I838" t="e">
        <f ca="1">BDP("45506ELV Muni","FINANCING_TYPE")</f>
        <v>#NAME?</v>
      </c>
      <c r="J838" t="e">
        <f ca="1">BDP("45506ELV Muni","BICS_LEVEL_2_INDUSTRY_GROUP_NAME")</f>
        <v>#NAME?</v>
      </c>
      <c r="K838" t="e">
        <f ca="1">BDP("45506ELV Muni","SELF_REPRTD_GREEN_INSTR_INDCTR")</f>
        <v>#NAME?</v>
      </c>
      <c r="L838" t="e">
        <f ca="1">BDP("45506ELV Muni","GB_MANAGEMENT_PROCEEDS")</f>
        <v>#NAME?</v>
      </c>
      <c r="M838" t="e">
        <f ca="1">BDP("45506ELV Muni","GB_REPORTING")</f>
        <v>#NAME?</v>
      </c>
      <c r="N838" t="e">
        <f ca="1">BDP("45506ELV Muni","GB_ASSURANCE_PROVIDERS")</f>
        <v>#NAME?</v>
      </c>
      <c r="O838" t="e">
        <f ca="1">BDP("45506ELV Muni","GB_PROJECT_SELECTION_PROCESS")</f>
        <v>#NAME?</v>
      </c>
      <c r="P838" t="e">
        <f ca="1">BDP("45506ELV Muni","ESG_FRAMEWORK_INDICATOR")</f>
        <v>#NAME?</v>
      </c>
      <c r="Q838" t="e">
        <f ca="1">BDP("45506ELV Muni","BLOOMBERG_SECTOR_CODE")</f>
        <v>#NAME?</v>
      </c>
      <c r="R838" t="e">
        <f ca="1">BDP("45506ELV Muni","ISSUER_TYPE")</f>
        <v>#NAME?</v>
      </c>
      <c r="S838" t="e">
        <f ca="1">BDS("45506ELV Muni","ESG_PROJECT_CATEGORY", "aggregate=y")</f>
        <v>#NAME?</v>
      </c>
      <c r="T838" t="e">
        <f ca="1">BDS("45506ELV Muni","ESG_PROJECT_SUBCATEGORY", "aggregate=y")</f>
        <v>#NAME?</v>
      </c>
    </row>
    <row r="839" spans="1:20" x14ac:dyDescent="0.25">
      <c r="A839" t="e">
        <f ca="1">BDP("45506ELW Muni","ID_CUSIP")</f>
        <v>#NAME?</v>
      </c>
      <c r="B839" t="e">
        <f ca="1">BDP("45506ELW Muni","STATE_CODE")</f>
        <v>#NAME?</v>
      </c>
      <c r="C839" t="s">
        <v>55</v>
      </c>
      <c r="D839" t="e">
        <f ca="1">BDP("45506ELW Muni","YIELD_ON_ISSUE_DATE")</f>
        <v>#NAME?</v>
      </c>
      <c r="E839">
        <v>5745000</v>
      </c>
      <c r="F839" t="e">
        <f ca="1">BDP("45506ELW Muni","ISSUE_DT")</f>
        <v>#NAME?</v>
      </c>
      <c r="G839" t="e">
        <f ca="1">BDP("45506ELW Muni","MATURITY")</f>
        <v>#NAME?</v>
      </c>
      <c r="H839" t="e">
        <f ca="1">BDP("45506ELW Muni","MUNI_TAX_PROV")</f>
        <v>#NAME?</v>
      </c>
      <c r="I839" t="e">
        <f ca="1">BDP("45506ELW Muni","FINANCING_TYPE")</f>
        <v>#NAME?</v>
      </c>
      <c r="J839" t="e">
        <f ca="1">BDP("45506ELW Muni","BICS_LEVEL_2_INDUSTRY_GROUP_NAME")</f>
        <v>#NAME?</v>
      </c>
      <c r="K839" t="e">
        <f ca="1">BDP("45506ELW Muni","SELF_REPRTD_GREEN_INSTR_INDCTR")</f>
        <v>#NAME?</v>
      </c>
      <c r="L839" t="e">
        <f ca="1">BDP("45506ELW Muni","GB_MANAGEMENT_PROCEEDS")</f>
        <v>#NAME?</v>
      </c>
      <c r="M839" t="e">
        <f ca="1">BDP("45506ELW Muni","GB_REPORTING")</f>
        <v>#NAME?</v>
      </c>
      <c r="N839" t="e">
        <f ca="1">BDP("45506ELW Muni","GB_ASSURANCE_PROVIDERS")</f>
        <v>#NAME?</v>
      </c>
      <c r="O839" t="e">
        <f ca="1">BDP("45506ELW Muni","GB_PROJECT_SELECTION_PROCESS")</f>
        <v>#NAME?</v>
      </c>
      <c r="P839" t="e">
        <f ca="1">BDP("45506ELW Muni","ESG_FRAMEWORK_INDICATOR")</f>
        <v>#NAME?</v>
      </c>
      <c r="Q839" t="e">
        <f ca="1">BDP("45506ELW Muni","BLOOMBERG_SECTOR_CODE")</f>
        <v>#NAME?</v>
      </c>
      <c r="R839" t="e">
        <f ca="1">BDP("45506ELW Muni","ISSUER_TYPE")</f>
        <v>#NAME?</v>
      </c>
      <c r="S839" t="e">
        <f ca="1">BDS("45506ELW Muni","ESG_PROJECT_CATEGORY", "aggregate=y")</f>
        <v>#NAME?</v>
      </c>
      <c r="T839" t="e">
        <f ca="1">BDS("45506ELW Muni","ESG_PROJECT_SUBCATEGORY", "aggregate=y")</f>
        <v>#NAME?</v>
      </c>
    </row>
    <row r="840" spans="1:20" x14ac:dyDescent="0.25">
      <c r="A840" t="e">
        <f ca="1">BDP("45506ELY Muni","ID_CUSIP")</f>
        <v>#NAME?</v>
      </c>
      <c r="B840" t="e">
        <f ca="1">BDP("45506ELY Muni","STATE_CODE")</f>
        <v>#NAME?</v>
      </c>
      <c r="C840" t="s">
        <v>55</v>
      </c>
      <c r="D840" t="e">
        <f ca="1">BDP("45506ELY Muni","YIELD_ON_ISSUE_DATE")</f>
        <v>#NAME?</v>
      </c>
      <c r="E840">
        <v>14810000</v>
      </c>
      <c r="F840" t="e">
        <f ca="1">BDP("45506ELY Muni","ISSUE_DT")</f>
        <v>#NAME?</v>
      </c>
      <c r="G840" t="e">
        <f ca="1">BDP("45506ELY Muni","MATURITY")</f>
        <v>#NAME?</v>
      </c>
      <c r="H840" t="e">
        <f ca="1">BDP("45506ELY Muni","MUNI_TAX_PROV")</f>
        <v>#NAME?</v>
      </c>
      <c r="I840" t="e">
        <f ca="1">BDP("45506ELY Muni","FINANCING_TYPE")</f>
        <v>#NAME?</v>
      </c>
      <c r="J840" t="e">
        <f ca="1">BDP("45506ELY Muni","BICS_LEVEL_2_INDUSTRY_GROUP_NAME")</f>
        <v>#NAME?</v>
      </c>
      <c r="K840" t="e">
        <f ca="1">BDP("45506ELY Muni","SELF_REPRTD_GREEN_INSTR_INDCTR")</f>
        <v>#NAME?</v>
      </c>
      <c r="L840" t="e">
        <f ca="1">BDP("45506ELY Muni","GB_MANAGEMENT_PROCEEDS")</f>
        <v>#NAME?</v>
      </c>
      <c r="M840" t="e">
        <f ca="1">BDP("45506ELY Muni","GB_REPORTING")</f>
        <v>#NAME?</v>
      </c>
      <c r="N840" t="e">
        <f ca="1">BDP("45506ELY Muni","GB_ASSURANCE_PROVIDERS")</f>
        <v>#NAME?</v>
      </c>
      <c r="O840" t="e">
        <f ca="1">BDP("45506ELY Muni","GB_PROJECT_SELECTION_PROCESS")</f>
        <v>#NAME?</v>
      </c>
      <c r="P840" t="e">
        <f ca="1">BDP("45506ELY Muni","ESG_FRAMEWORK_INDICATOR")</f>
        <v>#NAME?</v>
      </c>
      <c r="Q840" t="e">
        <f ca="1">BDP("45506ELY Muni","BLOOMBERG_SECTOR_CODE")</f>
        <v>#NAME?</v>
      </c>
      <c r="R840" t="e">
        <f ca="1">BDP("45506ELY Muni","ISSUER_TYPE")</f>
        <v>#NAME?</v>
      </c>
      <c r="S840" t="e">
        <f ca="1">BDS("45506ELY Muni","ESG_PROJECT_CATEGORY", "aggregate=y")</f>
        <v>#NAME?</v>
      </c>
      <c r="T840" t="e">
        <f ca="1">BDS("45506ELY Muni","ESG_PROJECT_SUBCATEGORY", "aggregate=y")</f>
        <v>#NAME?</v>
      </c>
    </row>
    <row r="841" spans="1:20" x14ac:dyDescent="0.25">
      <c r="A841" t="e">
        <f ca="1">BDP("45506EME Muni","ID_CUSIP")</f>
        <v>#NAME?</v>
      </c>
      <c r="B841" t="e">
        <f ca="1">BDP("45506EME Muni","STATE_CODE")</f>
        <v>#NAME?</v>
      </c>
      <c r="C841" t="s">
        <v>55</v>
      </c>
      <c r="D841" t="e">
        <f ca="1">BDP("45506EME Muni","YIELD_ON_ISSUE_DATE")</f>
        <v>#NAME?</v>
      </c>
      <c r="E841">
        <v>13440000</v>
      </c>
      <c r="F841" t="e">
        <f ca="1">BDP("45506EME Muni","ISSUE_DT")</f>
        <v>#NAME?</v>
      </c>
      <c r="G841" t="e">
        <f ca="1">BDP("45506EME Muni","MATURITY")</f>
        <v>#NAME?</v>
      </c>
      <c r="H841" t="e">
        <f ca="1">BDP("45506EME Muni","MUNI_TAX_PROV")</f>
        <v>#NAME?</v>
      </c>
      <c r="I841" t="e">
        <f ca="1">BDP("45506EME Muni","FINANCING_TYPE")</f>
        <v>#NAME?</v>
      </c>
      <c r="J841" t="e">
        <f ca="1">BDP("45506EME Muni","BICS_LEVEL_2_INDUSTRY_GROUP_NAME")</f>
        <v>#NAME?</v>
      </c>
      <c r="K841" t="e">
        <f ca="1">BDP("45506EME Muni","SELF_REPRTD_GREEN_INSTR_INDCTR")</f>
        <v>#NAME?</v>
      </c>
      <c r="L841" t="e">
        <f ca="1">BDP("45506EME Muni","GB_MANAGEMENT_PROCEEDS")</f>
        <v>#NAME?</v>
      </c>
      <c r="M841" t="e">
        <f ca="1">BDP("45506EME Muni","GB_REPORTING")</f>
        <v>#NAME?</v>
      </c>
      <c r="N841" t="e">
        <f ca="1">BDP("45506EME Muni","GB_ASSURANCE_PROVIDERS")</f>
        <v>#NAME?</v>
      </c>
      <c r="O841" t="e">
        <f ca="1">BDP("45506EME Muni","GB_PROJECT_SELECTION_PROCESS")</f>
        <v>#NAME?</v>
      </c>
      <c r="P841" t="e">
        <f ca="1">BDP("45506EME Muni","ESG_FRAMEWORK_INDICATOR")</f>
        <v>#NAME?</v>
      </c>
      <c r="Q841" t="e">
        <f ca="1">BDP("45506EME Muni","BLOOMBERG_SECTOR_CODE")</f>
        <v>#NAME?</v>
      </c>
      <c r="R841" t="e">
        <f ca="1">BDP("45506EME Muni","ISSUER_TYPE")</f>
        <v>#NAME?</v>
      </c>
      <c r="S841" t="e">
        <f ca="1">BDS("45506EME Muni","ESG_PROJECT_CATEGORY", "aggregate=y")</f>
        <v>#NAME?</v>
      </c>
      <c r="T841" t="e">
        <f ca="1">BDS("45506EME Muni","ESG_PROJECT_SUBCATEGORY", "aggregate=y")</f>
        <v>#NAME?</v>
      </c>
    </row>
    <row r="842" spans="1:20" x14ac:dyDescent="0.25">
      <c r="A842" t="e">
        <f ca="1">BDP("45506EMF Muni","ID_CUSIP")</f>
        <v>#NAME?</v>
      </c>
      <c r="B842" t="e">
        <f ca="1">BDP("45506EMF Muni","STATE_CODE")</f>
        <v>#NAME?</v>
      </c>
      <c r="C842" t="s">
        <v>55</v>
      </c>
      <c r="D842" t="e">
        <f ca="1">BDP("45506EMF Muni","YIELD_ON_ISSUE_DATE")</f>
        <v>#NAME?</v>
      </c>
      <c r="E842">
        <v>14110000</v>
      </c>
      <c r="F842" t="e">
        <f ca="1">BDP("45506EMF Muni","ISSUE_DT")</f>
        <v>#NAME?</v>
      </c>
      <c r="G842" t="e">
        <f ca="1">BDP("45506EMF Muni","MATURITY")</f>
        <v>#NAME?</v>
      </c>
      <c r="H842" t="e">
        <f ca="1">BDP("45506EMF Muni","MUNI_TAX_PROV")</f>
        <v>#NAME?</v>
      </c>
      <c r="I842" t="e">
        <f ca="1">BDP("45506EMF Muni","FINANCING_TYPE")</f>
        <v>#NAME?</v>
      </c>
      <c r="J842" t="e">
        <f ca="1">BDP("45506EMF Muni","BICS_LEVEL_2_INDUSTRY_GROUP_NAME")</f>
        <v>#NAME?</v>
      </c>
      <c r="K842" t="e">
        <f ca="1">BDP("45506EMF Muni","SELF_REPRTD_GREEN_INSTR_INDCTR")</f>
        <v>#NAME?</v>
      </c>
      <c r="L842" t="e">
        <f ca="1">BDP("45506EMF Muni","GB_MANAGEMENT_PROCEEDS")</f>
        <v>#NAME?</v>
      </c>
      <c r="M842" t="e">
        <f ca="1">BDP("45506EMF Muni","GB_REPORTING")</f>
        <v>#NAME?</v>
      </c>
      <c r="N842" t="e">
        <f ca="1">BDP("45506EMF Muni","GB_ASSURANCE_PROVIDERS")</f>
        <v>#NAME?</v>
      </c>
      <c r="O842" t="e">
        <f ca="1">BDP("45506EMF Muni","GB_PROJECT_SELECTION_PROCESS")</f>
        <v>#NAME?</v>
      </c>
      <c r="P842" t="e">
        <f ca="1">BDP("45506EMF Muni","ESG_FRAMEWORK_INDICATOR")</f>
        <v>#NAME?</v>
      </c>
      <c r="Q842" t="e">
        <f ca="1">BDP("45506EMF Muni","BLOOMBERG_SECTOR_CODE")</f>
        <v>#NAME?</v>
      </c>
      <c r="R842" t="e">
        <f ca="1">BDP("45506EMF Muni","ISSUER_TYPE")</f>
        <v>#NAME?</v>
      </c>
      <c r="S842" t="e">
        <f ca="1">BDS("45506EMF Muni","ESG_PROJECT_CATEGORY", "aggregate=y")</f>
        <v>#NAME?</v>
      </c>
      <c r="T842" t="e">
        <f ca="1">BDS("45506EMF Muni","ESG_PROJECT_SUBCATEGORY", "aggregate=y")</f>
        <v>#NAME?</v>
      </c>
    </row>
    <row r="843" spans="1:20" x14ac:dyDescent="0.25">
      <c r="A843" t="e">
        <f ca="1">BDP("45506EMH Muni","ID_CUSIP")</f>
        <v>#NAME?</v>
      </c>
      <c r="B843" t="e">
        <f ca="1">BDP("45506EMH Muni","STATE_CODE")</f>
        <v>#NAME?</v>
      </c>
      <c r="C843" t="s">
        <v>55</v>
      </c>
      <c r="D843" t="e">
        <f ca="1">BDP("45506EMH Muni","YIELD_ON_ISSUE_DATE")</f>
        <v>#NAME?</v>
      </c>
      <c r="E843">
        <v>15555000</v>
      </c>
      <c r="F843" t="e">
        <f ca="1">BDP("45506EMH Muni","ISSUE_DT")</f>
        <v>#NAME?</v>
      </c>
      <c r="G843" t="e">
        <f ca="1">BDP("45506EMH Muni","MATURITY")</f>
        <v>#NAME?</v>
      </c>
      <c r="H843" t="e">
        <f ca="1">BDP("45506EMH Muni","MUNI_TAX_PROV")</f>
        <v>#NAME?</v>
      </c>
      <c r="I843" t="e">
        <f ca="1">BDP("45506EMH Muni","FINANCING_TYPE")</f>
        <v>#NAME?</v>
      </c>
      <c r="J843" t="e">
        <f ca="1">BDP("45506EMH Muni","BICS_LEVEL_2_INDUSTRY_GROUP_NAME")</f>
        <v>#NAME?</v>
      </c>
      <c r="K843" t="e">
        <f ca="1">BDP("45506EMH Muni","SELF_REPRTD_GREEN_INSTR_INDCTR")</f>
        <v>#NAME?</v>
      </c>
      <c r="L843" t="e">
        <f ca="1">BDP("45506EMH Muni","GB_MANAGEMENT_PROCEEDS")</f>
        <v>#NAME?</v>
      </c>
      <c r="M843" t="e">
        <f ca="1">BDP("45506EMH Muni","GB_REPORTING")</f>
        <v>#NAME?</v>
      </c>
      <c r="N843" t="e">
        <f ca="1">BDP("45506EMH Muni","GB_ASSURANCE_PROVIDERS")</f>
        <v>#NAME?</v>
      </c>
      <c r="O843" t="e">
        <f ca="1">BDP("45506EMH Muni","GB_PROJECT_SELECTION_PROCESS")</f>
        <v>#NAME?</v>
      </c>
      <c r="P843" t="e">
        <f ca="1">BDP("45506EMH Muni","ESG_FRAMEWORK_INDICATOR")</f>
        <v>#NAME?</v>
      </c>
      <c r="Q843" t="e">
        <f ca="1">BDP("45506EMH Muni","BLOOMBERG_SECTOR_CODE")</f>
        <v>#NAME?</v>
      </c>
      <c r="R843" t="e">
        <f ca="1">BDP("45506EMH Muni","ISSUER_TYPE")</f>
        <v>#NAME?</v>
      </c>
      <c r="S843" t="e">
        <f ca="1">BDS("45506EMH Muni","ESG_PROJECT_CATEGORY", "aggregate=y")</f>
        <v>#NAME?</v>
      </c>
      <c r="T843" t="e">
        <f ca="1">BDS("45506EMH Muni","ESG_PROJECT_SUBCATEGORY", "aggregate=y")</f>
        <v>#NAME?</v>
      </c>
    </row>
    <row r="844" spans="1:20" x14ac:dyDescent="0.25">
      <c r="A844" t="e">
        <f ca="1">BDP("45506EML Muni","ID_CUSIP")</f>
        <v>#NAME?</v>
      </c>
      <c r="B844" t="e">
        <f ca="1">BDP("45506EML Muni","STATE_CODE")</f>
        <v>#NAME?</v>
      </c>
      <c r="C844" t="s">
        <v>55</v>
      </c>
      <c r="D844" t="e">
        <f ca="1">BDP("45506EML Muni","YIELD_ON_ISSUE_DATE")</f>
        <v>#NAME?</v>
      </c>
      <c r="E844">
        <v>18005000</v>
      </c>
      <c r="F844" t="e">
        <f ca="1">BDP("45506EML Muni","ISSUE_DT")</f>
        <v>#NAME?</v>
      </c>
      <c r="G844" t="e">
        <f ca="1">BDP("45506EML Muni","MATURITY")</f>
        <v>#NAME?</v>
      </c>
      <c r="H844" t="e">
        <f ca="1">BDP("45506EML Muni","MUNI_TAX_PROV")</f>
        <v>#NAME?</v>
      </c>
      <c r="I844" t="e">
        <f ca="1">BDP("45506EML Muni","FINANCING_TYPE")</f>
        <v>#NAME?</v>
      </c>
      <c r="J844" t="e">
        <f ca="1">BDP("45506EML Muni","BICS_LEVEL_2_INDUSTRY_GROUP_NAME")</f>
        <v>#NAME?</v>
      </c>
      <c r="K844" t="e">
        <f ca="1">BDP("45506EML Muni","SELF_REPRTD_GREEN_INSTR_INDCTR")</f>
        <v>#NAME?</v>
      </c>
      <c r="L844" t="e">
        <f ca="1">BDP("45506EML Muni","GB_MANAGEMENT_PROCEEDS")</f>
        <v>#NAME?</v>
      </c>
      <c r="M844" t="e">
        <f ca="1">BDP("45506EML Muni","GB_REPORTING")</f>
        <v>#NAME?</v>
      </c>
      <c r="N844" t="e">
        <f ca="1">BDP("45506EML Muni","GB_ASSURANCE_PROVIDERS")</f>
        <v>#NAME?</v>
      </c>
      <c r="O844" t="e">
        <f ca="1">BDP("45506EML Muni","GB_PROJECT_SELECTION_PROCESS")</f>
        <v>#NAME?</v>
      </c>
      <c r="P844" t="e">
        <f ca="1">BDP("45506EML Muni","ESG_FRAMEWORK_INDICATOR")</f>
        <v>#NAME?</v>
      </c>
      <c r="Q844" t="e">
        <f ca="1">BDP("45506EML Muni","BLOOMBERG_SECTOR_CODE")</f>
        <v>#NAME?</v>
      </c>
      <c r="R844" t="e">
        <f ca="1">BDP("45506EML Muni","ISSUER_TYPE")</f>
        <v>#NAME?</v>
      </c>
      <c r="S844" t="e">
        <f ca="1">BDS("45506EML Muni","ESG_PROJECT_CATEGORY", "aggregate=y")</f>
        <v>#NAME?</v>
      </c>
      <c r="T844" t="e">
        <f ca="1">BDS("45506EML Muni","ESG_PROJECT_SUBCATEGORY", "aggregate=y")</f>
        <v>#NAME?</v>
      </c>
    </row>
    <row r="845" spans="1:20" x14ac:dyDescent="0.25">
      <c r="A845" t="e">
        <f ca="1">BDP("45506EMM Muni","ID_CUSIP")</f>
        <v>#NAME?</v>
      </c>
      <c r="B845" t="e">
        <f ca="1">BDP("45506EMM Muni","STATE_CODE")</f>
        <v>#NAME?</v>
      </c>
      <c r="C845" t="s">
        <v>55</v>
      </c>
      <c r="D845" t="e">
        <f ca="1">BDP("45506EMM Muni","YIELD_ON_ISSUE_DATE")</f>
        <v>#NAME?</v>
      </c>
      <c r="E845">
        <v>18910000</v>
      </c>
      <c r="F845" t="e">
        <f ca="1">BDP("45506EMM Muni","ISSUE_DT")</f>
        <v>#NAME?</v>
      </c>
      <c r="G845" t="e">
        <f ca="1">BDP("45506EMM Muni","MATURITY")</f>
        <v>#NAME?</v>
      </c>
      <c r="H845" t="e">
        <f ca="1">BDP("45506EMM Muni","MUNI_TAX_PROV")</f>
        <v>#NAME?</v>
      </c>
      <c r="I845" t="e">
        <f ca="1">BDP("45506EMM Muni","FINANCING_TYPE")</f>
        <v>#NAME?</v>
      </c>
      <c r="J845" t="e">
        <f ca="1">BDP("45506EMM Muni","BICS_LEVEL_2_INDUSTRY_GROUP_NAME")</f>
        <v>#NAME?</v>
      </c>
      <c r="K845" t="e">
        <f ca="1">BDP("45506EMM Muni","SELF_REPRTD_GREEN_INSTR_INDCTR")</f>
        <v>#NAME?</v>
      </c>
      <c r="L845" t="e">
        <f ca="1">BDP("45506EMM Muni","GB_MANAGEMENT_PROCEEDS")</f>
        <v>#NAME?</v>
      </c>
      <c r="M845" t="e">
        <f ca="1">BDP("45506EMM Muni","GB_REPORTING")</f>
        <v>#NAME?</v>
      </c>
      <c r="N845" t="e">
        <f ca="1">BDP("45506EMM Muni","GB_ASSURANCE_PROVIDERS")</f>
        <v>#NAME?</v>
      </c>
      <c r="O845" t="e">
        <f ca="1">BDP("45506EMM Muni","GB_PROJECT_SELECTION_PROCESS")</f>
        <v>#NAME?</v>
      </c>
      <c r="P845" t="e">
        <f ca="1">BDP("45506EMM Muni","ESG_FRAMEWORK_INDICATOR")</f>
        <v>#NAME?</v>
      </c>
      <c r="Q845" t="e">
        <f ca="1">BDP("45506EMM Muni","BLOOMBERG_SECTOR_CODE")</f>
        <v>#NAME?</v>
      </c>
      <c r="R845" t="e">
        <f ca="1">BDP("45506EMM Muni","ISSUER_TYPE")</f>
        <v>#NAME?</v>
      </c>
      <c r="S845" t="e">
        <f ca="1">BDS("45506EMM Muni","ESG_PROJECT_CATEGORY", "aggregate=y")</f>
        <v>#NAME?</v>
      </c>
      <c r="T845" t="e">
        <f ca="1">BDS("45506EMM Muni","ESG_PROJECT_SUBCATEGORY", "aggregate=y")</f>
        <v>#NAME?</v>
      </c>
    </row>
    <row r="846" spans="1:20" x14ac:dyDescent="0.25">
      <c r="A846" t="e">
        <f ca="1">BDP("45506EMN Muni","ID_CUSIP")</f>
        <v>#NAME?</v>
      </c>
      <c r="B846" t="e">
        <f ca="1">BDP("45506EMN Muni","STATE_CODE")</f>
        <v>#NAME?</v>
      </c>
      <c r="C846" t="s">
        <v>55</v>
      </c>
      <c r="D846" t="e">
        <f ca="1">BDP("45506EMN Muni","YIELD_ON_ISSUE_DATE")</f>
        <v>#NAME?</v>
      </c>
      <c r="E846">
        <v>19850000</v>
      </c>
      <c r="F846" t="e">
        <f ca="1">BDP("45506EMN Muni","ISSUE_DT")</f>
        <v>#NAME?</v>
      </c>
      <c r="G846" t="e">
        <f ca="1">BDP("45506EMN Muni","MATURITY")</f>
        <v>#NAME?</v>
      </c>
      <c r="H846" t="e">
        <f ca="1">BDP("45506EMN Muni","MUNI_TAX_PROV")</f>
        <v>#NAME?</v>
      </c>
      <c r="I846" t="e">
        <f ca="1">BDP("45506EMN Muni","FINANCING_TYPE")</f>
        <v>#NAME?</v>
      </c>
      <c r="J846" t="e">
        <f ca="1">BDP("45506EMN Muni","BICS_LEVEL_2_INDUSTRY_GROUP_NAME")</f>
        <v>#NAME?</v>
      </c>
      <c r="K846" t="e">
        <f ca="1">BDP("45506EMN Muni","SELF_REPRTD_GREEN_INSTR_INDCTR")</f>
        <v>#NAME?</v>
      </c>
      <c r="L846" t="e">
        <f ca="1">BDP("45506EMN Muni","GB_MANAGEMENT_PROCEEDS")</f>
        <v>#NAME?</v>
      </c>
      <c r="M846" t="e">
        <f ca="1">BDP("45506EMN Muni","GB_REPORTING")</f>
        <v>#NAME?</v>
      </c>
      <c r="N846" t="e">
        <f ca="1">BDP("45506EMN Muni","GB_ASSURANCE_PROVIDERS")</f>
        <v>#NAME?</v>
      </c>
      <c r="O846" t="e">
        <f ca="1">BDP("45506EMN Muni","GB_PROJECT_SELECTION_PROCESS")</f>
        <v>#NAME?</v>
      </c>
      <c r="P846" t="e">
        <f ca="1">BDP("45506EMN Muni","ESG_FRAMEWORK_INDICATOR")</f>
        <v>#NAME?</v>
      </c>
      <c r="Q846" t="e">
        <f ca="1">BDP("45506EMN Muni","BLOOMBERG_SECTOR_CODE")</f>
        <v>#NAME?</v>
      </c>
      <c r="R846" t="e">
        <f ca="1">BDP("45506EMN Muni","ISSUER_TYPE")</f>
        <v>#NAME?</v>
      </c>
      <c r="S846" t="e">
        <f ca="1">BDS("45506EMN Muni","ESG_PROJECT_CATEGORY", "aggregate=y")</f>
        <v>#NAME?</v>
      </c>
      <c r="T846" t="e">
        <f ca="1">BDS("45506EMN Muni","ESG_PROJECT_SUBCATEGORY", "aggregate=y")</f>
        <v>#NAME?</v>
      </c>
    </row>
    <row r="847" spans="1:20" x14ac:dyDescent="0.25">
      <c r="A847" t="e">
        <f ca="1">BDP("45506EPK Muni","ID_CUSIP")</f>
        <v>#NAME?</v>
      </c>
      <c r="B847" t="e">
        <f ca="1">BDP("45506EPK Muni","STATE_CODE")</f>
        <v>#NAME?</v>
      </c>
      <c r="C847" t="s">
        <v>55</v>
      </c>
      <c r="D847" t="e">
        <f ca="1">BDP("45506EPK Muni","YIELD_ON_ISSUE_DATE")</f>
        <v>#NAME?</v>
      </c>
      <c r="E847">
        <v>5085000</v>
      </c>
      <c r="F847" t="e">
        <f ca="1">BDP("45506EPK Muni","ISSUE_DT")</f>
        <v>#NAME?</v>
      </c>
      <c r="G847" t="e">
        <f ca="1">BDP("45506EPK Muni","MATURITY")</f>
        <v>#NAME?</v>
      </c>
      <c r="H847" t="e">
        <f ca="1">BDP("45506EPK Muni","MUNI_TAX_PROV")</f>
        <v>#NAME?</v>
      </c>
      <c r="I847" t="e">
        <f ca="1">BDP("45506EPK Muni","FINANCING_TYPE")</f>
        <v>#NAME?</v>
      </c>
      <c r="J847" t="e">
        <f ca="1">BDP("45506EPK Muni","BICS_LEVEL_2_INDUSTRY_GROUP_NAME")</f>
        <v>#NAME?</v>
      </c>
      <c r="K847" t="e">
        <f ca="1">BDP("45506EPK Muni","SELF_REPRTD_GREEN_INSTR_INDCTR")</f>
        <v>#NAME?</v>
      </c>
      <c r="L847" t="e">
        <f ca="1">BDP("45506EPK Muni","GB_MANAGEMENT_PROCEEDS")</f>
        <v>#NAME?</v>
      </c>
      <c r="M847" t="e">
        <f ca="1">BDP("45506EPK Muni","GB_REPORTING")</f>
        <v>#NAME?</v>
      </c>
      <c r="N847" t="e">
        <f ca="1">BDP("45506EPK Muni","GB_ASSURANCE_PROVIDERS")</f>
        <v>#NAME?</v>
      </c>
      <c r="O847" t="e">
        <f ca="1">BDP("45506EPK Muni","GB_PROJECT_SELECTION_PROCESS")</f>
        <v>#NAME?</v>
      </c>
      <c r="P847" t="e">
        <f ca="1">BDP("45506EPK Muni","ESG_FRAMEWORK_INDICATOR")</f>
        <v>#NAME?</v>
      </c>
      <c r="Q847" t="e">
        <f ca="1">BDP("45506EPK Muni","BLOOMBERG_SECTOR_CODE")</f>
        <v>#NAME?</v>
      </c>
      <c r="R847" t="e">
        <f ca="1">BDP("45506EPK Muni","ISSUER_TYPE")</f>
        <v>#NAME?</v>
      </c>
      <c r="S847" t="e">
        <f ca="1">BDS("45506EPK Muni","ESG_PROJECT_CATEGORY", "aggregate=y")</f>
        <v>#NAME?</v>
      </c>
      <c r="T847" t="e">
        <f ca="1">BDS("45506EPK Muni","ESG_PROJECT_SUBCATEGORY", "aggregate=y")</f>
        <v>#NAME?</v>
      </c>
    </row>
    <row r="848" spans="1:20" x14ac:dyDescent="0.25">
      <c r="A848" t="e">
        <f ca="1">BDP("45506EPP Muni","ID_CUSIP")</f>
        <v>#NAME?</v>
      </c>
      <c r="B848" t="e">
        <f ca="1">BDP("45506EPP Muni","STATE_CODE")</f>
        <v>#NAME?</v>
      </c>
      <c r="C848" t="s">
        <v>55</v>
      </c>
      <c r="D848" t="e">
        <f ca="1">BDP("45506EPP Muni","YIELD_ON_ISSUE_DATE")</f>
        <v>#NAME?</v>
      </c>
      <c r="E848">
        <v>13310000</v>
      </c>
      <c r="F848" t="e">
        <f ca="1">BDP("45506EPP Muni","ISSUE_DT")</f>
        <v>#NAME?</v>
      </c>
      <c r="G848" t="e">
        <f ca="1">BDP("45506EPP Muni","MATURITY")</f>
        <v>#NAME?</v>
      </c>
      <c r="H848" t="e">
        <f ca="1">BDP("45506EPP Muni","MUNI_TAX_PROV")</f>
        <v>#NAME?</v>
      </c>
      <c r="I848" t="e">
        <f ca="1">BDP("45506EPP Muni","FINANCING_TYPE")</f>
        <v>#NAME?</v>
      </c>
      <c r="J848" t="e">
        <f ca="1">BDP("45506EPP Muni","BICS_LEVEL_2_INDUSTRY_GROUP_NAME")</f>
        <v>#NAME?</v>
      </c>
      <c r="K848" t="e">
        <f ca="1">BDP("45506EPP Muni","SELF_REPRTD_GREEN_INSTR_INDCTR")</f>
        <v>#NAME?</v>
      </c>
      <c r="L848" t="e">
        <f ca="1">BDP("45506EPP Muni","GB_MANAGEMENT_PROCEEDS")</f>
        <v>#NAME?</v>
      </c>
      <c r="M848" t="e">
        <f ca="1">BDP("45506EPP Muni","GB_REPORTING")</f>
        <v>#NAME?</v>
      </c>
      <c r="N848" t="e">
        <f ca="1">BDP("45506EPP Muni","GB_ASSURANCE_PROVIDERS")</f>
        <v>#NAME?</v>
      </c>
      <c r="O848" t="e">
        <f ca="1">BDP("45506EPP Muni","GB_PROJECT_SELECTION_PROCESS")</f>
        <v>#NAME?</v>
      </c>
      <c r="P848" t="e">
        <f ca="1">BDP("45506EPP Muni","ESG_FRAMEWORK_INDICATOR")</f>
        <v>#NAME?</v>
      </c>
      <c r="Q848" t="e">
        <f ca="1">BDP("45506EPP Muni","BLOOMBERG_SECTOR_CODE")</f>
        <v>#NAME?</v>
      </c>
      <c r="R848" t="e">
        <f ca="1">BDP("45506EPP Muni","ISSUER_TYPE")</f>
        <v>#NAME?</v>
      </c>
      <c r="S848" t="e">
        <f ca="1">BDS("45506EPP Muni","ESG_PROJECT_CATEGORY", "aggregate=y")</f>
        <v>#NAME?</v>
      </c>
      <c r="T848" t="e">
        <f ca="1">BDS("45506EPP Muni","ESG_PROJECT_SUBCATEGORY", "aggregate=y")</f>
        <v>#NAME?</v>
      </c>
    </row>
    <row r="849" spans="1:20" x14ac:dyDescent="0.25">
      <c r="A849" t="e">
        <f ca="1">BDP("45506EPU Muni","ID_CUSIP")</f>
        <v>#NAME?</v>
      </c>
      <c r="B849" t="e">
        <f ca="1">BDP("45506EPU Muni","STATE_CODE")</f>
        <v>#NAME?</v>
      </c>
      <c r="C849" t="s">
        <v>55</v>
      </c>
      <c r="D849" t="e">
        <f ca="1">BDP("45506EPU Muni","YIELD_ON_ISSUE_DATE")</f>
        <v>#NAME?</v>
      </c>
      <c r="E849">
        <v>15350000</v>
      </c>
      <c r="F849" t="e">
        <f ca="1">BDP("45506EPU Muni","ISSUE_DT")</f>
        <v>#NAME?</v>
      </c>
      <c r="G849" t="e">
        <f ca="1">BDP("45506EPU Muni","MATURITY")</f>
        <v>#NAME?</v>
      </c>
      <c r="H849" t="e">
        <f ca="1">BDP("45506EPU Muni","MUNI_TAX_PROV")</f>
        <v>#NAME?</v>
      </c>
      <c r="I849" t="e">
        <f ca="1">BDP("45506EPU Muni","FINANCING_TYPE")</f>
        <v>#NAME?</v>
      </c>
      <c r="J849" t="e">
        <f ca="1">BDP("45506EPU Muni","BICS_LEVEL_2_INDUSTRY_GROUP_NAME")</f>
        <v>#NAME?</v>
      </c>
      <c r="K849" t="e">
        <f ca="1">BDP("45506EPU Muni","SELF_REPRTD_GREEN_INSTR_INDCTR")</f>
        <v>#NAME?</v>
      </c>
      <c r="L849" t="e">
        <f ca="1">BDP("45506EPU Muni","GB_MANAGEMENT_PROCEEDS")</f>
        <v>#NAME?</v>
      </c>
      <c r="M849" t="e">
        <f ca="1">BDP("45506EPU Muni","GB_REPORTING")</f>
        <v>#NAME?</v>
      </c>
      <c r="N849" t="e">
        <f ca="1">BDP("45506EPU Muni","GB_ASSURANCE_PROVIDERS")</f>
        <v>#NAME?</v>
      </c>
      <c r="O849" t="e">
        <f ca="1">BDP("45506EPU Muni","GB_PROJECT_SELECTION_PROCESS")</f>
        <v>#NAME?</v>
      </c>
      <c r="P849" t="e">
        <f ca="1">BDP("45506EPU Muni","ESG_FRAMEWORK_INDICATOR")</f>
        <v>#NAME?</v>
      </c>
      <c r="Q849" t="e">
        <f ca="1">BDP("45506EPU Muni","BLOOMBERG_SECTOR_CODE")</f>
        <v>#NAME?</v>
      </c>
      <c r="R849" t="e">
        <f ca="1">BDP("45506EPU Muni","ISSUER_TYPE")</f>
        <v>#NAME?</v>
      </c>
      <c r="S849" t="e">
        <f ca="1">BDS("45506EPU Muni","ESG_PROJECT_CATEGORY", "aggregate=y")</f>
        <v>#NAME?</v>
      </c>
      <c r="T849" t="e">
        <f ca="1">BDS("45506EPU Muni","ESG_PROJECT_SUBCATEGORY", "aggregate=y")</f>
        <v>#NAME?</v>
      </c>
    </row>
    <row r="850" spans="1:20" x14ac:dyDescent="0.25">
      <c r="A850" t="e">
        <f ca="1">BDP("45506EPX Muni","ID_CUSIP")</f>
        <v>#NAME?</v>
      </c>
      <c r="B850" t="e">
        <f ca="1">BDP("45506EPX Muni","STATE_CODE")</f>
        <v>#NAME?</v>
      </c>
      <c r="C850" t="s">
        <v>55</v>
      </c>
      <c r="D850" t="e">
        <f ca="1">BDP("45506EPX Muni","YIELD_ON_ISSUE_DATE")</f>
        <v>#NAME?</v>
      </c>
      <c r="E850">
        <v>17410000</v>
      </c>
      <c r="F850" t="e">
        <f ca="1">BDP("45506EPX Muni","ISSUE_DT")</f>
        <v>#NAME?</v>
      </c>
      <c r="G850" t="e">
        <f ca="1">BDP("45506EPX Muni","MATURITY")</f>
        <v>#NAME?</v>
      </c>
      <c r="H850" t="e">
        <f ca="1">BDP("45506EPX Muni","MUNI_TAX_PROV")</f>
        <v>#NAME?</v>
      </c>
      <c r="I850" t="e">
        <f ca="1">BDP("45506EPX Muni","FINANCING_TYPE")</f>
        <v>#NAME?</v>
      </c>
      <c r="J850" t="e">
        <f ca="1">BDP("45506EPX Muni","BICS_LEVEL_2_INDUSTRY_GROUP_NAME")</f>
        <v>#NAME?</v>
      </c>
      <c r="K850" t="e">
        <f ca="1">BDP("45506EPX Muni","SELF_REPRTD_GREEN_INSTR_INDCTR")</f>
        <v>#NAME?</v>
      </c>
      <c r="L850" t="e">
        <f ca="1">BDP("45506EPX Muni","GB_MANAGEMENT_PROCEEDS")</f>
        <v>#NAME?</v>
      </c>
      <c r="M850" t="e">
        <f ca="1">BDP("45506EPX Muni","GB_REPORTING")</f>
        <v>#NAME?</v>
      </c>
      <c r="N850" t="e">
        <f ca="1">BDP("45506EPX Muni","GB_ASSURANCE_PROVIDERS")</f>
        <v>#NAME?</v>
      </c>
      <c r="O850" t="e">
        <f ca="1">BDP("45506EPX Muni","GB_PROJECT_SELECTION_PROCESS")</f>
        <v>#NAME?</v>
      </c>
      <c r="P850" t="e">
        <f ca="1">BDP("45506EPX Muni","ESG_FRAMEWORK_INDICATOR")</f>
        <v>#NAME?</v>
      </c>
      <c r="Q850" t="e">
        <f ca="1">BDP("45506EPX Muni","BLOOMBERG_SECTOR_CODE")</f>
        <v>#NAME?</v>
      </c>
      <c r="R850" t="e">
        <f ca="1">BDP("45506EPX Muni","ISSUER_TYPE")</f>
        <v>#NAME?</v>
      </c>
      <c r="S850" t="e">
        <f ca="1">BDS("45506EPX Muni","ESG_PROJECT_CATEGORY", "aggregate=y")</f>
        <v>#NAME?</v>
      </c>
      <c r="T850" t="e">
        <f ca="1">BDS("45506EPX Muni","ESG_PROJECT_SUBCATEGORY", "aggregate=y")</f>
        <v>#NAME?</v>
      </c>
    </row>
    <row r="851" spans="1:20" x14ac:dyDescent="0.25">
      <c r="A851" t="e">
        <f ca="1">BDP("45506EMD Muni","ID_CUSIP")</f>
        <v>#NAME?</v>
      </c>
      <c r="B851" t="e">
        <f ca="1">BDP("45506EMD Muni","STATE_CODE")</f>
        <v>#NAME?</v>
      </c>
      <c r="C851" t="s">
        <v>55</v>
      </c>
      <c r="D851" t="e">
        <f ca="1">BDP("45506EMD Muni","YIELD_ON_ISSUE_DATE")</f>
        <v>#NAME?</v>
      </c>
      <c r="E851">
        <v>12795000</v>
      </c>
      <c r="F851" t="e">
        <f ca="1">BDP("45506EMD Muni","ISSUE_DT")</f>
        <v>#NAME?</v>
      </c>
      <c r="G851" t="e">
        <f ca="1">BDP("45506EMD Muni","MATURITY")</f>
        <v>#NAME?</v>
      </c>
      <c r="H851" t="e">
        <f ca="1">BDP("45506EMD Muni","MUNI_TAX_PROV")</f>
        <v>#NAME?</v>
      </c>
      <c r="I851" t="e">
        <f ca="1">BDP("45506EMD Muni","FINANCING_TYPE")</f>
        <v>#NAME?</v>
      </c>
      <c r="J851" t="e">
        <f ca="1">BDP("45506EMD Muni","BICS_LEVEL_2_INDUSTRY_GROUP_NAME")</f>
        <v>#NAME?</v>
      </c>
      <c r="K851" t="e">
        <f ca="1">BDP("45506EMD Muni","SELF_REPRTD_GREEN_INSTR_INDCTR")</f>
        <v>#NAME?</v>
      </c>
      <c r="L851" t="e">
        <f ca="1">BDP("45506EMD Muni","GB_MANAGEMENT_PROCEEDS")</f>
        <v>#NAME?</v>
      </c>
      <c r="M851" t="e">
        <f ca="1">BDP("45506EMD Muni","GB_REPORTING")</f>
        <v>#NAME?</v>
      </c>
      <c r="N851" t="e">
        <f ca="1">BDP("45506EMD Muni","GB_ASSURANCE_PROVIDERS")</f>
        <v>#NAME?</v>
      </c>
      <c r="O851" t="e">
        <f ca="1">BDP("45506EMD Muni","GB_PROJECT_SELECTION_PROCESS")</f>
        <v>#NAME?</v>
      </c>
      <c r="P851" t="e">
        <f ca="1">BDP("45506EMD Muni","ESG_FRAMEWORK_INDICATOR")</f>
        <v>#NAME?</v>
      </c>
      <c r="Q851" t="e">
        <f ca="1">BDP("45506EMD Muni","BLOOMBERG_SECTOR_CODE")</f>
        <v>#NAME?</v>
      </c>
      <c r="R851" t="e">
        <f ca="1">BDP("45506EMD Muni","ISSUER_TYPE")</f>
        <v>#NAME?</v>
      </c>
      <c r="S851" t="e">
        <f ca="1">BDS("45506EMD Muni","ESG_PROJECT_CATEGORY", "aggregate=y")</f>
        <v>#NAME?</v>
      </c>
      <c r="T851" t="e">
        <f ca="1">BDS("45506EMD Muni","ESG_PROJECT_SUBCATEGORY", "aggregate=y")</f>
        <v>#NAME?</v>
      </c>
    </row>
    <row r="852" spans="1:20" x14ac:dyDescent="0.25">
      <c r="A852" t="e">
        <f ca="1">BDP("45506EPG Muni","ID_CUSIP")</f>
        <v>#NAME?</v>
      </c>
      <c r="B852" t="e">
        <f ca="1">BDP("45506EPG Muni","STATE_CODE")</f>
        <v>#NAME?</v>
      </c>
      <c r="C852" t="s">
        <v>55</v>
      </c>
      <c r="D852" t="e">
        <f ca="1">BDP("45506EPG Muni","YIELD_ON_ISSUE_DATE")</f>
        <v>#NAME?</v>
      </c>
      <c r="E852">
        <v>28815000</v>
      </c>
      <c r="F852" t="e">
        <f ca="1">BDP("45506EPG Muni","ISSUE_DT")</f>
        <v>#NAME?</v>
      </c>
      <c r="G852" t="e">
        <f ca="1">BDP("45506EPG Muni","MATURITY")</f>
        <v>#NAME?</v>
      </c>
      <c r="H852" t="e">
        <f ca="1">BDP("45506EPG Muni","MUNI_TAX_PROV")</f>
        <v>#NAME?</v>
      </c>
      <c r="I852" t="e">
        <f ca="1">BDP("45506EPG Muni","FINANCING_TYPE")</f>
        <v>#NAME?</v>
      </c>
      <c r="J852" t="e">
        <f ca="1">BDP("45506EPG Muni","BICS_LEVEL_2_INDUSTRY_GROUP_NAME")</f>
        <v>#NAME?</v>
      </c>
      <c r="K852" t="e">
        <f ca="1">BDP("45506EPG Muni","SELF_REPRTD_GREEN_INSTR_INDCTR")</f>
        <v>#NAME?</v>
      </c>
      <c r="L852" t="e">
        <f ca="1">BDP("45506EPG Muni","GB_MANAGEMENT_PROCEEDS")</f>
        <v>#NAME?</v>
      </c>
      <c r="M852" t="e">
        <f ca="1">BDP("45506EPG Muni","GB_REPORTING")</f>
        <v>#NAME?</v>
      </c>
      <c r="N852" t="e">
        <f ca="1">BDP("45506EPG Muni","GB_ASSURANCE_PROVIDERS")</f>
        <v>#NAME?</v>
      </c>
      <c r="O852" t="e">
        <f ca="1">BDP("45506EPG Muni","GB_PROJECT_SELECTION_PROCESS")</f>
        <v>#NAME?</v>
      </c>
      <c r="P852" t="e">
        <f ca="1">BDP("45506EPG Muni","ESG_FRAMEWORK_INDICATOR")</f>
        <v>#NAME?</v>
      </c>
      <c r="Q852" t="e">
        <f ca="1">BDP("45506EPG Muni","BLOOMBERG_SECTOR_CODE")</f>
        <v>#NAME?</v>
      </c>
      <c r="R852" t="e">
        <f ca="1">BDP("45506EPG Muni","ISSUER_TYPE")</f>
        <v>#NAME?</v>
      </c>
      <c r="S852" t="e">
        <f ca="1">BDS("45506EPG Muni","ESG_PROJECT_CATEGORY", "aggregate=y")</f>
        <v>#NAME?</v>
      </c>
      <c r="T852" t="e">
        <f ca="1">BDS("45506EPG Muni","ESG_PROJECT_SUBCATEGORY", "aggregate=y")</f>
        <v>#NAME?</v>
      </c>
    </row>
    <row r="853" spans="1:20" x14ac:dyDescent="0.25">
      <c r="A853" t="e">
        <f ca="1">BDP("45506EPT Muni","ID_CUSIP")</f>
        <v>#NAME?</v>
      </c>
      <c r="B853" t="e">
        <f ca="1">BDP("45506EPT Muni","STATE_CODE")</f>
        <v>#NAME?</v>
      </c>
      <c r="C853" t="s">
        <v>55</v>
      </c>
      <c r="D853" t="e">
        <f ca="1">BDP("45506EPT Muni","YIELD_ON_ISSUE_DATE")</f>
        <v>#NAME?</v>
      </c>
      <c r="E853">
        <v>15370000</v>
      </c>
      <c r="F853" t="e">
        <f ca="1">BDP("45506EPT Muni","ISSUE_DT")</f>
        <v>#NAME?</v>
      </c>
      <c r="G853" t="e">
        <f ca="1">BDP("45506EPT Muni","MATURITY")</f>
        <v>#NAME?</v>
      </c>
      <c r="H853" t="e">
        <f ca="1">BDP("45506EPT Muni","MUNI_TAX_PROV")</f>
        <v>#NAME?</v>
      </c>
      <c r="I853" t="e">
        <f ca="1">BDP("45506EPT Muni","FINANCING_TYPE")</f>
        <v>#NAME?</v>
      </c>
      <c r="J853" t="e">
        <f ca="1">BDP("45506EPT Muni","BICS_LEVEL_2_INDUSTRY_GROUP_NAME")</f>
        <v>#NAME?</v>
      </c>
      <c r="K853" t="e">
        <f ca="1">BDP("45506EPT Muni","SELF_REPRTD_GREEN_INSTR_INDCTR")</f>
        <v>#NAME?</v>
      </c>
      <c r="L853" t="e">
        <f ca="1">BDP("45506EPT Muni","GB_MANAGEMENT_PROCEEDS")</f>
        <v>#NAME?</v>
      </c>
      <c r="M853" t="e">
        <f ca="1">BDP("45506EPT Muni","GB_REPORTING")</f>
        <v>#NAME?</v>
      </c>
      <c r="N853" t="e">
        <f ca="1">BDP("45506EPT Muni","GB_ASSURANCE_PROVIDERS")</f>
        <v>#NAME?</v>
      </c>
      <c r="O853" t="e">
        <f ca="1">BDP("45506EPT Muni","GB_PROJECT_SELECTION_PROCESS")</f>
        <v>#NAME?</v>
      </c>
      <c r="P853" t="e">
        <f ca="1">BDP("45506EPT Muni","ESG_FRAMEWORK_INDICATOR")</f>
        <v>#NAME?</v>
      </c>
      <c r="Q853" t="e">
        <f ca="1">BDP("45506EPT Muni","BLOOMBERG_SECTOR_CODE")</f>
        <v>#NAME?</v>
      </c>
      <c r="R853" t="e">
        <f ca="1">BDP("45506EPT Muni","ISSUER_TYPE")</f>
        <v>#NAME?</v>
      </c>
      <c r="S853" t="e">
        <f ca="1">BDS("45506EPT Muni","ESG_PROJECT_CATEGORY", "aggregate=y")</f>
        <v>#NAME?</v>
      </c>
      <c r="T853" t="e">
        <f ca="1">BDS("45506EPT Muni","ESG_PROJECT_SUBCATEGORY", "aggregate=y")</f>
        <v>#NAME?</v>
      </c>
    </row>
    <row r="854" spans="1:20" x14ac:dyDescent="0.25">
      <c r="A854" t="e">
        <f ca="1">BDP("45506ELZ Muni","ID_CUSIP")</f>
        <v>#NAME?</v>
      </c>
      <c r="B854" t="e">
        <f ca="1">BDP("45506ELZ Muni","STATE_CODE")</f>
        <v>#NAME?</v>
      </c>
      <c r="C854" t="s">
        <v>55</v>
      </c>
      <c r="D854" t="e">
        <f ca="1">BDP("45506ELZ Muni","YIELD_ON_ISSUE_DATE")</f>
        <v>#NAME?</v>
      </c>
      <c r="E854">
        <v>18145000</v>
      </c>
      <c r="F854" t="e">
        <f ca="1">BDP("45506ELZ Muni","ISSUE_DT")</f>
        <v>#NAME?</v>
      </c>
      <c r="G854" t="e">
        <f ca="1">BDP("45506ELZ Muni","MATURITY")</f>
        <v>#NAME?</v>
      </c>
      <c r="H854" t="e">
        <f ca="1">BDP("45506ELZ Muni","MUNI_TAX_PROV")</f>
        <v>#NAME?</v>
      </c>
      <c r="I854" t="e">
        <f ca="1">BDP("45506ELZ Muni","FINANCING_TYPE")</f>
        <v>#NAME?</v>
      </c>
      <c r="J854" t="e">
        <f ca="1">BDP("45506ELZ Muni","BICS_LEVEL_2_INDUSTRY_GROUP_NAME")</f>
        <v>#NAME?</v>
      </c>
      <c r="K854" t="e">
        <f ca="1">BDP("45506ELZ Muni","SELF_REPRTD_GREEN_INSTR_INDCTR")</f>
        <v>#NAME?</v>
      </c>
      <c r="L854" t="e">
        <f ca="1">BDP("45506ELZ Muni","GB_MANAGEMENT_PROCEEDS")</f>
        <v>#NAME?</v>
      </c>
      <c r="M854" t="e">
        <f ca="1">BDP("45506ELZ Muni","GB_REPORTING")</f>
        <v>#NAME?</v>
      </c>
      <c r="N854" t="e">
        <f ca="1">BDP("45506ELZ Muni","GB_ASSURANCE_PROVIDERS")</f>
        <v>#NAME?</v>
      </c>
      <c r="O854" t="e">
        <f ca="1">BDP("45506ELZ Muni","GB_PROJECT_SELECTION_PROCESS")</f>
        <v>#NAME?</v>
      </c>
      <c r="P854" t="e">
        <f ca="1">BDP("45506ELZ Muni","ESG_FRAMEWORK_INDICATOR")</f>
        <v>#NAME?</v>
      </c>
      <c r="Q854" t="e">
        <f ca="1">BDP("45506ELZ Muni","BLOOMBERG_SECTOR_CODE")</f>
        <v>#NAME?</v>
      </c>
      <c r="R854" t="e">
        <f ca="1">BDP("45506ELZ Muni","ISSUER_TYPE")</f>
        <v>#NAME?</v>
      </c>
      <c r="S854" t="e">
        <f ca="1">BDS("45506ELZ Muni","ESG_PROJECT_CATEGORY", "aggregate=y")</f>
        <v>#NAME?</v>
      </c>
      <c r="T854" t="e">
        <f ca="1">BDS("45506ELZ Muni","ESG_PROJECT_SUBCATEGORY", "aggregate=y")</f>
        <v>#NAME?</v>
      </c>
    </row>
    <row r="855" spans="1:20" x14ac:dyDescent="0.25">
      <c r="A855" t="e">
        <f ca="1">BDP("45506EPV Muni","ID_CUSIP")</f>
        <v>#NAME?</v>
      </c>
      <c r="B855" t="e">
        <f ca="1">BDP("45506EPV Muni","STATE_CODE")</f>
        <v>#NAME?</v>
      </c>
      <c r="C855" t="s">
        <v>55</v>
      </c>
      <c r="D855" t="e">
        <f ca="1">BDP("45506EPV Muni","YIELD_ON_ISSUE_DATE")</f>
        <v>#NAME?</v>
      </c>
      <c r="E855">
        <v>17805000</v>
      </c>
      <c r="F855" t="e">
        <f ca="1">BDP("45506EPV Muni","ISSUE_DT")</f>
        <v>#NAME?</v>
      </c>
      <c r="G855" t="e">
        <f ca="1">BDP("45506EPV Muni","MATURITY")</f>
        <v>#NAME?</v>
      </c>
      <c r="H855" t="e">
        <f ca="1">BDP("45506EPV Muni","MUNI_TAX_PROV")</f>
        <v>#NAME?</v>
      </c>
      <c r="I855" t="e">
        <f ca="1">BDP("45506EPV Muni","FINANCING_TYPE")</f>
        <v>#NAME?</v>
      </c>
      <c r="J855" t="e">
        <f ca="1">BDP("45506EPV Muni","BICS_LEVEL_2_INDUSTRY_GROUP_NAME")</f>
        <v>#NAME?</v>
      </c>
      <c r="K855" t="e">
        <f ca="1">BDP("45506EPV Muni","SELF_REPRTD_GREEN_INSTR_INDCTR")</f>
        <v>#NAME?</v>
      </c>
      <c r="L855" t="e">
        <f ca="1">BDP("45506EPV Muni","GB_MANAGEMENT_PROCEEDS")</f>
        <v>#NAME?</v>
      </c>
      <c r="M855" t="e">
        <f ca="1">BDP("45506EPV Muni","GB_REPORTING")</f>
        <v>#NAME?</v>
      </c>
      <c r="N855" t="e">
        <f ca="1">BDP("45506EPV Muni","GB_ASSURANCE_PROVIDERS")</f>
        <v>#NAME?</v>
      </c>
      <c r="O855" t="e">
        <f ca="1">BDP("45506EPV Muni","GB_PROJECT_SELECTION_PROCESS")</f>
        <v>#NAME?</v>
      </c>
      <c r="P855" t="e">
        <f ca="1">BDP("45506EPV Muni","ESG_FRAMEWORK_INDICATOR")</f>
        <v>#NAME?</v>
      </c>
      <c r="Q855" t="e">
        <f ca="1">BDP("45506EPV Muni","BLOOMBERG_SECTOR_CODE")</f>
        <v>#NAME?</v>
      </c>
      <c r="R855" t="e">
        <f ca="1">BDP("45506EPV Muni","ISSUER_TYPE")</f>
        <v>#NAME?</v>
      </c>
      <c r="S855" t="e">
        <f ca="1">BDS("45506EPV Muni","ESG_PROJECT_CATEGORY", "aggregate=y")</f>
        <v>#NAME?</v>
      </c>
      <c r="T855" t="e">
        <f ca="1">BDS("45506EPV Muni","ESG_PROJECT_SUBCATEGORY", "aggregate=y")</f>
        <v>#NAME?</v>
      </c>
    </row>
    <row r="856" spans="1:20" x14ac:dyDescent="0.25">
      <c r="A856" t="e">
        <f ca="1">BDP("45506EPW Muni","ID_CUSIP")</f>
        <v>#NAME?</v>
      </c>
      <c r="B856" t="e">
        <f ca="1">BDP("45506EPW Muni","STATE_CODE")</f>
        <v>#NAME?</v>
      </c>
      <c r="C856" t="s">
        <v>55</v>
      </c>
      <c r="D856" t="e">
        <f ca="1">BDP("45506EPW Muni","YIELD_ON_ISSUE_DATE")</f>
        <v>#NAME?</v>
      </c>
      <c r="E856">
        <v>17920000</v>
      </c>
      <c r="F856" t="e">
        <f ca="1">BDP("45506EPW Muni","ISSUE_DT")</f>
        <v>#NAME?</v>
      </c>
      <c r="G856" t="e">
        <f ca="1">BDP("45506EPW Muni","MATURITY")</f>
        <v>#NAME?</v>
      </c>
      <c r="H856" t="e">
        <f ca="1">BDP("45506EPW Muni","MUNI_TAX_PROV")</f>
        <v>#NAME?</v>
      </c>
      <c r="I856" t="e">
        <f ca="1">BDP("45506EPW Muni","FINANCING_TYPE")</f>
        <v>#NAME?</v>
      </c>
      <c r="J856" t="e">
        <f ca="1">BDP("45506EPW Muni","BICS_LEVEL_2_INDUSTRY_GROUP_NAME")</f>
        <v>#NAME?</v>
      </c>
      <c r="K856" t="e">
        <f ca="1">BDP("45506EPW Muni","SELF_REPRTD_GREEN_INSTR_INDCTR")</f>
        <v>#NAME?</v>
      </c>
      <c r="L856" t="e">
        <f ca="1">BDP("45506EPW Muni","GB_MANAGEMENT_PROCEEDS")</f>
        <v>#NAME?</v>
      </c>
      <c r="M856" t="e">
        <f ca="1">BDP("45506EPW Muni","GB_REPORTING")</f>
        <v>#NAME?</v>
      </c>
      <c r="N856" t="e">
        <f ca="1">BDP("45506EPW Muni","GB_ASSURANCE_PROVIDERS")</f>
        <v>#NAME?</v>
      </c>
      <c r="O856" t="e">
        <f ca="1">BDP("45506EPW Muni","GB_PROJECT_SELECTION_PROCESS")</f>
        <v>#NAME?</v>
      </c>
      <c r="P856" t="e">
        <f ca="1">BDP("45506EPW Muni","ESG_FRAMEWORK_INDICATOR")</f>
        <v>#NAME?</v>
      </c>
      <c r="Q856" t="e">
        <f ca="1">BDP("45506EPW Muni","BLOOMBERG_SECTOR_CODE")</f>
        <v>#NAME?</v>
      </c>
      <c r="R856" t="e">
        <f ca="1">BDP("45506EPW Muni","ISSUER_TYPE")</f>
        <v>#NAME?</v>
      </c>
      <c r="S856" t="e">
        <f ca="1">BDS("45506EPW Muni","ESG_PROJECT_CATEGORY", "aggregate=y")</f>
        <v>#NAME?</v>
      </c>
      <c r="T856" t="e">
        <f ca="1">BDS("45506EPW Muni","ESG_PROJECT_SUBCATEGORY", "aggregate=y")</f>
        <v>#NAME?</v>
      </c>
    </row>
    <row r="857" spans="1:20" x14ac:dyDescent="0.25">
      <c r="A857" t="e">
        <f ca="1">BDP("45506EMJ Muni","ID_CUSIP")</f>
        <v>#NAME?</v>
      </c>
      <c r="B857" t="e">
        <f ca="1">BDP("45506EMJ Muni","STATE_CODE")</f>
        <v>#NAME?</v>
      </c>
      <c r="C857" t="s">
        <v>55</v>
      </c>
      <c r="D857" t="e">
        <f ca="1">BDP("45506EMJ Muni","YIELD_ON_ISSUE_DATE")</f>
        <v>#NAME?</v>
      </c>
      <c r="E857">
        <v>16335000</v>
      </c>
      <c r="F857" t="e">
        <f ca="1">BDP("45506EMJ Muni","ISSUE_DT")</f>
        <v>#NAME?</v>
      </c>
      <c r="G857" t="e">
        <f ca="1">BDP("45506EMJ Muni","MATURITY")</f>
        <v>#NAME?</v>
      </c>
      <c r="H857" t="e">
        <f ca="1">BDP("45506EMJ Muni","MUNI_TAX_PROV")</f>
        <v>#NAME?</v>
      </c>
      <c r="I857" t="e">
        <f ca="1">BDP("45506EMJ Muni","FINANCING_TYPE")</f>
        <v>#NAME?</v>
      </c>
      <c r="J857" t="e">
        <f ca="1">BDP("45506EMJ Muni","BICS_LEVEL_2_INDUSTRY_GROUP_NAME")</f>
        <v>#NAME?</v>
      </c>
      <c r="K857" t="e">
        <f ca="1">BDP("45506EMJ Muni","SELF_REPRTD_GREEN_INSTR_INDCTR")</f>
        <v>#NAME?</v>
      </c>
      <c r="L857" t="e">
        <f ca="1">BDP("45506EMJ Muni","GB_MANAGEMENT_PROCEEDS")</f>
        <v>#NAME?</v>
      </c>
      <c r="M857" t="e">
        <f ca="1">BDP("45506EMJ Muni","GB_REPORTING")</f>
        <v>#NAME?</v>
      </c>
      <c r="N857" t="e">
        <f ca="1">BDP("45506EMJ Muni","GB_ASSURANCE_PROVIDERS")</f>
        <v>#NAME?</v>
      </c>
      <c r="O857" t="e">
        <f ca="1">BDP("45506EMJ Muni","GB_PROJECT_SELECTION_PROCESS")</f>
        <v>#NAME?</v>
      </c>
      <c r="P857" t="e">
        <f ca="1">BDP("45506EMJ Muni","ESG_FRAMEWORK_INDICATOR")</f>
        <v>#NAME?</v>
      </c>
      <c r="Q857" t="e">
        <f ca="1">BDP("45506EMJ Muni","BLOOMBERG_SECTOR_CODE")</f>
        <v>#NAME?</v>
      </c>
      <c r="R857" t="e">
        <f ca="1">BDP("45506EMJ Muni","ISSUER_TYPE")</f>
        <v>#NAME?</v>
      </c>
      <c r="S857" t="e">
        <f ca="1">BDS("45506EMJ Muni","ESG_PROJECT_CATEGORY", "aggregate=y")</f>
        <v>#NAME?</v>
      </c>
      <c r="T857" t="e">
        <f ca="1">BDS("45506EMJ Muni","ESG_PROJECT_SUBCATEGORY", "aggregate=y")</f>
        <v>#NAME?</v>
      </c>
    </row>
    <row r="858" spans="1:20" x14ac:dyDescent="0.25">
      <c r="A858" t="e">
        <f ca="1">BDP("45506EPY Muni","ID_CUSIP")</f>
        <v>#NAME?</v>
      </c>
      <c r="B858" t="e">
        <f ca="1">BDP("45506EPY Muni","STATE_CODE")</f>
        <v>#NAME?</v>
      </c>
      <c r="C858" t="s">
        <v>55</v>
      </c>
      <c r="D858" t="e">
        <f ca="1">BDP("45506EPY Muni","YIELD_ON_ISSUE_DATE")</f>
        <v>#NAME?</v>
      </c>
      <c r="E858">
        <v>16430000</v>
      </c>
      <c r="F858" t="e">
        <f ca="1">BDP("45506EPY Muni","ISSUE_DT")</f>
        <v>#NAME?</v>
      </c>
      <c r="G858" t="e">
        <f ca="1">BDP("45506EPY Muni","MATURITY")</f>
        <v>#NAME?</v>
      </c>
      <c r="H858" t="e">
        <f ca="1">BDP("45506EPY Muni","MUNI_TAX_PROV")</f>
        <v>#NAME?</v>
      </c>
      <c r="I858" t="e">
        <f ca="1">BDP("45506EPY Muni","FINANCING_TYPE")</f>
        <v>#NAME?</v>
      </c>
      <c r="J858" t="e">
        <f ca="1">BDP("45506EPY Muni","BICS_LEVEL_2_INDUSTRY_GROUP_NAME")</f>
        <v>#NAME?</v>
      </c>
      <c r="K858" t="e">
        <f ca="1">BDP("45506EPY Muni","SELF_REPRTD_GREEN_INSTR_INDCTR")</f>
        <v>#NAME?</v>
      </c>
      <c r="L858" t="e">
        <f ca="1">BDP("45506EPY Muni","GB_MANAGEMENT_PROCEEDS")</f>
        <v>#NAME?</v>
      </c>
      <c r="M858" t="e">
        <f ca="1">BDP("45506EPY Muni","GB_REPORTING")</f>
        <v>#NAME?</v>
      </c>
      <c r="N858" t="e">
        <f ca="1">BDP("45506EPY Muni","GB_ASSURANCE_PROVIDERS")</f>
        <v>#NAME?</v>
      </c>
      <c r="O858" t="e">
        <f ca="1">BDP("45506EPY Muni","GB_PROJECT_SELECTION_PROCESS")</f>
        <v>#NAME?</v>
      </c>
      <c r="P858" t="e">
        <f ca="1">BDP("45506EPY Muni","ESG_FRAMEWORK_INDICATOR")</f>
        <v>#NAME?</v>
      </c>
      <c r="Q858" t="e">
        <f ca="1">BDP("45506EPY Muni","BLOOMBERG_SECTOR_CODE")</f>
        <v>#NAME?</v>
      </c>
      <c r="R858" t="e">
        <f ca="1">BDP("45506EPY Muni","ISSUER_TYPE")</f>
        <v>#NAME?</v>
      </c>
      <c r="S858" t="e">
        <f ca="1">BDS("45506EPY Muni","ESG_PROJECT_CATEGORY", "aggregate=y")</f>
        <v>#NAME?</v>
      </c>
      <c r="T858" t="e">
        <f ca="1">BDS("45506EPY Muni","ESG_PROJECT_SUBCATEGORY", "aggregate=y")</f>
        <v>#NAME?</v>
      </c>
    </row>
    <row r="859" spans="1:20" x14ac:dyDescent="0.25">
      <c r="A859" t="e">
        <f ca="1">BDP("45506EMG Muni","ID_CUSIP")</f>
        <v>#NAME?</v>
      </c>
      <c r="B859" t="e">
        <f ca="1">BDP("45506EMG Muni","STATE_CODE")</f>
        <v>#NAME?</v>
      </c>
      <c r="C859" t="s">
        <v>55</v>
      </c>
      <c r="D859" t="e">
        <f ca="1">BDP("45506EMG Muni","YIELD_ON_ISSUE_DATE")</f>
        <v>#NAME?</v>
      </c>
      <c r="E859">
        <v>14815000</v>
      </c>
      <c r="F859" t="e">
        <f ca="1">BDP("45506EMG Muni","ISSUE_DT")</f>
        <v>#NAME?</v>
      </c>
      <c r="G859" t="e">
        <f ca="1">BDP("45506EMG Muni","MATURITY")</f>
        <v>#NAME?</v>
      </c>
      <c r="H859" t="e">
        <f ca="1">BDP("45506EMG Muni","MUNI_TAX_PROV")</f>
        <v>#NAME?</v>
      </c>
      <c r="I859" t="e">
        <f ca="1">BDP("45506EMG Muni","FINANCING_TYPE")</f>
        <v>#NAME?</v>
      </c>
      <c r="J859" t="e">
        <f ca="1">BDP("45506EMG Muni","BICS_LEVEL_2_INDUSTRY_GROUP_NAME")</f>
        <v>#NAME?</v>
      </c>
      <c r="K859" t="e">
        <f ca="1">BDP("45506EMG Muni","SELF_REPRTD_GREEN_INSTR_INDCTR")</f>
        <v>#NAME?</v>
      </c>
      <c r="L859" t="e">
        <f ca="1">BDP("45506EMG Muni","GB_MANAGEMENT_PROCEEDS")</f>
        <v>#NAME?</v>
      </c>
      <c r="M859" t="e">
        <f ca="1">BDP("45506EMG Muni","GB_REPORTING")</f>
        <v>#NAME?</v>
      </c>
      <c r="N859" t="e">
        <f ca="1">BDP("45506EMG Muni","GB_ASSURANCE_PROVIDERS")</f>
        <v>#NAME?</v>
      </c>
      <c r="O859" t="e">
        <f ca="1">BDP("45506EMG Muni","GB_PROJECT_SELECTION_PROCESS")</f>
        <v>#NAME?</v>
      </c>
      <c r="P859" t="e">
        <f ca="1">BDP("45506EMG Muni","ESG_FRAMEWORK_INDICATOR")</f>
        <v>#NAME?</v>
      </c>
      <c r="Q859" t="e">
        <f ca="1">BDP("45506EMG Muni","BLOOMBERG_SECTOR_CODE")</f>
        <v>#NAME?</v>
      </c>
      <c r="R859" t="e">
        <f ca="1">BDP("45506EMG Muni","ISSUER_TYPE")</f>
        <v>#NAME?</v>
      </c>
      <c r="S859" t="e">
        <f ca="1">BDS("45506EMG Muni","ESG_PROJECT_CATEGORY", "aggregate=y")</f>
        <v>#NAME?</v>
      </c>
      <c r="T859" t="e">
        <f ca="1">BDS("45506EMG Muni","ESG_PROJECT_SUBCATEGORY", "aggregate=y")</f>
        <v>#NAME?</v>
      </c>
    </row>
    <row r="860" spans="1:20" x14ac:dyDescent="0.25">
      <c r="A860" t="e">
        <f ca="1">BDP("45506EMK Muni","ID_CUSIP")</f>
        <v>#NAME?</v>
      </c>
      <c r="B860" t="e">
        <f ca="1">BDP("45506EMK Muni","STATE_CODE")</f>
        <v>#NAME?</v>
      </c>
      <c r="C860" t="s">
        <v>55</v>
      </c>
      <c r="D860" t="e">
        <f ca="1">BDP("45506EMK Muni","YIELD_ON_ISSUE_DATE")</f>
        <v>#NAME?</v>
      </c>
      <c r="E860">
        <v>17150000</v>
      </c>
      <c r="F860" t="e">
        <f ca="1">BDP("45506EMK Muni","ISSUE_DT")</f>
        <v>#NAME?</v>
      </c>
      <c r="G860" t="e">
        <f ca="1">BDP("45506EMK Muni","MATURITY")</f>
        <v>#NAME?</v>
      </c>
      <c r="H860" t="e">
        <f ca="1">BDP("45506EMK Muni","MUNI_TAX_PROV")</f>
        <v>#NAME?</v>
      </c>
      <c r="I860" t="e">
        <f ca="1">BDP("45506EMK Muni","FINANCING_TYPE")</f>
        <v>#NAME?</v>
      </c>
      <c r="J860" t="e">
        <f ca="1">BDP("45506EMK Muni","BICS_LEVEL_2_INDUSTRY_GROUP_NAME")</f>
        <v>#NAME?</v>
      </c>
      <c r="K860" t="e">
        <f ca="1">BDP("45506EMK Muni","SELF_REPRTD_GREEN_INSTR_INDCTR")</f>
        <v>#NAME?</v>
      </c>
      <c r="L860" t="e">
        <f ca="1">BDP("45506EMK Muni","GB_MANAGEMENT_PROCEEDS")</f>
        <v>#NAME?</v>
      </c>
      <c r="M860" t="e">
        <f ca="1">BDP("45506EMK Muni","GB_REPORTING")</f>
        <v>#NAME?</v>
      </c>
      <c r="N860" t="e">
        <f ca="1">BDP("45506EMK Muni","GB_ASSURANCE_PROVIDERS")</f>
        <v>#NAME?</v>
      </c>
      <c r="O860" t="e">
        <f ca="1">BDP("45506EMK Muni","GB_PROJECT_SELECTION_PROCESS")</f>
        <v>#NAME?</v>
      </c>
      <c r="P860" t="e">
        <f ca="1">BDP("45506EMK Muni","ESG_FRAMEWORK_INDICATOR")</f>
        <v>#NAME?</v>
      </c>
      <c r="Q860" t="e">
        <f ca="1">BDP("45506EMK Muni","BLOOMBERG_SECTOR_CODE")</f>
        <v>#NAME?</v>
      </c>
      <c r="R860" t="e">
        <f ca="1">BDP("45506EMK Muni","ISSUER_TYPE")</f>
        <v>#NAME?</v>
      </c>
      <c r="S860" t="e">
        <f ca="1">BDS("45506EMK Muni","ESG_PROJECT_CATEGORY", "aggregate=y")</f>
        <v>#NAME?</v>
      </c>
      <c r="T860" t="e">
        <f ca="1">BDS("45506EMK Muni","ESG_PROJECT_SUBCATEGORY", "aggregate=y")</f>
        <v>#NAME?</v>
      </c>
    </row>
    <row r="861" spans="1:20" x14ac:dyDescent="0.25">
      <c r="A861" t="e">
        <f ca="1">BDP("45506ELX Muni","ID_CUSIP")</f>
        <v>#NAME?</v>
      </c>
      <c r="B861" t="e">
        <f ca="1">BDP("45506ELX Muni","STATE_CODE")</f>
        <v>#NAME?</v>
      </c>
      <c r="C861" t="s">
        <v>55</v>
      </c>
      <c r="D861" t="e">
        <f ca="1">BDP("45506ELX Muni","YIELD_ON_ISSUE_DATE")</f>
        <v>#NAME?</v>
      </c>
      <c r="E861">
        <v>11195000</v>
      </c>
      <c r="F861" t="e">
        <f ca="1">BDP("45506ELX Muni","ISSUE_DT")</f>
        <v>#NAME?</v>
      </c>
      <c r="G861" t="e">
        <f ca="1">BDP("45506ELX Muni","MATURITY")</f>
        <v>#NAME?</v>
      </c>
      <c r="H861" t="e">
        <f ca="1">BDP("45506ELX Muni","MUNI_TAX_PROV")</f>
        <v>#NAME?</v>
      </c>
      <c r="I861" t="e">
        <f ca="1">BDP("45506ELX Muni","FINANCING_TYPE")</f>
        <v>#NAME?</v>
      </c>
      <c r="J861" t="e">
        <f ca="1">BDP("45506ELX Muni","BICS_LEVEL_2_INDUSTRY_GROUP_NAME")</f>
        <v>#NAME?</v>
      </c>
      <c r="K861" t="e">
        <f ca="1">BDP("45506ELX Muni","SELF_REPRTD_GREEN_INSTR_INDCTR")</f>
        <v>#NAME?</v>
      </c>
      <c r="L861" t="e">
        <f ca="1">BDP("45506ELX Muni","GB_MANAGEMENT_PROCEEDS")</f>
        <v>#NAME?</v>
      </c>
      <c r="M861" t="e">
        <f ca="1">BDP("45506ELX Muni","GB_REPORTING")</f>
        <v>#NAME?</v>
      </c>
      <c r="N861" t="e">
        <f ca="1">BDP("45506ELX Muni","GB_ASSURANCE_PROVIDERS")</f>
        <v>#NAME?</v>
      </c>
      <c r="O861" t="e">
        <f ca="1">BDP("45506ELX Muni","GB_PROJECT_SELECTION_PROCESS")</f>
        <v>#NAME?</v>
      </c>
      <c r="P861" t="e">
        <f ca="1">BDP("45506ELX Muni","ESG_FRAMEWORK_INDICATOR")</f>
        <v>#NAME?</v>
      </c>
      <c r="Q861" t="e">
        <f ca="1">BDP("45506ELX Muni","BLOOMBERG_SECTOR_CODE")</f>
        <v>#NAME?</v>
      </c>
      <c r="R861" t="e">
        <f ca="1">BDP("45506ELX Muni","ISSUER_TYPE")</f>
        <v>#NAME?</v>
      </c>
      <c r="S861" t="e">
        <f ca="1">BDS("45506ELX Muni","ESG_PROJECT_CATEGORY", "aggregate=y")</f>
        <v>#NAME?</v>
      </c>
      <c r="T861" t="e">
        <f ca="1">BDS("45506ELX Muni","ESG_PROJECT_SUBCATEGORY", "aggregate=y")</f>
        <v>#NAME?</v>
      </c>
    </row>
    <row r="862" spans="1:20" x14ac:dyDescent="0.25">
      <c r="A862" t="e">
        <f ca="1">BDP("45506EPS Muni","ID_CUSIP")</f>
        <v>#NAME?</v>
      </c>
      <c r="B862" t="e">
        <f ca="1">BDP("45506EPS Muni","STATE_CODE")</f>
        <v>#NAME?</v>
      </c>
      <c r="C862" t="s">
        <v>55</v>
      </c>
      <c r="D862" t="e">
        <f ca="1">BDP("45506EPS Muni","YIELD_ON_ISSUE_DATE")</f>
        <v>#NAME?</v>
      </c>
      <c r="E862">
        <v>18785000</v>
      </c>
      <c r="F862" t="e">
        <f ca="1">BDP("45506EPS Muni","ISSUE_DT")</f>
        <v>#NAME?</v>
      </c>
      <c r="G862" t="e">
        <f ca="1">BDP("45506EPS Muni","MATURITY")</f>
        <v>#NAME?</v>
      </c>
      <c r="H862" t="e">
        <f ca="1">BDP("45506EPS Muni","MUNI_TAX_PROV")</f>
        <v>#NAME?</v>
      </c>
      <c r="I862" t="e">
        <f ca="1">BDP("45506EPS Muni","FINANCING_TYPE")</f>
        <v>#NAME?</v>
      </c>
      <c r="J862" t="e">
        <f ca="1">BDP("45506EPS Muni","BICS_LEVEL_2_INDUSTRY_GROUP_NAME")</f>
        <v>#NAME?</v>
      </c>
      <c r="K862" t="e">
        <f ca="1">BDP("45506EPS Muni","SELF_REPRTD_GREEN_INSTR_INDCTR")</f>
        <v>#NAME?</v>
      </c>
      <c r="L862" t="e">
        <f ca="1">BDP("45506EPS Muni","GB_MANAGEMENT_PROCEEDS")</f>
        <v>#NAME?</v>
      </c>
      <c r="M862" t="e">
        <f ca="1">BDP("45506EPS Muni","GB_REPORTING")</f>
        <v>#NAME?</v>
      </c>
      <c r="N862" t="e">
        <f ca="1">BDP("45506EPS Muni","GB_ASSURANCE_PROVIDERS")</f>
        <v>#NAME?</v>
      </c>
      <c r="O862" t="e">
        <f ca="1">BDP("45506EPS Muni","GB_PROJECT_SELECTION_PROCESS")</f>
        <v>#NAME?</v>
      </c>
      <c r="P862" t="e">
        <f ca="1">BDP("45506EPS Muni","ESG_FRAMEWORK_INDICATOR")</f>
        <v>#NAME?</v>
      </c>
      <c r="Q862" t="e">
        <f ca="1">BDP("45506EPS Muni","BLOOMBERG_SECTOR_CODE")</f>
        <v>#NAME?</v>
      </c>
      <c r="R862" t="e">
        <f ca="1">BDP("45506EPS Muni","ISSUER_TYPE")</f>
        <v>#NAME?</v>
      </c>
      <c r="S862" t="e">
        <f ca="1">BDS("45506EPS Muni","ESG_PROJECT_CATEGORY", "aggregate=y")</f>
        <v>#NAME?</v>
      </c>
      <c r="T862" t="e">
        <f ca="1">BDS("45506EPS Muni","ESG_PROJECT_SUBCATEGORY", "aggregate=y")</f>
        <v>#NAME?</v>
      </c>
    </row>
    <row r="863" spans="1:20" x14ac:dyDescent="0.25">
      <c r="A863" t="e">
        <f ca="1">BDP("45506EMB Muni","ID_CUSIP")</f>
        <v>#NAME?</v>
      </c>
      <c r="B863" t="e">
        <f ca="1">BDP("45506EMB Muni","STATE_CODE")</f>
        <v>#NAME?</v>
      </c>
      <c r="C863" t="s">
        <v>55</v>
      </c>
      <c r="D863" t="e">
        <f ca="1">BDP("45506EMB Muni","YIELD_ON_ISSUE_DATE")</f>
        <v>#NAME?</v>
      </c>
      <c r="E863">
        <v>14370000</v>
      </c>
      <c r="F863" t="e">
        <f ca="1">BDP("45506EMB Muni","ISSUE_DT")</f>
        <v>#NAME?</v>
      </c>
      <c r="G863" t="e">
        <f ca="1">BDP("45506EMB Muni","MATURITY")</f>
        <v>#NAME?</v>
      </c>
      <c r="H863" t="e">
        <f ca="1">BDP("45506EMB Muni","MUNI_TAX_PROV")</f>
        <v>#NAME?</v>
      </c>
      <c r="I863" t="e">
        <f ca="1">BDP("45506EMB Muni","FINANCING_TYPE")</f>
        <v>#NAME?</v>
      </c>
      <c r="J863" t="e">
        <f ca="1">BDP("45506EMB Muni","BICS_LEVEL_2_INDUSTRY_GROUP_NAME")</f>
        <v>#NAME?</v>
      </c>
      <c r="K863" t="e">
        <f ca="1">BDP("45506EMB Muni","SELF_REPRTD_GREEN_INSTR_INDCTR")</f>
        <v>#NAME?</v>
      </c>
      <c r="L863" t="e">
        <f ca="1">BDP("45506EMB Muni","GB_MANAGEMENT_PROCEEDS")</f>
        <v>#NAME?</v>
      </c>
      <c r="M863" t="e">
        <f ca="1">BDP("45506EMB Muni","GB_REPORTING")</f>
        <v>#NAME?</v>
      </c>
      <c r="N863" t="e">
        <f ca="1">BDP("45506EMB Muni","GB_ASSURANCE_PROVIDERS")</f>
        <v>#NAME?</v>
      </c>
      <c r="O863" t="e">
        <f ca="1">BDP("45506EMB Muni","GB_PROJECT_SELECTION_PROCESS")</f>
        <v>#NAME?</v>
      </c>
      <c r="P863" t="e">
        <f ca="1">BDP("45506EMB Muni","ESG_FRAMEWORK_INDICATOR")</f>
        <v>#NAME?</v>
      </c>
      <c r="Q863" t="e">
        <f ca="1">BDP("45506EMB Muni","BLOOMBERG_SECTOR_CODE")</f>
        <v>#NAME?</v>
      </c>
      <c r="R863" t="e">
        <f ca="1">BDP("45506EMB Muni","ISSUER_TYPE")</f>
        <v>#NAME?</v>
      </c>
      <c r="S863" t="e">
        <f ca="1">BDS("45506EMB Muni","ESG_PROJECT_CATEGORY", "aggregate=y")</f>
        <v>#NAME?</v>
      </c>
      <c r="T863" t="e">
        <f ca="1">BDS("45506EMB Muni","ESG_PROJECT_SUBCATEGORY", "aggregate=y")</f>
        <v>#NAME?</v>
      </c>
    </row>
    <row r="864" spans="1:20" x14ac:dyDescent="0.25">
      <c r="A864" t="e">
        <f ca="1">BDP("45506EMC Muni","ID_CUSIP")</f>
        <v>#NAME?</v>
      </c>
      <c r="B864" t="e">
        <f ca="1">BDP("45506EMC Muni","STATE_CODE")</f>
        <v>#NAME?</v>
      </c>
      <c r="C864" t="s">
        <v>55</v>
      </c>
      <c r="D864" t="e">
        <f ca="1">BDP("45506EMC Muni","YIELD_ON_ISSUE_DATE")</f>
        <v>#NAME?</v>
      </c>
      <c r="E864">
        <v>12955000</v>
      </c>
      <c r="F864" t="e">
        <f ca="1">BDP("45506EMC Muni","ISSUE_DT")</f>
        <v>#NAME?</v>
      </c>
      <c r="G864" t="e">
        <f ca="1">BDP("45506EMC Muni","MATURITY")</f>
        <v>#NAME?</v>
      </c>
      <c r="H864" t="e">
        <f ca="1">BDP("45506EMC Muni","MUNI_TAX_PROV")</f>
        <v>#NAME?</v>
      </c>
      <c r="I864" t="e">
        <f ca="1">BDP("45506EMC Muni","FINANCING_TYPE")</f>
        <v>#NAME?</v>
      </c>
      <c r="J864" t="e">
        <f ca="1">BDP("45506EMC Muni","BICS_LEVEL_2_INDUSTRY_GROUP_NAME")</f>
        <v>#NAME?</v>
      </c>
      <c r="K864" t="e">
        <f ca="1">BDP("45506EMC Muni","SELF_REPRTD_GREEN_INSTR_INDCTR")</f>
        <v>#NAME?</v>
      </c>
      <c r="L864" t="e">
        <f ca="1">BDP("45506EMC Muni","GB_MANAGEMENT_PROCEEDS")</f>
        <v>#NAME?</v>
      </c>
      <c r="M864" t="e">
        <f ca="1">BDP("45506EMC Muni","GB_REPORTING")</f>
        <v>#NAME?</v>
      </c>
      <c r="N864" t="e">
        <f ca="1">BDP("45506EMC Muni","GB_ASSURANCE_PROVIDERS")</f>
        <v>#NAME?</v>
      </c>
      <c r="O864" t="e">
        <f ca="1">BDP("45506EMC Muni","GB_PROJECT_SELECTION_PROCESS")</f>
        <v>#NAME?</v>
      </c>
      <c r="P864" t="e">
        <f ca="1">BDP("45506EMC Muni","ESG_FRAMEWORK_INDICATOR")</f>
        <v>#NAME?</v>
      </c>
      <c r="Q864" t="e">
        <f ca="1">BDP("45506EMC Muni","BLOOMBERG_SECTOR_CODE")</f>
        <v>#NAME?</v>
      </c>
      <c r="R864" t="e">
        <f ca="1">BDP("45506EMC Muni","ISSUER_TYPE")</f>
        <v>#NAME?</v>
      </c>
      <c r="S864" t="e">
        <f ca="1">BDS("45506EMC Muni","ESG_PROJECT_CATEGORY", "aggregate=y")</f>
        <v>#NAME?</v>
      </c>
      <c r="T864" t="e">
        <f ca="1">BDS("45506EMC Muni","ESG_PROJECT_SUBCATEGORY", "aggregate=y")</f>
        <v>#NAME?</v>
      </c>
    </row>
    <row r="865" spans="1:20" x14ac:dyDescent="0.25">
      <c r="A865" t="e">
        <f ca="1">BDP("45506EPR Muni","ID_CUSIP")</f>
        <v>#NAME?</v>
      </c>
      <c r="B865" t="e">
        <f ca="1">BDP("45506EPR Muni","STATE_CODE")</f>
        <v>#NAME?</v>
      </c>
      <c r="C865" t="s">
        <v>55</v>
      </c>
      <c r="D865" t="e">
        <f ca="1">BDP("45506EPR Muni","YIELD_ON_ISSUE_DATE")</f>
        <v>#NAME?</v>
      </c>
      <c r="E865">
        <v>18505000</v>
      </c>
      <c r="F865" t="e">
        <f ca="1">BDP("45506EPR Muni","ISSUE_DT")</f>
        <v>#NAME?</v>
      </c>
      <c r="G865" t="e">
        <f ca="1">BDP("45506EPR Muni","MATURITY")</f>
        <v>#NAME?</v>
      </c>
      <c r="H865" t="e">
        <f ca="1">BDP("45506EPR Muni","MUNI_TAX_PROV")</f>
        <v>#NAME?</v>
      </c>
      <c r="I865" t="e">
        <f ca="1">BDP("45506EPR Muni","FINANCING_TYPE")</f>
        <v>#NAME?</v>
      </c>
      <c r="J865" t="e">
        <f ca="1">BDP("45506EPR Muni","BICS_LEVEL_2_INDUSTRY_GROUP_NAME")</f>
        <v>#NAME?</v>
      </c>
      <c r="K865" t="e">
        <f ca="1">BDP("45506EPR Muni","SELF_REPRTD_GREEN_INSTR_INDCTR")</f>
        <v>#NAME?</v>
      </c>
      <c r="L865" t="e">
        <f ca="1">BDP("45506EPR Muni","GB_MANAGEMENT_PROCEEDS")</f>
        <v>#NAME?</v>
      </c>
      <c r="M865" t="e">
        <f ca="1">BDP("45506EPR Muni","GB_REPORTING")</f>
        <v>#NAME?</v>
      </c>
      <c r="N865" t="e">
        <f ca="1">BDP("45506EPR Muni","GB_ASSURANCE_PROVIDERS")</f>
        <v>#NAME?</v>
      </c>
      <c r="O865" t="e">
        <f ca="1">BDP("45506EPR Muni","GB_PROJECT_SELECTION_PROCESS")</f>
        <v>#NAME?</v>
      </c>
      <c r="P865" t="e">
        <f ca="1">BDP("45506EPR Muni","ESG_FRAMEWORK_INDICATOR")</f>
        <v>#NAME?</v>
      </c>
      <c r="Q865" t="e">
        <f ca="1">BDP("45506EPR Muni","BLOOMBERG_SECTOR_CODE")</f>
        <v>#NAME?</v>
      </c>
      <c r="R865" t="e">
        <f ca="1">BDP("45506EPR Muni","ISSUER_TYPE")</f>
        <v>#NAME?</v>
      </c>
      <c r="S865" t="e">
        <f ca="1">BDS("45506EPR Muni","ESG_PROJECT_CATEGORY", "aggregate=y")</f>
        <v>#NAME?</v>
      </c>
      <c r="T865" t="e">
        <f ca="1">BDS("45506EPR Muni","ESG_PROJECT_SUBCATEGORY", "aggregate=y")</f>
        <v>#NAME?</v>
      </c>
    </row>
    <row r="866" spans="1:20" x14ac:dyDescent="0.25">
      <c r="A866" t="e">
        <f ca="1">BDP("45506EMA Muni","ID_CUSIP")</f>
        <v>#NAME?</v>
      </c>
      <c r="B866" t="e">
        <f ca="1">BDP("45506EMA Muni","STATE_CODE")</f>
        <v>#NAME?</v>
      </c>
      <c r="C866" t="s">
        <v>55</v>
      </c>
      <c r="D866" t="e">
        <f ca="1">BDP("45506EMA Muni","YIELD_ON_ISSUE_DATE")</f>
        <v>#NAME?</v>
      </c>
      <c r="E866">
        <v>12910000</v>
      </c>
      <c r="F866" t="e">
        <f ca="1">BDP("45506EMA Muni","ISSUE_DT")</f>
        <v>#NAME?</v>
      </c>
      <c r="G866" t="e">
        <f ca="1">BDP("45506EMA Muni","MATURITY")</f>
        <v>#NAME?</v>
      </c>
      <c r="H866" t="e">
        <f ca="1">BDP("45506EMA Muni","MUNI_TAX_PROV")</f>
        <v>#NAME?</v>
      </c>
      <c r="I866" t="e">
        <f ca="1">BDP("45506EMA Muni","FINANCING_TYPE")</f>
        <v>#NAME?</v>
      </c>
      <c r="J866" t="e">
        <f ca="1">BDP("45506EMA Muni","BICS_LEVEL_2_INDUSTRY_GROUP_NAME")</f>
        <v>#NAME?</v>
      </c>
      <c r="K866" t="e">
        <f ca="1">BDP("45506EMA Muni","SELF_REPRTD_GREEN_INSTR_INDCTR")</f>
        <v>#NAME?</v>
      </c>
      <c r="L866" t="e">
        <f ca="1">BDP("45506EMA Muni","GB_MANAGEMENT_PROCEEDS")</f>
        <v>#NAME?</v>
      </c>
      <c r="M866" t="e">
        <f ca="1">BDP("45506EMA Muni","GB_REPORTING")</f>
        <v>#NAME?</v>
      </c>
      <c r="N866" t="e">
        <f ca="1">BDP("45506EMA Muni","GB_ASSURANCE_PROVIDERS")</f>
        <v>#NAME?</v>
      </c>
      <c r="O866" t="e">
        <f ca="1">BDP("45506EMA Muni","GB_PROJECT_SELECTION_PROCESS")</f>
        <v>#NAME?</v>
      </c>
      <c r="P866" t="e">
        <f ca="1">BDP("45506EMA Muni","ESG_FRAMEWORK_INDICATOR")</f>
        <v>#NAME?</v>
      </c>
      <c r="Q866" t="e">
        <f ca="1">BDP("45506EMA Muni","BLOOMBERG_SECTOR_CODE")</f>
        <v>#NAME?</v>
      </c>
      <c r="R866" t="e">
        <f ca="1">BDP("45506EMA Muni","ISSUER_TYPE")</f>
        <v>#NAME?</v>
      </c>
      <c r="S866" t="e">
        <f ca="1">BDS("45506EMA Muni","ESG_PROJECT_CATEGORY", "aggregate=y")</f>
        <v>#NAME?</v>
      </c>
      <c r="T866" t="e">
        <f ca="1">BDS("45506EMA Muni","ESG_PROJECT_SUBCATEGORY", "aggregate=y")</f>
        <v>#NAME?</v>
      </c>
    </row>
    <row r="867" spans="1:20" x14ac:dyDescent="0.25">
      <c r="A867" t="e">
        <f ca="1">BDP("45506EPF Muni","ID_CUSIP")</f>
        <v>#NAME?</v>
      </c>
      <c r="B867" t="e">
        <f ca="1">BDP("45506EPF Muni","STATE_CODE")</f>
        <v>#NAME?</v>
      </c>
      <c r="C867" t="s">
        <v>55</v>
      </c>
      <c r="D867" t="e">
        <f ca="1">BDP("45506EPF Muni","YIELD_ON_ISSUE_DATE")</f>
        <v>#NAME?</v>
      </c>
      <c r="E867">
        <v>8255000</v>
      </c>
      <c r="F867" t="e">
        <f ca="1">BDP("45506EPF Muni","ISSUE_DT")</f>
        <v>#NAME?</v>
      </c>
      <c r="G867" t="e">
        <f ca="1">BDP("45506EPF Muni","MATURITY")</f>
        <v>#NAME?</v>
      </c>
      <c r="H867" t="e">
        <f ca="1">BDP("45506EPF Muni","MUNI_TAX_PROV")</f>
        <v>#NAME?</v>
      </c>
      <c r="I867" t="e">
        <f ca="1">BDP("45506EPF Muni","FINANCING_TYPE")</f>
        <v>#NAME?</v>
      </c>
      <c r="J867" t="e">
        <f ca="1">BDP("45506EPF Muni","BICS_LEVEL_2_INDUSTRY_GROUP_NAME")</f>
        <v>#NAME?</v>
      </c>
      <c r="K867" t="e">
        <f ca="1">BDP("45506EPF Muni","SELF_REPRTD_GREEN_INSTR_INDCTR")</f>
        <v>#NAME?</v>
      </c>
      <c r="L867" t="e">
        <f ca="1">BDP("45506EPF Muni","GB_MANAGEMENT_PROCEEDS")</f>
        <v>#NAME?</v>
      </c>
      <c r="M867" t="e">
        <f ca="1">BDP("45506EPF Muni","GB_REPORTING")</f>
        <v>#NAME?</v>
      </c>
      <c r="N867" t="e">
        <f ca="1">BDP("45506EPF Muni","GB_ASSURANCE_PROVIDERS")</f>
        <v>#NAME?</v>
      </c>
      <c r="O867" t="e">
        <f ca="1">BDP("45506EPF Muni","GB_PROJECT_SELECTION_PROCESS")</f>
        <v>#NAME?</v>
      </c>
      <c r="P867" t="e">
        <f ca="1">BDP("45506EPF Muni","ESG_FRAMEWORK_INDICATOR")</f>
        <v>#NAME?</v>
      </c>
      <c r="Q867" t="e">
        <f ca="1">BDP("45506EPF Muni","BLOOMBERG_SECTOR_CODE")</f>
        <v>#NAME?</v>
      </c>
      <c r="R867" t="e">
        <f ca="1">BDP("45506EPF Muni","ISSUER_TYPE")</f>
        <v>#NAME?</v>
      </c>
      <c r="S867" t="e">
        <f ca="1">BDS("45506EPF Muni","ESG_PROJECT_CATEGORY", "aggregate=y")</f>
        <v>#NAME?</v>
      </c>
      <c r="T867" t="e">
        <f ca="1">BDS("45506EPF Muni","ESG_PROJECT_SUBCATEGORY", "aggregate=y")</f>
        <v>#NAME?</v>
      </c>
    </row>
    <row r="868" spans="1:20" x14ac:dyDescent="0.25">
      <c r="A868" t="e">
        <f ca="1">BDP("45506EPL Muni","ID_CUSIP")</f>
        <v>#NAME?</v>
      </c>
      <c r="B868" t="e">
        <f ca="1">BDP("45506EPL Muni","STATE_CODE")</f>
        <v>#NAME?</v>
      </c>
      <c r="C868" t="s">
        <v>55</v>
      </c>
      <c r="D868" t="e">
        <f ca="1">BDP("45506EPL Muni","YIELD_ON_ISSUE_DATE")</f>
        <v>#NAME?</v>
      </c>
      <c r="E868">
        <v>6065000</v>
      </c>
      <c r="F868" t="e">
        <f ca="1">BDP("45506EPL Muni","ISSUE_DT")</f>
        <v>#NAME?</v>
      </c>
      <c r="G868" t="e">
        <f ca="1">BDP("45506EPL Muni","MATURITY")</f>
        <v>#NAME?</v>
      </c>
      <c r="H868" t="e">
        <f ca="1">BDP("45506EPL Muni","MUNI_TAX_PROV")</f>
        <v>#NAME?</v>
      </c>
      <c r="I868" t="e">
        <f ca="1">BDP("45506EPL Muni","FINANCING_TYPE")</f>
        <v>#NAME?</v>
      </c>
      <c r="J868" t="e">
        <f ca="1">BDP("45506EPL Muni","BICS_LEVEL_2_INDUSTRY_GROUP_NAME")</f>
        <v>#NAME?</v>
      </c>
      <c r="K868" t="e">
        <f ca="1">BDP("45506EPL Muni","SELF_REPRTD_GREEN_INSTR_INDCTR")</f>
        <v>#NAME?</v>
      </c>
      <c r="L868" t="e">
        <f ca="1">BDP("45506EPL Muni","GB_MANAGEMENT_PROCEEDS")</f>
        <v>#NAME?</v>
      </c>
      <c r="M868" t="e">
        <f ca="1">BDP("45506EPL Muni","GB_REPORTING")</f>
        <v>#NAME?</v>
      </c>
      <c r="N868" t="e">
        <f ca="1">BDP("45506EPL Muni","GB_ASSURANCE_PROVIDERS")</f>
        <v>#NAME?</v>
      </c>
      <c r="O868" t="e">
        <f ca="1">BDP("45506EPL Muni","GB_PROJECT_SELECTION_PROCESS")</f>
        <v>#NAME?</v>
      </c>
      <c r="P868" t="e">
        <f ca="1">BDP("45506EPL Muni","ESG_FRAMEWORK_INDICATOR")</f>
        <v>#NAME?</v>
      </c>
      <c r="Q868" t="e">
        <f ca="1">BDP("45506EPL Muni","BLOOMBERG_SECTOR_CODE")</f>
        <v>#NAME?</v>
      </c>
      <c r="R868" t="e">
        <f ca="1">BDP("45506EPL Muni","ISSUER_TYPE")</f>
        <v>#NAME?</v>
      </c>
      <c r="S868" t="e">
        <f ca="1">BDS("45506EPL Muni","ESG_PROJECT_CATEGORY", "aggregate=y")</f>
        <v>#NAME?</v>
      </c>
      <c r="T868" t="e">
        <f ca="1">BDS("45506EPL Muni","ESG_PROJECT_SUBCATEGORY", "aggregate=y")</f>
        <v>#NAME?</v>
      </c>
    </row>
    <row r="869" spans="1:20" x14ac:dyDescent="0.25">
      <c r="A869" t="e">
        <f ca="1">BDP("45506EPZ Muni","ID_CUSIP")</f>
        <v>#NAME?</v>
      </c>
      <c r="B869" t="e">
        <f ca="1">BDP("45506EPZ Muni","STATE_CODE")</f>
        <v>#NAME?</v>
      </c>
      <c r="C869" t="s">
        <v>55</v>
      </c>
      <c r="D869" t="e">
        <f ca="1">BDP("45506EPZ Muni","YIELD_ON_ISSUE_DATE")</f>
        <v>#NAME?</v>
      </c>
      <c r="E869">
        <v>12740000</v>
      </c>
      <c r="F869" t="e">
        <f ca="1">BDP("45506EPZ Muni","ISSUE_DT")</f>
        <v>#NAME?</v>
      </c>
      <c r="G869" t="e">
        <f ca="1">BDP("45506EPZ Muni","MATURITY")</f>
        <v>#NAME?</v>
      </c>
      <c r="H869" t="e">
        <f ca="1">BDP("45506EPZ Muni","MUNI_TAX_PROV")</f>
        <v>#NAME?</v>
      </c>
      <c r="I869" t="e">
        <f ca="1">BDP("45506EPZ Muni","FINANCING_TYPE")</f>
        <v>#NAME?</v>
      </c>
      <c r="J869" t="e">
        <f ca="1">BDP("45506EPZ Muni","BICS_LEVEL_2_INDUSTRY_GROUP_NAME")</f>
        <v>#NAME?</v>
      </c>
      <c r="K869" t="e">
        <f ca="1">BDP("45506EPZ Muni","SELF_REPRTD_GREEN_INSTR_INDCTR")</f>
        <v>#NAME?</v>
      </c>
      <c r="L869" t="e">
        <f ca="1">BDP("45506EPZ Muni","GB_MANAGEMENT_PROCEEDS")</f>
        <v>#NAME?</v>
      </c>
      <c r="M869" t="e">
        <f ca="1">BDP("45506EPZ Muni","GB_REPORTING")</f>
        <v>#NAME?</v>
      </c>
      <c r="N869" t="e">
        <f ca="1">BDP("45506EPZ Muni","GB_ASSURANCE_PROVIDERS")</f>
        <v>#NAME?</v>
      </c>
      <c r="O869" t="e">
        <f ca="1">BDP("45506EPZ Muni","GB_PROJECT_SELECTION_PROCESS")</f>
        <v>#NAME?</v>
      </c>
      <c r="P869" t="e">
        <f ca="1">BDP("45506EPZ Muni","ESG_FRAMEWORK_INDICATOR")</f>
        <v>#NAME?</v>
      </c>
      <c r="Q869" t="e">
        <f ca="1">BDP("45506EPZ Muni","BLOOMBERG_SECTOR_CODE")</f>
        <v>#NAME?</v>
      </c>
      <c r="R869" t="e">
        <f ca="1">BDP("45506EPZ Muni","ISSUER_TYPE")</f>
        <v>#NAME?</v>
      </c>
      <c r="S869" t="e">
        <f ca="1">BDS("45506EPZ Muni","ESG_PROJECT_CATEGORY", "aggregate=y")</f>
        <v>#NAME?</v>
      </c>
      <c r="T869" t="e">
        <f ca="1">BDS("45506EPZ Muni","ESG_PROJECT_SUBCATEGORY", "aggregate=y")</f>
        <v>#NAME?</v>
      </c>
    </row>
    <row r="870" spans="1:20" x14ac:dyDescent="0.25">
      <c r="A870" t="e">
        <f ca="1">BDP("933623BW Muni","ID_CUSIP")</f>
        <v>#NAME?</v>
      </c>
      <c r="B870" t="e">
        <f ca="1">BDP("933623BW Muni","STATE_CODE")</f>
        <v>#NAME?</v>
      </c>
      <c r="C870" t="s">
        <v>56</v>
      </c>
      <c r="D870" t="e">
        <f ca="1">BDP("933623BW Muni","YIELD_ON_ISSUE_DATE")</f>
        <v>#NAME?</v>
      </c>
      <c r="E870">
        <v>30500000</v>
      </c>
      <c r="F870" t="e">
        <f ca="1">BDP("933623BW Muni","ISSUE_DT")</f>
        <v>#NAME?</v>
      </c>
      <c r="G870" t="e">
        <f ca="1">BDP("933623BW Muni","MATURITY")</f>
        <v>#NAME?</v>
      </c>
      <c r="H870" t="e">
        <f ca="1">BDP("933623BW Muni","MUNI_TAX_PROV")</f>
        <v>#NAME?</v>
      </c>
      <c r="I870" t="e">
        <f ca="1">BDP("933623BW Muni","FINANCING_TYPE")</f>
        <v>#NAME?</v>
      </c>
      <c r="J870" t="e">
        <f ca="1">BDP("933623BW Muni","BICS_LEVEL_2_INDUSTRY_GROUP_NAME")</f>
        <v>#NAME?</v>
      </c>
      <c r="K870" t="e">
        <f ca="1">BDP("933623BW Muni","SELF_REPRTD_GREEN_INSTR_INDCTR")</f>
        <v>#NAME?</v>
      </c>
      <c r="L870" t="e">
        <f ca="1">BDP("933623BW Muni","GB_MANAGEMENT_PROCEEDS")</f>
        <v>#NAME?</v>
      </c>
      <c r="M870" t="e">
        <f ca="1">BDP("933623BW Muni","GB_REPORTING")</f>
        <v>#NAME?</v>
      </c>
      <c r="N870" t="e">
        <f ca="1">BDP("933623BW Muni","GB_ASSURANCE_PROVIDERS")</f>
        <v>#NAME?</v>
      </c>
      <c r="O870" t="e">
        <f ca="1">BDP("933623BW Muni","GB_PROJECT_SELECTION_PROCESS")</f>
        <v>#NAME?</v>
      </c>
      <c r="P870" t="e">
        <f ca="1">BDP("933623BW Muni","ESG_FRAMEWORK_INDICATOR")</f>
        <v>#NAME?</v>
      </c>
      <c r="Q870" t="e">
        <f ca="1">BDP("933623BW Muni","BLOOMBERG_SECTOR_CODE")</f>
        <v>#NAME?</v>
      </c>
      <c r="R870" t="e">
        <f ca="1">BDP("933623BW Muni","ISSUER_TYPE")</f>
        <v>#NAME?</v>
      </c>
      <c r="S870" t="e">
        <f ca="1">BDS("933623BW Muni","ESG_PROJECT_CATEGORY", "aggregate=y")</f>
        <v>#NAME?</v>
      </c>
      <c r="T870" t="e">
        <f ca="1">BDS("933623BW Muni","ESG_PROJECT_SUBCATEGORY", "aggregate=y")</f>
        <v>#NAME?</v>
      </c>
    </row>
    <row r="871" spans="1:20" x14ac:dyDescent="0.25">
      <c r="A871" t="e">
        <f ca="1">BDP("376190FN Muni","ID_CUSIP")</f>
        <v>#NAME?</v>
      </c>
      <c r="B871" t="e">
        <f ca="1">BDP("376190FN Muni","STATE_CODE")</f>
        <v>#NAME?</v>
      </c>
      <c r="C871" t="s">
        <v>57</v>
      </c>
      <c r="D871" t="e">
        <f ca="1">BDP("376190FN Muni","YIELD_ON_ISSUE_DATE")</f>
        <v>#NAME?</v>
      </c>
      <c r="E871">
        <v>6305000</v>
      </c>
      <c r="F871" t="e">
        <f ca="1">BDP("376190FN Muni","ISSUE_DT")</f>
        <v>#NAME?</v>
      </c>
      <c r="G871" t="e">
        <f ca="1">BDP("376190FN Muni","MATURITY")</f>
        <v>#NAME?</v>
      </c>
      <c r="H871" t="e">
        <f ca="1">BDP("376190FN Muni","MUNI_TAX_PROV")</f>
        <v>#NAME?</v>
      </c>
      <c r="I871" t="e">
        <f ca="1">BDP("376190FN Muni","FINANCING_TYPE")</f>
        <v>#NAME?</v>
      </c>
      <c r="J871" t="e">
        <f ca="1">BDP("376190FN Muni","BICS_LEVEL_2_INDUSTRY_GROUP_NAME")</f>
        <v>#NAME?</v>
      </c>
      <c r="K871" t="e">
        <f ca="1">BDP("376190FN Muni","SELF_REPRTD_GREEN_INSTR_INDCTR")</f>
        <v>#NAME?</v>
      </c>
      <c r="L871" t="e">
        <f ca="1">BDP("376190FN Muni","GB_MANAGEMENT_PROCEEDS")</f>
        <v>#NAME?</v>
      </c>
      <c r="M871" t="e">
        <f ca="1">BDP("376190FN Muni","GB_REPORTING")</f>
        <v>#NAME?</v>
      </c>
      <c r="N871" t="e">
        <f ca="1">BDP("376190FN Muni","GB_ASSURANCE_PROVIDERS")</f>
        <v>#NAME?</v>
      </c>
      <c r="O871" t="e">
        <f ca="1">BDP("376190FN Muni","GB_PROJECT_SELECTION_PROCESS")</f>
        <v>#NAME?</v>
      </c>
      <c r="P871" t="e">
        <f ca="1">BDP("376190FN Muni","ESG_FRAMEWORK_INDICATOR")</f>
        <v>#NAME?</v>
      </c>
      <c r="Q871" t="e">
        <f ca="1">BDP("376190FN Muni","BLOOMBERG_SECTOR_CODE")</f>
        <v>#NAME?</v>
      </c>
      <c r="R871" t="e">
        <f ca="1">BDP("376190FN Muni","ISSUER_TYPE")</f>
        <v>#NAME?</v>
      </c>
      <c r="S871" t="e">
        <f ca="1">BDS("376190FN Muni","ESG_PROJECT_CATEGORY", "aggregate=y")</f>
        <v>#NAME?</v>
      </c>
      <c r="T871" t="e">
        <f ca="1">BDS("376190FN Muni","ESG_PROJECT_SUBCATEGORY", "aggregate=y")</f>
        <v>#NAME?</v>
      </c>
    </row>
    <row r="872" spans="1:20" x14ac:dyDescent="0.25">
      <c r="A872" t="e">
        <f ca="1">BDP("792609AL Muni","ID_CUSIP")</f>
        <v>#NAME?</v>
      </c>
      <c r="B872" t="e">
        <f ca="1">BDP("792609AL Muni","STATE_CODE")</f>
        <v>#NAME?</v>
      </c>
      <c r="C872" t="s">
        <v>58</v>
      </c>
      <c r="D872" t="e">
        <f ca="1">BDP("792609AL Muni","YIELD_ON_ISSUE_DATE")</f>
        <v>#NAME?</v>
      </c>
      <c r="E872">
        <v>45000000</v>
      </c>
      <c r="F872" t="e">
        <f ca="1">BDP("792609AL Muni","ISSUE_DT")</f>
        <v>#NAME?</v>
      </c>
      <c r="G872" t="e">
        <f ca="1">BDP("792609AL Muni","MATURITY")</f>
        <v>#NAME?</v>
      </c>
      <c r="H872" t="e">
        <f ca="1">BDP("792609AL Muni","MUNI_TAX_PROV")</f>
        <v>#NAME?</v>
      </c>
      <c r="I872" t="e">
        <f ca="1">BDP("792609AL Muni","FINANCING_TYPE")</f>
        <v>#NAME?</v>
      </c>
      <c r="J872" t="e">
        <f ca="1">BDP("792609AL Muni","BICS_LEVEL_2_INDUSTRY_GROUP_NAME")</f>
        <v>#NAME?</v>
      </c>
      <c r="K872" t="e">
        <f ca="1">BDP("792609AL Muni","SELF_REPRTD_GREEN_INSTR_INDCTR")</f>
        <v>#NAME?</v>
      </c>
      <c r="L872" t="e">
        <f ca="1">BDP("792609AL Muni","GB_MANAGEMENT_PROCEEDS")</f>
        <v>#NAME?</v>
      </c>
      <c r="M872" t="e">
        <f ca="1">BDP("792609AL Muni","GB_REPORTING")</f>
        <v>#NAME?</v>
      </c>
      <c r="N872" t="e">
        <f ca="1">BDP("792609AL Muni","GB_ASSURANCE_PROVIDERS")</f>
        <v>#NAME?</v>
      </c>
      <c r="O872" t="e">
        <f ca="1">BDP("792609AL Muni","GB_PROJECT_SELECTION_PROCESS")</f>
        <v>#NAME?</v>
      </c>
      <c r="P872" t="e">
        <f ca="1">BDP("792609AL Muni","ESG_FRAMEWORK_INDICATOR")</f>
        <v>#NAME?</v>
      </c>
      <c r="Q872" t="e">
        <f ca="1">BDP("792609AL Muni","BLOOMBERG_SECTOR_CODE")</f>
        <v>#NAME?</v>
      </c>
      <c r="R872" t="e">
        <f ca="1">BDP("792609AL Muni","ISSUER_TYPE")</f>
        <v>#NAME?</v>
      </c>
      <c r="S872" t="e">
        <f ca="1">BDS("792609AL Muni","ESG_PROJECT_CATEGORY", "aggregate=y")</f>
        <v>#NAME?</v>
      </c>
      <c r="T872" t="e">
        <f ca="1">BDS("792609AL Muni","ESG_PROJECT_SUBCATEGORY", "aggregate=y")</f>
        <v>#NAME?</v>
      </c>
    </row>
    <row r="873" spans="1:20" x14ac:dyDescent="0.25">
      <c r="A873" t="e">
        <f ca="1">BDP("613326AB Muni","ID_CUSIP")</f>
        <v>#NAME?</v>
      </c>
      <c r="B873" t="e">
        <f ca="1">BDP("613326AB Muni","STATE_CODE")</f>
        <v>#NAME?</v>
      </c>
      <c r="C873" t="s">
        <v>59</v>
      </c>
      <c r="D873" t="e">
        <f ca="1">BDP("613326AB Muni","YIELD_ON_ISSUE_DATE")</f>
        <v>#NAME?</v>
      </c>
      <c r="E873">
        <v>60000</v>
      </c>
      <c r="F873" t="e">
        <f ca="1">BDP("613326AB Muni","ISSUE_DT")</f>
        <v>#NAME?</v>
      </c>
      <c r="G873" t="e">
        <f ca="1">BDP("613326AB Muni","MATURITY")</f>
        <v>#NAME?</v>
      </c>
      <c r="H873" t="e">
        <f ca="1">BDP("613326AB Muni","MUNI_TAX_PROV")</f>
        <v>#NAME?</v>
      </c>
      <c r="I873" t="e">
        <f ca="1">BDP("613326AB Muni","FINANCING_TYPE")</f>
        <v>#NAME?</v>
      </c>
      <c r="J873" t="e">
        <f ca="1">BDP("613326AB Muni","BICS_LEVEL_2_INDUSTRY_GROUP_NAME")</f>
        <v>#NAME?</v>
      </c>
      <c r="K873" t="e">
        <f ca="1">BDP("613326AB Muni","SELF_REPRTD_GREEN_INSTR_INDCTR")</f>
        <v>#NAME?</v>
      </c>
      <c r="L873" t="e">
        <f ca="1">BDP("613326AB Muni","GB_MANAGEMENT_PROCEEDS")</f>
        <v>#NAME?</v>
      </c>
      <c r="M873" t="e">
        <f ca="1">BDP("613326AB Muni","GB_REPORTING")</f>
        <v>#NAME?</v>
      </c>
      <c r="N873" t="e">
        <f ca="1">BDP("613326AB Muni","GB_ASSURANCE_PROVIDERS")</f>
        <v>#NAME?</v>
      </c>
      <c r="O873" t="e">
        <f ca="1">BDP("613326AB Muni","GB_PROJECT_SELECTION_PROCESS")</f>
        <v>#NAME?</v>
      </c>
      <c r="P873" t="e">
        <f ca="1">BDP("613326AB Muni","ESG_FRAMEWORK_INDICATOR")</f>
        <v>#NAME?</v>
      </c>
      <c r="Q873" t="e">
        <f ca="1">BDP("613326AB Muni","BLOOMBERG_SECTOR_CODE")</f>
        <v>#NAME?</v>
      </c>
      <c r="R873" t="e">
        <f ca="1">BDP("613326AB Muni","ISSUER_TYPE")</f>
        <v>#NAME?</v>
      </c>
      <c r="S873" t="e">
        <f ca="1">BDS("613326AB Muni","ESG_PROJECT_CATEGORY", "aggregate=y")</f>
        <v>#NAME?</v>
      </c>
      <c r="T873" t="e">
        <f ca="1">BDS("613326AB Muni","ESG_PROJECT_SUBCATEGORY", "aggregate=y")</f>
        <v>#NAME?</v>
      </c>
    </row>
    <row r="874" spans="1:20" x14ac:dyDescent="0.25">
      <c r="A874" t="e">
        <f ca="1">BDP("613326AK Muni","ID_CUSIP")</f>
        <v>#NAME?</v>
      </c>
      <c r="B874" t="e">
        <f ca="1">BDP("613326AK Muni","STATE_CODE")</f>
        <v>#NAME?</v>
      </c>
      <c r="C874" t="s">
        <v>59</v>
      </c>
      <c r="D874" t="e">
        <f ca="1">BDP("613326AK Muni","YIELD_ON_ISSUE_DATE")</f>
        <v>#NAME?</v>
      </c>
      <c r="E874">
        <v>430000</v>
      </c>
      <c r="F874" t="e">
        <f ca="1">BDP("613326AK Muni","ISSUE_DT")</f>
        <v>#NAME?</v>
      </c>
      <c r="G874" t="e">
        <f ca="1">BDP("613326AK Muni","MATURITY")</f>
        <v>#NAME?</v>
      </c>
      <c r="H874" t="e">
        <f ca="1">BDP("613326AK Muni","MUNI_TAX_PROV")</f>
        <v>#NAME?</v>
      </c>
      <c r="I874" t="e">
        <f ca="1">BDP("613326AK Muni","FINANCING_TYPE")</f>
        <v>#NAME?</v>
      </c>
      <c r="J874" t="e">
        <f ca="1">BDP("613326AK Muni","BICS_LEVEL_2_INDUSTRY_GROUP_NAME")</f>
        <v>#NAME?</v>
      </c>
      <c r="K874" t="e">
        <f ca="1">BDP("613326AK Muni","SELF_REPRTD_GREEN_INSTR_INDCTR")</f>
        <v>#NAME?</v>
      </c>
      <c r="L874" t="e">
        <f ca="1">BDP("613326AK Muni","GB_MANAGEMENT_PROCEEDS")</f>
        <v>#NAME?</v>
      </c>
      <c r="M874" t="e">
        <f ca="1">BDP("613326AK Muni","GB_REPORTING")</f>
        <v>#NAME?</v>
      </c>
      <c r="N874" t="e">
        <f ca="1">BDP("613326AK Muni","GB_ASSURANCE_PROVIDERS")</f>
        <v>#NAME?</v>
      </c>
      <c r="O874" t="e">
        <f ca="1">BDP("613326AK Muni","GB_PROJECT_SELECTION_PROCESS")</f>
        <v>#NAME?</v>
      </c>
      <c r="P874" t="e">
        <f ca="1">BDP("613326AK Muni","ESG_FRAMEWORK_INDICATOR")</f>
        <v>#NAME?</v>
      </c>
      <c r="Q874" t="e">
        <f ca="1">BDP("613326AK Muni","BLOOMBERG_SECTOR_CODE")</f>
        <v>#NAME?</v>
      </c>
      <c r="R874" t="e">
        <f ca="1">BDP("613326AK Muni","ISSUER_TYPE")</f>
        <v>#NAME?</v>
      </c>
      <c r="S874" t="e">
        <f ca="1">BDS("613326AK Muni","ESG_PROJECT_CATEGORY", "aggregate=y")</f>
        <v>#NAME?</v>
      </c>
      <c r="T874" t="e">
        <f ca="1">BDS("613326AK Muni","ESG_PROJECT_SUBCATEGORY", "aggregate=y")</f>
        <v>#NAME?</v>
      </c>
    </row>
    <row r="875" spans="1:20" x14ac:dyDescent="0.25">
      <c r="A875" t="e">
        <f ca="1">BDP("613326AQ Muni","ID_CUSIP")</f>
        <v>#NAME?</v>
      </c>
      <c r="B875" t="e">
        <f ca="1">BDP("613326AQ Muni","STATE_CODE")</f>
        <v>#NAME?</v>
      </c>
      <c r="C875" t="s">
        <v>59</v>
      </c>
      <c r="D875" t="e">
        <f ca="1">BDP("613326AQ Muni","YIELD_ON_ISSUE_DATE")</f>
        <v>#NAME?</v>
      </c>
      <c r="E875">
        <v>605000</v>
      </c>
      <c r="F875" t="e">
        <f ca="1">BDP("613326AQ Muni","ISSUE_DT")</f>
        <v>#NAME?</v>
      </c>
      <c r="G875" t="e">
        <f ca="1">BDP("613326AQ Muni","MATURITY")</f>
        <v>#NAME?</v>
      </c>
      <c r="H875" t="e">
        <f ca="1">BDP("613326AQ Muni","MUNI_TAX_PROV")</f>
        <v>#NAME?</v>
      </c>
      <c r="I875" t="e">
        <f ca="1">BDP("613326AQ Muni","FINANCING_TYPE")</f>
        <v>#NAME?</v>
      </c>
      <c r="J875" t="e">
        <f ca="1">BDP("613326AQ Muni","BICS_LEVEL_2_INDUSTRY_GROUP_NAME")</f>
        <v>#NAME?</v>
      </c>
      <c r="K875" t="e">
        <f ca="1">BDP("613326AQ Muni","SELF_REPRTD_GREEN_INSTR_INDCTR")</f>
        <v>#NAME?</v>
      </c>
      <c r="L875" t="e">
        <f ca="1">BDP("613326AQ Muni","GB_MANAGEMENT_PROCEEDS")</f>
        <v>#NAME?</v>
      </c>
      <c r="M875" t="e">
        <f ca="1">BDP("613326AQ Muni","GB_REPORTING")</f>
        <v>#NAME?</v>
      </c>
      <c r="N875" t="e">
        <f ca="1">BDP("613326AQ Muni","GB_ASSURANCE_PROVIDERS")</f>
        <v>#NAME?</v>
      </c>
      <c r="O875" t="e">
        <f ca="1">BDP("613326AQ Muni","GB_PROJECT_SELECTION_PROCESS")</f>
        <v>#NAME?</v>
      </c>
      <c r="P875" t="e">
        <f ca="1">BDP("613326AQ Muni","ESG_FRAMEWORK_INDICATOR")</f>
        <v>#NAME?</v>
      </c>
      <c r="Q875" t="e">
        <f ca="1">BDP("613326AQ Muni","BLOOMBERG_SECTOR_CODE")</f>
        <v>#NAME?</v>
      </c>
      <c r="R875" t="e">
        <f ca="1">BDP("613326AQ Muni","ISSUER_TYPE")</f>
        <v>#NAME?</v>
      </c>
      <c r="S875" t="e">
        <f ca="1">BDS("613326AQ Muni","ESG_PROJECT_CATEGORY", "aggregate=y")</f>
        <v>#NAME?</v>
      </c>
      <c r="T875" t="e">
        <f ca="1">BDS("613326AQ Muni","ESG_PROJECT_SUBCATEGORY", "aggregate=y")</f>
        <v>#NAME?</v>
      </c>
    </row>
    <row r="876" spans="1:20" x14ac:dyDescent="0.25">
      <c r="A876" t="e">
        <f ca="1">BDP("236670BE Muni","ID_CUSIP")</f>
        <v>#NAME?</v>
      </c>
      <c r="B876" t="e">
        <f ca="1">BDP("236670BE Muni","STATE_CODE")</f>
        <v>#NAME?</v>
      </c>
      <c r="C876" t="s">
        <v>60</v>
      </c>
      <c r="D876" t="e">
        <f ca="1">BDP("236670BE Muni","YIELD_ON_ISSUE_DATE")</f>
        <v>#NAME?</v>
      </c>
      <c r="E876">
        <v>15000</v>
      </c>
      <c r="F876" t="e">
        <f ca="1">BDP("236670BE Muni","ISSUE_DT")</f>
        <v>#NAME?</v>
      </c>
      <c r="G876" t="e">
        <f ca="1">BDP("236670BE Muni","MATURITY")</f>
        <v>#NAME?</v>
      </c>
      <c r="H876" t="e">
        <f ca="1">BDP("236670BE Muni","MUNI_TAX_PROV")</f>
        <v>#NAME?</v>
      </c>
      <c r="I876" t="e">
        <f ca="1">BDP("236670BE Muni","FINANCING_TYPE")</f>
        <v>#NAME?</v>
      </c>
      <c r="J876" t="e">
        <f ca="1">BDP("236670BE Muni","BICS_LEVEL_2_INDUSTRY_GROUP_NAME")</f>
        <v>#NAME?</v>
      </c>
      <c r="K876" t="e">
        <f ca="1">BDP("236670BE Muni","SELF_REPRTD_GREEN_INSTR_INDCTR")</f>
        <v>#NAME?</v>
      </c>
      <c r="L876" t="e">
        <f ca="1">BDP("236670BE Muni","GB_MANAGEMENT_PROCEEDS")</f>
        <v>#NAME?</v>
      </c>
      <c r="M876" t="e">
        <f ca="1">BDP("236670BE Muni","GB_REPORTING")</f>
        <v>#NAME?</v>
      </c>
      <c r="N876" t="e">
        <f ca="1">BDP("236670BE Muni","GB_ASSURANCE_PROVIDERS")</f>
        <v>#NAME?</v>
      </c>
      <c r="O876" t="e">
        <f ca="1">BDP("236670BE Muni","GB_PROJECT_SELECTION_PROCESS")</f>
        <v>#NAME?</v>
      </c>
      <c r="P876" t="e">
        <f ca="1">BDP("236670BE Muni","ESG_FRAMEWORK_INDICATOR")</f>
        <v>#NAME?</v>
      </c>
      <c r="Q876" t="e">
        <f ca="1">BDP("236670BE Muni","BLOOMBERG_SECTOR_CODE")</f>
        <v>#NAME?</v>
      </c>
      <c r="R876" t="e">
        <f ca="1">BDP("236670BE Muni","ISSUER_TYPE")</f>
        <v>#NAME?</v>
      </c>
      <c r="S876" t="e">
        <f ca="1">BDS("236670BE Muni","ESG_PROJECT_CATEGORY", "aggregate=y")</f>
        <v>#NAME?</v>
      </c>
      <c r="T876" t="e">
        <f ca="1">BDS("236670BE Muni","ESG_PROJECT_SUBCATEGORY", "aggregate=y")</f>
        <v>#NAME?</v>
      </c>
    </row>
    <row r="877" spans="1:20" x14ac:dyDescent="0.25">
      <c r="A877" t="e">
        <f ca="1">BDP("236670BF Muni","ID_CUSIP")</f>
        <v>#NAME?</v>
      </c>
      <c r="B877" t="e">
        <f ca="1">BDP("236670BF Muni","STATE_CODE")</f>
        <v>#NAME?</v>
      </c>
      <c r="C877" t="s">
        <v>60</v>
      </c>
      <c r="D877" t="e">
        <f ca="1">BDP("236670BF Muni","YIELD_ON_ISSUE_DATE")</f>
        <v>#NAME?</v>
      </c>
      <c r="E877">
        <v>170000</v>
      </c>
      <c r="F877" t="e">
        <f ca="1">BDP("236670BF Muni","ISSUE_DT")</f>
        <v>#NAME?</v>
      </c>
      <c r="G877" t="e">
        <f ca="1">BDP("236670BF Muni","MATURITY")</f>
        <v>#NAME?</v>
      </c>
      <c r="H877" t="e">
        <f ca="1">BDP("236670BF Muni","MUNI_TAX_PROV")</f>
        <v>#NAME?</v>
      </c>
      <c r="I877" t="e">
        <f ca="1">BDP("236670BF Muni","FINANCING_TYPE")</f>
        <v>#NAME?</v>
      </c>
      <c r="J877" t="e">
        <f ca="1">BDP("236670BF Muni","BICS_LEVEL_2_INDUSTRY_GROUP_NAME")</f>
        <v>#NAME?</v>
      </c>
      <c r="K877" t="e">
        <f ca="1">BDP("236670BF Muni","SELF_REPRTD_GREEN_INSTR_INDCTR")</f>
        <v>#NAME?</v>
      </c>
      <c r="L877" t="e">
        <f ca="1">BDP("236670BF Muni","GB_MANAGEMENT_PROCEEDS")</f>
        <v>#NAME?</v>
      </c>
      <c r="M877" t="e">
        <f ca="1">BDP("236670BF Muni","GB_REPORTING")</f>
        <v>#NAME?</v>
      </c>
      <c r="N877" t="e">
        <f ca="1">BDP("236670BF Muni","GB_ASSURANCE_PROVIDERS")</f>
        <v>#NAME?</v>
      </c>
      <c r="O877" t="e">
        <f ca="1">BDP("236670BF Muni","GB_PROJECT_SELECTION_PROCESS")</f>
        <v>#NAME?</v>
      </c>
      <c r="P877" t="e">
        <f ca="1">BDP("236670BF Muni","ESG_FRAMEWORK_INDICATOR")</f>
        <v>#NAME?</v>
      </c>
      <c r="Q877" t="e">
        <f ca="1">BDP("236670BF Muni","BLOOMBERG_SECTOR_CODE")</f>
        <v>#NAME?</v>
      </c>
      <c r="R877" t="e">
        <f ca="1">BDP("236670BF Muni","ISSUER_TYPE")</f>
        <v>#NAME?</v>
      </c>
      <c r="S877" t="e">
        <f ca="1">BDS("236670BF Muni","ESG_PROJECT_CATEGORY", "aggregate=y")</f>
        <v>#NAME?</v>
      </c>
      <c r="T877" t="e">
        <f ca="1">BDS("236670BF Muni","ESG_PROJECT_SUBCATEGORY", "aggregate=y")</f>
        <v>#NAME?</v>
      </c>
    </row>
    <row r="878" spans="1:20" x14ac:dyDescent="0.25">
      <c r="A878" t="e">
        <f ca="1">BDP("236670BK Muni","ID_CUSIP")</f>
        <v>#NAME?</v>
      </c>
      <c r="B878" t="e">
        <f ca="1">BDP("236670BK Muni","STATE_CODE")</f>
        <v>#NAME?</v>
      </c>
      <c r="C878" t="s">
        <v>60</v>
      </c>
      <c r="D878" t="e">
        <f ca="1">BDP("236670BK Muni","YIELD_ON_ISSUE_DATE")</f>
        <v>#NAME?</v>
      </c>
      <c r="E878">
        <v>45000</v>
      </c>
      <c r="F878" t="e">
        <f ca="1">BDP("236670BK Muni","ISSUE_DT")</f>
        <v>#NAME?</v>
      </c>
      <c r="G878" t="e">
        <f ca="1">BDP("236670BK Muni","MATURITY")</f>
        <v>#NAME?</v>
      </c>
      <c r="H878" t="e">
        <f ca="1">BDP("236670BK Muni","MUNI_TAX_PROV")</f>
        <v>#NAME?</v>
      </c>
      <c r="I878" t="e">
        <f ca="1">BDP("236670BK Muni","FINANCING_TYPE")</f>
        <v>#NAME?</v>
      </c>
      <c r="J878" t="e">
        <f ca="1">BDP("236670BK Muni","BICS_LEVEL_2_INDUSTRY_GROUP_NAME")</f>
        <v>#NAME?</v>
      </c>
      <c r="K878" t="e">
        <f ca="1">BDP("236670BK Muni","SELF_REPRTD_GREEN_INSTR_INDCTR")</f>
        <v>#NAME?</v>
      </c>
      <c r="L878" t="e">
        <f ca="1">BDP("236670BK Muni","GB_MANAGEMENT_PROCEEDS")</f>
        <v>#NAME?</v>
      </c>
      <c r="M878" t="e">
        <f ca="1">BDP("236670BK Muni","GB_REPORTING")</f>
        <v>#NAME?</v>
      </c>
      <c r="N878" t="e">
        <f ca="1">BDP("236670BK Muni","GB_ASSURANCE_PROVIDERS")</f>
        <v>#NAME?</v>
      </c>
      <c r="O878" t="e">
        <f ca="1">BDP("236670BK Muni","GB_PROJECT_SELECTION_PROCESS")</f>
        <v>#NAME?</v>
      </c>
      <c r="P878" t="e">
        <f ca="1">BDP("236670BK Muni","ESG_FRAMEWORK_INDICATOR")</f>
        <v>#NAME?</v>
      </c>
      <c r="Q878" t="e">
        <f ca="1">BDP("236670BK Muni","BLOOMBERG_SECTOR_CODE")</f>
        <v>#NAME?</v>
      </c>
      <c r="R878" t="e">
        <f ca="1">BDP("236670BK Muni","ISSUER_TYPE")</f>
        <v>#NAME?</v>
      </c>
      <c r="S878" t="e">
        <f ca="1">BDS("236670BK Muni","ESG_PROJECT_CATEGORY", "aggregate=y")</f>
        <v>#NAME?</v>
      </c>
      <c r="T878" t="e">
        <f ca="1">BDS("236670BK Muni","ESG_PROJECT_SUBCATEGORY", "aggregate=y")</f>
        <v>#NAME?</v>
      </c>
    </row>
    <row r="879" spans="1:20" x14ac:dyDescent="0.25">
      <c r="A879" t="e">
        <f ca="1">BDP("236670BM Muni","ID_CUSIP")</f>
        <v>#NAME?</v>
      </c>
      <c r="B879" t="e">
        <f ca="1">BDP("236670BM Muni","STATE_CODE")</f>
        <v>#NAME?</v>
      </c>
      <c r="C879" t="s">
        <v>60</v>
      </c>
      <c r="D879" t="e">
        <f ca="1">BDP("236670BM Muni","YIELD_ON_ISSUE_DATE")</f>
        <v>#NAME?</v>
      </c>
      <c r="E879">
        <v>55000</v>
      </c>
      <c r="F879" t="e">
        <f ca="1">BDP("236670BM Muni","ISSUE_DT")</f>
        <v>#NAME?</v>
      </c>
      <c r="G879" t="e">
        <f ca="1">BDP("236670BM Muni","MATURITY")</f>
        <v>#NAME?</v>
      </c>
      <c r="H879" t="e">
        <f ca="1">BDP("236670BM Muni","MUNI_TAX_PROV")</f>
        <v>#NAME?</v>
      </c>
      <c r="I879" t="e">
        <f ca="1">BDP("236670BM Muni","FINANCING_TYPE")</f>
        <v>#NAME?</v>
      </c>
      <c r="J879" t="e">
        <f ca="1">BDP("236670BM Muni","BICS_LEVEL_2_INDUSTRY_GROUP_NAME")</f>
        <v>#NAME?</v>
      </c>
      <c r="K879" t="e">
        <f ca="1">BDP("236670BM Muni","SELF_REPRTD_GREEN_INSTR_INDCTR")</f>
        <v>#NAME?</v>
      </c>
      <c r="L879" t="e">
        <f ca="1">BDP("236670BM Muni","GB_MANAGEMENT_PROCEEDS")</f>
        <v>#NAME?</v>
      </c>
      <c r="M879" t="e">
        <f ca="1">BDP("236670BM Muni","GB_REPORTING")</f>
        <v>#NAME?</v>
      </c>
      <c r="N879" t="e">
        <f ca="1">BDP("236670BM Muni","GB_ASSURANCE_PROVIDERS")</f>
        <v>#NAME?</v>
      </c>
      <c r="O879" t="e">
        <f ca="1">BDP("236670BM Muni","GB_PROJECT_SELECTION_PROCESS")</f>
        <v>#NAME?</v>
      </c>
      <c r="P879" t="e">
        <f ca="1">BDP("236670BM Muni","ESG_FRAMEWORK_INDICATOR")</f>
        <v>#NAME?</v>
      </c>
      <c r="Q879" t="e">
        <f ca="1">BDP("236670BM Muni","BLOOMBERG_SECTOR_CODE")</f>
        <v>#NAME?</v>
      </c>
      <c r="R879" t="e">
        <f ca="1">BDP("236670BM Muni","ISSUER_TYPE")</f>
        <v>#NAME?</v>
      </c>
      <c r="S879" t="e">
        <f ca="1">BDS("236670BM Muni","ESG_PROJECT_CATEGORY", "aggregate=y")</f>
        <v>#NAME?</v>
      </c>
      <c r="T879" t="e">
        <f ca="1">BDS("236670BM Muni","ESG_PROJECT_SUBCATEGORY", "aggregate=y")</f>
        <v>#NAME?</v>
      </c>
    </row>
    <row r="880" spans="1:20" x14ac:dyDescent="0.25">
      <c r="A880" t="e">
        <f ca="1">BDP("236670BN Muni","ID_CUSIP")</f>
        <v>#NAME?</v>
      </c>
      <c r="B880" t="e">
        <f ca="1">BDP("236670BN Muni","STATE_CODE")</f>
        <v>#NAME?</v>
      </c>
      <c r="C880" t="s">
        <v>60</v>
      </c>
      <c r="D880" t="e">
        <f ca="1">BDP("236670BN Muni","YIELD_ON_ISSUE_DATE")</f>
        <v>#NAME?</v>
      </c>
      <c r="E880">
        <v>60000</v>
      </c>
      <c r="F880" t="e">
        <f ca="1">BDP("236670BN Muni","ISSUE_DT")</f>
        <v>#NAME?</v>
      </c>
      <c r="G880" t="e">
        <f ca="1">BDP("236670BN Muni","MATURITY")</f>
        <v>#NAME?</v>
      </c>
      <c r="H880" t="e">
        <f ca="1">BDP("236670BN Muni","MUNI_TAX_PROV")</f>
        <v>#NAME?</v>
      </c>
      <c r="I880" t="e">
        <f ca="1">BDP("236670BN Muni","FINANCING_TYPE")</f>
        <v>#NAME?</v>
      </c>
      <c r="J880" t="e">
        <f ca="1">BDP("236670BN Muni","BICS_LEVEL_2_INDUSTRY_GROUP_NAME")</f>
        <v>#NAME?</v>
      </c>
      <c r="K880" t="e">
        <f ca="1">BDP("236670BN Muni","SELF_REPRTD_GREEN_INSTR_INDCTR")</f>
        <v>#NAME?</v>
      </c>
      <c r="L880" t="e">
        <f ca="1">BDP("236670BN Muni","GB_MANAGEMENT_PROCEEDS")</f>
        <v>#NAME?</v>
      </c>
      <c r="M880" t="e">
        <f ca="1">BDP("236670BN Muni","GB_REPORTING")</f>
        <v>#NAME?</v>
      </c>
      <c r="N880" t="e">
        <f ca="1">BDP("236670BN Muni","GB_ASSURANCE_PROVIDERS")</f>
        <v>#NAME?</v>
      </c>
      <c r="O880" t="e">
        <f ca="1">BDP("236670BN Muni","GB_PROJECT_SELECTION_PROCESS")</f>
        <v>#NAME?</v>
      </c>
      <c r="P880" t="e">
        <f ca="1">BDP("236670BN Muni","ESG_FRAMEWORK_INDICATOR")</f>
        <v>#NAME?</v>
      </c>
      <c r="Q880" t="e">
        <f ca="1">BDP("236670BN Muni","BLOOMBERG_SECTOR_CODE")</f>
        <v>#NAME?</v>
      </c>
      <c r="R880" t="e">
        <f ca="1">BDP("236670BN Muni","ISSUER_TYPE")</f>
        <v>#NAME?</v>
      </c>
      <c r="S880" t="e">
        <f ca="1">BDS("236670BN Muni","ESG_PROJECT_CATEGORY", "aggregate=y")</f>
        <v>#NAME?</v>
      </c>
      <c r="T880" t="e">
        <f ca="1">BDS("236670BN Muni","ESG_PROJECT_SUBCATEGORY", "aggregate=y")</f>
        <v>#NAME?</v>
      </c>
    </row>
    <row r="881" spans="1:20" x14ac:dyDescent="0.25">
      <c r="A881" t="e">
        <f ca="1">BDP("236670BP Muni","ID_CUSIP")</f>
        <v>#NAME?</v>
      </c>
      <c r="B881" t="e">
        <f ca="1">BDP("236670BP Muni","STATE_CODE")</f>
        <v>#NAME?</v>
      </c>
      <c r="C881" t="s">
        <v>60</v>
      </c>
      <c r="D881" t="e">
        <f ca="1">BDP("236670BP Muni","YIELD_ON_ISSUE_DATE")</f>
        <v>#NAME?</v>
      </c>
      <c r="E881">
        <v>65000</v>
      </c>
      <c r="F881" t="e">
        <f ca="1">BDP("236670BP Muni","ISSUE_DT")</f>
        <v>#NAME?</v>
      </c>
      <c r="G881" t="e">
        <f ca="1">BDP("236670BP Muni","MATURITY")</f>
        <v>#NAME?</v>
      </c>
      <c r="H881" t="e">
        <f ca="1">BDP("236670BP Muni","MUNI_TAX_PROV")</f>
        <v>#NAME?</v>
      </c>
      <c r="I881" t="e">
        <f ca="1">BDP("236670BP Muni","FINANCING_TYPE")</f>
        <v>#NAME?</v>
      </c>
      <c r="J881" t="e">
        <f ca="1">BDP("236670BP Muni","BICS_LEVEL_2_INDUSTRY_GROUP_NAME")</f>
        <v>#NAME?</v>
      </c>
      <c r="K881" t="e">
        <f ca="1">BDP("236670BP Muni","SELF_REPRTD_GREEN_INSTR_INDCTR")</f>
        <v>#NAME?</v>
      </c>
      <c r="L881" t="e">
        <f ca="1">BDP("236670BP Muni","GB_MANAGEMENT_PROCEEDS")</f>
        <v>#NAME?</v>
      </c>
      <c r="M881" t="e">
        <f ca="1">BDP("236670BP Muni","GB_REPORTING")</f>
        <v>#NAME?</v>
      </c>
      <c r="N881" t="e">
        <f ca="1">BDP("236670BP Muni","GB_ASSURANCE_PROVIDERS")</f>
        <v>#NAME?</v>
      </c>
      <c r="O881" t="e">
        <f ca="1">BDP("236670BP Muni","GB_PROJECT_SELECTION_PROCESS")</f>
        <v>#NAME?</v>
      </c>
      <c r="P881" t="e">
        <f ca="1">BDP("236670BP Muni","ESG_FRAMEWORK_INDICATOR")</f>
        <v>#NAME?</v>
      </c>
      <c r="Q881" t="e">
        <f ca="1">BDP("236670BP Muni","BLOOMBERG_SECTOR_CODE")</f>
        <v>#NAME?</v>
      </c>
      <c r="R881" t="e">
        <f ca="1">BDP("236670BP Muni","ISSUER_TYPE")</f>
        <v>#NAME?</v>
      </c>
      <c r="S881" t="e">
        <f ca="1">BDS("236670BP Muni","ESG_PROJECT_CATEGORY", "aggregate=y")</f>
        <v>#NAME?</v>
      </c>
      <c r="T881" t="e">
        <f ca="1">BDS("236670BP Muni","ESG_PROJECT_SUBCATEGORY", "aggregate=y")</f>
        <v>#NAME?</v>
      </c>
    </row>
    <row r="882" spans="1:20" x14ac:dyDescent="0.25">
      <c r="A882" t="e">
        <f ca="1">BDP("236670BQ Muni","ID_CUSIP")</f>
        <v>#NAME?</v>
      </c>
      <c r="B882" t="e">
        <f ca="1">BDP("236670BQ Muni","STATE_CODE")</f>
        <v>#NAME?</v>
      </c>
      <c r="C882" t="s">
        <v>60</v>
      </c>
      <c r="D882" t="e">
        <f ca="1">BDP("236670BQ Muni","YIELD_ON_ISSUE_DATE")</f>
        <v>#NAME?</v>
      </c>
      <c r="E882">
        <v>70000</v>
      </c>
      <c r="F882" t="e">
        <f ca="1">BDP("236670BQ Muni","ISSUE_DT")</f>
        <v>#NAME?</v>
      </c>
      <c r="G882" t="e">
        <f ca="1">BDP("236670BQ Muni","MATURITY")</f>
        <v>#NAME?</v>
      </c>
      <c r="H882" t="e">
        <f ca="1">BDP("236670BQ Muni","MUNI_TAX_PROV")</f>
        <v>#NAME?</v>
      </c>
      <c r="I882" t="e">
        <f ca="1">BDP("236670BQ Muni","FINANCING_TYPE")</f>
        <v>#NAME?</v>
      </c>
      <c r="J882" t="e">
        <f ca="1">BDP("236670BQ Muni","BICS_LEVEL_2_INDUSTRY_GROUP_NAME")</f>
        <v>#NAME?</v>
      </c>
      <c r="K882" t="e">
        <f ca="1">BDP("236670BQ Muni","SELF_REPRTD_GREEN_INSTR_INDCTR")</f>
        <v>#NAME?</v>
      </c>
      <c r="L882" t="e">
        <f ca="1">BDP("236670BQ Muni","GB_MANAGEMENT_PROCEEDS")</f>
        <v>#NAME?</v>
      </c>
      <c r="M882" t="e">
        <f ca="1">BDP("236670BQ Muni","GB_REPORTING")</f>
        <v>#NAME?</v>
      </c>
      <c r="N882" t="e">
        <f ca="1">BDP("236670BQ Muni","GB_ASSURANCE_PROVIDERS")</f>
        <v>#NAME?</v>
      </c>
      <c r="O882" t="e">
        <f ca="1">BDP("236670BQ Muni","GB_PROJECT_SELECTION_PROCESS")</f>
        <v>#NAME?</v>
      </c>
      <c r="P882" t="e">
        <f ca="1">BDP("236670BQ Muni","ESG_FRAMEWORK_INDICATOR")</f>
        <v>#NAME?</v>
      </c>
      <c r="Q882" t="e">
        <f ca="1">BDP("236670BQ Muni","BLOOMBERG_SECTOR_CODE")</f>
        <v>#NAME?</v>
      </c>
      <c r="R882" t="e">
        <f ca="1">BDP("236670BQ Muni","ISSUER_TYPE")</f>
        <v>#NAME?</v>
      </c>
      <c r="S882" t="e">
        <f ca="1">BDS("236670BQ Muni","ESG_PROJECT_CATEGORY", "aggregate=y")</f>
        <v>#NAME?</v>
      </c>
      <c r="T882" t="e">
        <f ca="1">BDS("236670BQ Muni","ESG_PROJECT_SUBCATEGORY", "aggregate=y")</f>
        <v>#NAME?</v>
      </c>
    </row>
    <row r="883" spans="1:20" x14ac:dyDescent="0.25">
      <c r="A883" t="e">
        <f ca="1">BDP("236670BR Muni","ID_CUSIP")</f>
        <v>#NAME?</v>
      </c>
      <c r="B883" t="e">
        <f ca="1">BDP("236670BR Muni","STATE_CODE")</f>
        <v>#NAME?</v>
      </c>
      <c r="C883" t="s">
        <v>60</v>
      </c>
      <c r="D883" t="e">
        <f ca="1">BDP("236670BR Muni","YIELD_ON_ISSUE_DATE")</f>
        <v>#NAME?</v>
      </c>
      <c r="E883">
        <v>80000</v>
      </c>
      <c r="F883" t="e">
        <f ca="1">BDP("236670BR Muni","ISSUE_DT")</f>
        <v>#NAME?</v>
      </c>
      <c r="G883" t="e">
        <f ca="1">BDP("236670BR Muni","MATURITY")</f>
        <v>#NAME?</v>
      </c>
      <c r="H883" t="e">
        <f ca="1">BDP("236670BR Muni","MUNI_TAX_PROV")</f>
        <v>#NAME?</v>
      </c>
      <c r="I883" t="e">
        <f ca="1">BDP("236670BR Muni","FINANCING_TYPE")</f>
        <v>#NAME?</v>
      </c>
      <c r="J883" t="e">
        <f ca="1">BDP("236670BR Muni","BICS_LEVEL_2_INDUSTRY_GROUP_NAME")</f>
        <v>#NAME?</v>
      </c>
      <c r="K883" t="e">
        <f ca="1">BDP("236670BR Muni","SELF_REPRTD_GREEN_INSTR_INDCTR")</f>
        <v>#NAME?</v>
      </c>
      <c r="L883" t="e">
        <f ca="1">BDP("236670BR Muni","GB_MANAGEMENT_PROCEEDS")</f>
        <v>#NAME?</v>
      </c>
      <c r="M883" t="e">
        <f ca="1">BDP("236670BR Muni","GB_REPORTING")</f>
        <v>#NAME?</v>
      </c>
      <c r="N883" t="e">
        <f ca="1">BDP("236670BR Muni","GB_ASSURANCE_PROVIDERS")</f>
        <v>#NAME?</v>
      </c>
      <c r="O883" t="e">
        <f ca="1">BDP("236670BR Muni","GB_PROJECT_SELECTION_PROCESS")</f>
        <v>#NAME?</v>
      </c>
      <c r="P883" t="e">
        <f ca="1">BDP("236670BR Muni","ESG_FRAMEWORK_INDICATOR")</f>
        <v>#NAME?</v>
      </c>
      <c r="Q883" t="e">
        <f ca="1">BDP("236670BR Muni","BLOOMBERG_SECTOR_CODE")</f>
        <v>#NAME?</v>
      </c>
      <c r="R883" t="e">
        <f ca="1">BDP("236670BR Muni","ISSUER_TYPE")</f>
        <v>#NAME?</v>
      </c>
      <c r="S883" t="e">
        <f ca="1">BDS("236670BR Muni","ESG_PROJECT_CATEGORY", "aggregate=y")</f>
        <v>#NAME?</v>
      </c>
      <c r="T883" t="e">
        <f ca="1">BDS("236670BR Muni","ESG_PROJECT_SUBCATEGORY", "aggregate=y")</f>
        <v>#NAME?</v>
      </c>
    </row>
    <row r="884" spans="1:20" x14ac:dyDescent="0.25">
      <c r="A884" t="e">
        <f ca="1">BDP("236670BS Muni","ID_CUSIP")</f>
        <v>#NAME?</v>
      </c>
      <c r="B884" t="e">
        <f ca="1">BDP("236670BS Muni","STATE_CODE")</f>
        <v>#NAME?</v>
      </c>
      <c r="C884" t="s">
        <v>60</v>
      </c>
      <c r="D884" t="e">
        <f ca="1">BDP("236670BS Muni","YIELD_ON_ISSUE_DATE")</f>
        <v>#NAME?</v>
      </c>
      <c r="E884">
        <v>85000</v>
      </c>
      <c r="F884" t="e">
        <f ca="1">BDP("236670BS Muni","ISSUE_DT")</f>
        <v>#NAME?</v>
      </c>
      <c r="G884" t="e">
        <f ca="1">BDP("236670BS Muni","MATURITY")</f>
        <v>#NAME?</v>
      </c>
      <c r="H884" t="e">
        <f ca="1">BDP("236670BS Muni","MUNI_TAX_PROV")</f>
        <v>#NAME?</v>
      </c>
      <c r="I884" t="e">
        <f ca="1">BDP("236670BS Muni","FINANCING_TYPE")</f>
        <v>#NAME?</v>
      </c>
      <c r="J884" t="e">
        <f ca="1">BDP("236670BS Muni","BICS_LEVEL_2_INDUSTRY_GROUP_NAME")</f>
        <v>#NAME?</v>
      </c>
      <c r="K884" t="e">
        <f ca="1">BDP("236670BS Muni","SELF_REPRTD_GREEN_INSTR_INDCTR")</f>
        <v>#NAME?</v>
      </c>
      <c r="L884" t="e">
        <f ca="1">BDP("236670BS Muni","GB_MANAGEMENT_PROCEEDS")</f>
        <v>#NAME?</v>
      </c>
      <c r="M884" t="e">
        <f ca="1">BDP("236670BS Muni","GB_REPORTING")</f>
        <v>#NAME?</v>
      </c>
      <c r="N884" t="e">
        <f ca="1">BDP("236670BS Muni","GB_ASSURANCE_PROVIDERS")</f>
        <v>#NAME?</v>
      </c>
      <c r="O884" t="e">
        <f ca="1">BDP("236670BS Muni","GB_PROJECT_SELECTION_PROCESS")</f>
        <v>#NAME?</v>
      </c>
      <c r="P884" t="e">
        <f ca="1">BDP("236670BS Muni","ESG_FRAMEWORK_INDICATOR")</f>
        <v>#NAME?</v>
      </c>
      <c r="Q884" t="e">
        <f ca="1">BDP("236670BS Muni","BLOOMBERG_SECTOR_CODE")</f>
        <v>#NAME?</v>
      </c>
      <c r="R884" t="e">
        <f ca="1">BDP("236670BS Muni","ISSUER_TYPE")</f>
        <v>#NAME?</v>
      </c>
      <c r="S884" t="e">
        <f ca="1">BDS("236670BS Muni","ESG_PROJECT_CATEGORY", "aggregate=y")</f>
        <v>#NAME?</v>
      </c>
      <c r="T884" t="e">
        <f ca="1">BDS("236670BS Muni","ESG_PROJECT_SUBCATEGORY", "aggregate=y")</f>
        <v>#NAME?</v>
      </c>
    </row>
    <row r="885" spans="1:20" x14ac:dyDescent="0.25">
      <c r="A885" t="e">
        <f ca="1">BDP("236670BT Muni","ID_CUSIP")</f>
        <v>#NAME?</v>
      </c>
      <c r="B885" t="e">
        <f ca="1">BDP("236670BT Muni","STATE_CODE")</f>
        <v>#NAME?</v>
      </c>
      <c r="C885" t="s">
        <v>60</v>
      </c>
      <c r="D885" t="e">
        <f ca="1">BDP("236670BT Muni","YIELD_ON_ISSUE_DATE")</f>
        <v>#NAME?</v>
      </c>
      <c r="E885">
        <v>90000</v>
      </c>
      <c r="F885" t="e">
        <f ca="1">BDP("236670BT Muni","ISSUE_DT")</f>
        <v>#NAME?</v>
      </c>
      <c r="G885" t="e">
        <f ca="1">BDP("236670BT Muni","MATURITY")</f>
        <v>#NAME?</v>
      </c>
      <c r="H885" t="e">
        <f ca="1">BDP("236670BT Muni","MUNI_TAX_PROV")</f>
        <v>#NAME?</v>
      </c>
      <c r="I885" t="e">
        <f ca="1">BDP("236670BT Muni","FINANCING_TYPE")</f>
        <v>#NAME?</v>
      </c>
      <c r="J885" t="e">
        <f ca="1">BDP("236670BT Muni","BICS_LEVEL_2_INDUSTRY_GROUP_NAME")</f>
        <v>#NAME?</v>
      </c>
      <c r="K885" t="e">
        <f ca="1">BDP("236670BT Muni","SELF_REPRTD_GREEN_INSTR_INDCTR")</f>
        <v>#NAME?</v>
      </c>
      <c r="L885" t="e">
        <f ca="1">BDP("236670BT Muni","GB_MANAGEMENT_PROCEEDS")</f>
        <v>#NAME?</v>
      </c>
      <c r="M885" t="e">
        <f ca="1">BDP("236670BT Muni","GB_REPORTING")</f>
        <v>#NAME?</v>
      </c>
      <c r="N885" t="e">
        <f ca="1">BDP("236670BT Muni","GB_ASSURANCE_PROVIDERS")</f>
        <v>#NAME?</v>
      </c>
      <c r="O885" t="e">
        <f ca="1">BDP("236670BT Muni","GB_PROJECT_SELECTION_PROCESS")</f>
        <v>#NAME?</v>
      </c>
      <c r="P885" t="e">
        <f ca="1">BDP("236670BT Muni","ESG_FRAMEWORK_INDICATOR")</f>
        <v>#NAME?</v>
      </c>
      <c r="Q885" t="e">
        <f ca="1">BDP("236670BT Muni","BLOOMBERG_SECTOR_CODE")</f>
        <v>#NAME?</v>
      </c>
      <c r="R885" t="e">
        <f ca="1">BDP("236670BT Muni","ISSUER_TYPE")</f>
        <v>#NAME?</v>
      </c>
      <c r="S885" t="e">
        <f ca="1">BDS("236670BT Muni","ESG_PROJECT_CATEGORY", "aggregate=y")</f>
        <v>#NAME?</v>
      </c>
      <c r="T885" t="e">
        <f ca="1">BDS("236670BT Muni","ESG_PROJECT_SUBCATEGORY", "aggregate=y")</f>
        <v>#NAME?</v>
      </c>
    </row>
    <row r="886" spans="1:20" x14ac:dyDescent="0.25">
      <c r="A886" t="e">
        <f ca="1">BDP("236670BV Muni","ID_CUSIP")</f>
        <v>#NAME?</v>
      </c>
      <c r="B886" t="e">
        <f ca="1">BDP("236670BV Muni","STATE_CODE")</f>
        <v>#NAME?</v>
      </c>
      <c r="C886" t="s">
        <v>60</v>
      </c>
      <c r="D886" t="e">
        <f ca="1">BDP("236670BV Muni","YIELD_ON_ISSUE_DATE")</f>
        <v>#NAME?</v>
      </c>
      <c r="E886">
        <v>105000</v>
      </c>
      <c r="F886" t="e">
        <f ca="1">BDP("236670BV Muni","ISSUE_DT")</f>
        <v>#NAME?</v>
      </c>
      <c r="G886" t="e">
        <f ca="1">BDP("236670BV Muni","MATURITY")</f>
        <v>#NAME?</v>
      </c>
      <c r="H886" t="e">
        <f ca="1">BDP("236670BV Muni","MUNI_TAX_PROV")</f>
        <v>#NAME?</v>
      </c>
      <c r="I886" t="e">
        <f ca="1">BDP("236670BV Muni","FINANCING_TYPE")</f>
        <v>#NAME?</v>
      </c>
      <c r="J886" t="e">
        <f ca="1">BDP("236670BV Muni","BICS_LEVEL_2_INDUSTRY_GROUP_NAME")</f>
        <v>#NAME?</v>
      </c>
      <c r="K886" t="e">
        <f ca="1">BDP("236670BV Muni","SELF_REPRTD_GREEN_INSTR_INDCTR")</f>
        <v>#NAME?</v>
      </c>
      <c r="L886" t="e">
        <f ca="1">BDP("236670BV Muni","GB_MANAGEMENT_PROCEEDS")</f>
        <v>#NAME?</v>
      </c>
      <c r="M886" t="e">
        <f ca="1">BDP("236670BV Muni","GB_REPORTING")</f>
        <v>#NAME?</v>
      </c>
      <c r="N886" t="e">
        <f ca="1">BDP("236670BV Muni","GB_ASSURANCE_PROVIDERS")</f>
        <v>#NAME?</v>
      </c>
      <c r="O886" t="e">
        <f ca="1">BDP("236670BV Muni","GB_PROJECT_SELECTION_PROCESS")</f>
        <v>#NAME?</v>
      </c>
      <c r="P886" t="e">
        <f ca="1">BDP("236670BV Muni","ESG_FRAMEWORK_INDICATOR")</f>
        <v>#NAME?</v>
      </c>
      <c r="Q886" t="e">
        <f ca="1">BDP("236670BV Muni","BLOOMBERG_SECTOR_CODE")</f>
        <v>#NAME?</v>
      </c>
      <c r="R886" t="e">
        <f ca="1">BDP("236670BV Muni","ISSUER_TYPE")</f>
        <v>#NAME?</v>
      </c>
      <c r="S886" t="e">
        <f ca="1">BDS("236670BV Muni","ESG_PROJECT_CATEGORY", "aggregate=y")</f>
        <v>#NAME?</v>
      </c>
      <c r="T886" t="e">
        <f ca="1">BDS("236670BV Muni","ESG_PROJECT_SUBCATEGORY", "aggregate=y")</f>
        <v>#NAME?</v>
      </c>
    </row>
    <row r="887" spans="1:20" x14ac:dyDescent="0.25">
      <c r="A887" t="e">
        <f ca="1">BDP("236670BW Muni","ID_CUSIP")</f>
        <v>#NAME?</v>
      </c>
      <c r="B887" t="e">
        <f ca="1">BDP("236670BW Muni","STATE_CODE")</f>
        <v>#NAME?</v>
      </c>
      <c r="C887" t="s">
        <v>60</v>
      </c>
      <c r="D887" t="e">
        <f ca="1">BDP("236670BW Muni","YIELD_ON_ISSUE_DATE")</f>
        <v>#NAME?</v>
      </c>
      <c r="E887">
        <v>115000</v>
      </c>
      <c r="F887" t="e">
        <f ca="1">BDP("236670BW Muni","ISSUE_DT")</f>
        <v>#NAME?</v>
      </c>
      <c r="G887" t="e">
        <f ca="1">BDP("236670BW Muni","MATURITY")</f>
        <v>#NAME?</v>
      </c>
      <c r="H887" t="e">
        <f ca="1">BDP("236670BW Muni","MUNI_TAX_PROV")</f>
        <v>#NAME?</v>
      </c>
      <c r="I887" t="e">
        <f ca="1">BDP("236670BW Muni","FINANCING_TYPE")</f>
        <v>#NAME?</v>
      </c>
      <c r="J887" t="e">
        <f ca="1">BDP("236670BW Muni","BICS_LEVEL_2_INDUSTRY_GROUP_NAME")</f>
        <v>#NAME?</v>
      </c>
      <c r="K887" t="e">
        <f ca="1">BDP("236670BW Muni","SELF_REPRTD_GREEN_INSTR_INDCTR")</f>
        <v>#NAME?</v>
      </c>
      <c r="L887" t="e">
        <f ca="1">BDP("236670BW Muni","GB_MANAGEMENT_PROCEEDS")</f>
        <v>#NAME?</v>
      </c>
      <c r="M887" t="e">
        <f ca="1">BDP("236670BW Muni","GB_REPORTING")</f>
        <v>#NAME?</v>
      </c>
      <c r="N887" t="e">
        <f ca="1">BDP("236670BW Muni","GB_ASSURANCE_PROVIDERS")</f>
        <v>#NAME?</v>
      </c>
      <c r="O887" t="e">
        <f ca="1">BDP("236670BW Muni","GB_PROJECT_SELECTION_PROCESS")</f>
        <v>#NAME?</v>
      </c>
      <c r="P887" t="e">
        <f ca="1">BDP("236670BW Muni","ESG_FRAMEWORK_INDICATOR")</f>
        <v>#NAME?</v>
      </c>
      <c r="Q887" t="e">
        <f ca="1">BDP("236670BW Muni","BLOOMBERG_SECTOR_CODE")</f>
        <v>#NAME?</v>
      </c>
      <c r="R887" t="e">
        <f ca="1">BDP("236670BW Muni","ISSUER_TYPE")</f>
        <v>#NAME?</v>
      </c>
      <c r="S887" t="e">
        <f ca="1">BDS("236670BW Muni","ESG_PROJECT_CATEGORY", "aggregate=y")</f>
        <v>#NAME?</v>
      </c>
      <c r="T887" t="e">
        <f ca="1">BDS("236670BW Muni","ESG_PROJECT_SUBCATEGORY", "aggregate=y")</f>
        <v>#NAME?</v>
      </c>
    </row>
    <row r="888" spans="1:20" x14ac:dyDescent="0.25">
      <c r="A888" t="e">
        <f ca="1">BDP("236670BX Muni","ID_CUSIP")</f>
        <v>#NAME?</v>
      </c>
      <c r="B888" t="e">
        <f ca="1">BDP("236670BX Muni","STATE_CODE")</f>
        <v>#NAME?</v>
      </c>
      <c r="C888" t="s">
        <v>60</v>
      </c>
      <c r="D888" t="e">
        <f ca="1">BDP("236670BX Muni","YIELD_ON_ISSUE_DATE")</f>
        <v>#NAME?</v>
      </c>
      <c r="E888">
        <v>125000</v>
      </c>
      <c r="F888" t="e">
        <f ca="1">BDP("236670BX Muni","ISSUE_DT")</f>
        <v>#NAME?</v>
      </c>
      <c r="G888" t="e">
        <f ca="1">BDP("236670BX Muni","MATURITY")</f>
        <v>#NAME?</v>
      </c>
      <c r="H888" t="e">
        <f ca="1">BDP("236670BX Muni","MUNI_TAX_PROV")</f>
        <v>#NAME?</v>
      </c>
      <c r="I888" t="e">
        <f ca="1">BDP("236670BX Muni","FINANCING_TYPE")</f>
        <v>#NAME?</v>
      </c>
      <c r="J888" t="e">
        <f ca="1">BDP("236670BX Muni","BICS_LEVEL_2_INDUSTRY_GROUP_NAME")</f>
        <v>#NAME?</v>
      </c>
      <c r="K888" t="e">
        <f ca="1">BDP("236670BX Muni","SELF_REPRTD_GREEN_INSTR_INDCTR")</f>
        <v>#NAME?</v>
      </c>
      <c r="L888" t="e">
        <f ca="1">BDP("236670BX Muni","GB_MANAGEMENT_PROCEEDS")</f>
        <v>#NAME?</v>
      </c>
      <c r="M888" t="e">
        <f ca="1">BDP("236670BX Muni","GB_REPORTING")</f>
        <v>#NAME?</v>
      </c>
      <c r="N888" t="e">
        <f ca="1">BDP("236670BX Muni","GB_ASSURANCE_PROVIDERS")</f>
        <v>#NAME?</v>
      </c>
      <c r="O888" t="e">
        <f ca="1">BDP("236670BX Muni","GB_PROJECT_SELECTION_PROCESS")</f>
        <v>#NAME?</v>
      </c>
      <c r="P888" t="e">
        <f ca="1">BDP("236670BX Muni","ESG_FRAMEWORK_INDICATOR")</f>
        <v>#NAME?</v>
      </c>
      <c r="Q888" t="e">
        <f ca="1">BDP("236670BX Muni","BLOOMBERG_SECTOR_CODE")</f>
        <v>#NAME?</v>
      </c>
      <c r="R888" t="e">
        <f ca="1">BDP("236670BX Muni","ISSUER_TYPE")</f>
        <v>#NAME?</v>
      </c>
      <c r="S888" t="e">
        <f ca="1">BDS("236670BX Muni","ESG_PROJECT_CATEGORY", "aggregate=y")</f>
        <v>#NAME?</v>
      </c>
      <c r="T888" t="e">
        <f ca="1">BDS("236670BX Muni","ESG_PROJECT_SUBCATEGORY", "aggregate=y")</f>
        <v>#NAME?</v>
      </c>
    </row>
    <row r="889" spans="1:20" x14ac:dyDescent="0.25">
      <c r="A889" t="e">
        <f ca="1">BDP("236670BY Muni","ID_CUSIP")</f>
        <v>#NAME?</v>
      </c>
      <c r="B889" t="e">
        <f ca="1">BDP("236670BY Muni","STATE_CODE")</f>
        <v>#NAME?</v>
      </c>
      <c r="C889" t="s">
        <v>60</v>
      </c>
      <c r="D889" t="e">
        <f ca="1">BDP("236670BY Muni","YIELD_ON_ISSUE_DATE")</f>
        <v>#NAME?</v>
      </c>
      <c r="E889">
        <v>135000</v>
      </c>
      <c r="F889" t="e">
        <f ca="1">BDP("236670BY Muni","ISSUE_DT")</f>
        <v>#NAME?</v>
      </c>
      <c r="G889" t="e">
        <f ca="1">BDP("236670BY Muni","MATURITY")</f>
        <v>#NAME?</v>
      </c>
      <c r="H889" t="e">
        <f ca="1">BDP("236670BY Muni","MUNI_TAX_PROV")</f>
        <v>#NAME?</v>
      </c>
      <c r="I889" t="e">
        <f ca="1">BDP("236670BY Muni","FINANCING_TYPE")</f>
        <v>#NAME?</v>
      </c>
      <c r="J889" t="e">
        <f ca="1">BDP("236670BY Muni","BICS_LEVEL_2_INDUSTRY_GROUP_NAME")</f>
        <v>#NAME?</v>
      </c>
      <c r="K889" t="e">
        <f ca="1">BDP("236670BY Muni","SELF_REPRTD_GREEN_INSTR_INDCTR")</f>
        <v>#NAME?</v>
      </c>
      <c r="L889" t="e">
        <f ca="1">BDP("236670BY Muni","GB_MANAGEMENT_PROCEEDS")</f>
        <v>#NAME?</v>
      </c>
      <c r="M889" t="e">
        <f ca="1">BDP("236670BY Muni","GB_REPORTING")</f>
        <v>#NAME?</v>
      </c>
      <c r="N889" t="e">
        <f ca="1">BDP("236670BY Muni","GB_ASSURANCE_PROVIDERS")</f>
        <v>#NAME?</v>
      </c>
      <c r="O889" t="e">
        <f ca="1">BDP("236670BY Muni","GB_PROJECT_SELECTION_PROCESS")</f>
        <v>#NAME?</v>
      </c>
      <c r="P889" t="e">
        <f ca="1">BDP("236670BY Muni","ESG_FRAMEWORK_INDICATOR")</f>
        <v>#NAME?</v>
      </c>
      <c r="Q889" t="e">
        <f ca="1">BDP("236670BY Muni","BLOOMBERG_SECTOR_CODE")</f>
        <v>#NAME?</v>
      </c>
      <c r="R889" t="e">
        <f ca="1">BDP("236670BY Muni","ISSUER_TYPE")</f>
        <v>#NAME?</v>
      </c>
      <c r="S889" t="e">
        <f ca="1">BDS("236670BY Muni","ESG_PROJECT_CATEGORY", "aggregate=y")</f>
        <v>#NAME?</v>
      </c>
      <c r="T889" t="e">
        <f ca="1">BDS("236670BY Muni","ESG_PROJECT_SUBCATEGORY", "aggregate=y")</f>
        <v>#NAME?</v>
      </c>
    </row>
    <row r="890" spans="1:20" x14ac:dyDescent="0.25">
      <c r="A890" t="e">
        <f ca="1">BDP("236670BZ Muni","ID_CUSIP")</f>
        <v>#NAME?</v>
      </c>
      <c r="B890" t="e">
        <f ca="1">BDP("236670BZ Muni","STATE_CODE")</f>
        <v>#NAME?</v>
      </c>
      <c r="C890" t="s">
        <v>60</v>
      </c>
      <c r="D890" t="e">
        <f ca="1">BDP("236670BZ Muni","YIELD_ON_ISSUE_DATE")</f>
        <v>#NAME?</v>
      </c>
      <c r="E890">
        <v>140000</v>
      </c>
      <c r="F890" t="e">
        <f ca="1">BDP("236670BZ Muni","ISSUE_DT")</f>
        <v>#NAME?</v>
      </c>
      <c r="G890" t="e">
        <f ca="1">BDP("236670BZ Muni","MATURITY")</f>
        <v>#NAME?</v>
      </c>
      <c r="H890" t="e">
        <f ca="1">BDP("236670BZ Muni","MUNI_TAX_PROV")</f>
        <v>#NAME?</v>
      </c>
      <c r="I890" t="e">
        <f ca="1">BDP("236670BZ Muni","FINANCING_TYPE")</f>
        <v>#NAME?</v>
      </c>
      <c r="J890" t="e">
        <f ca="1">BDP("236670BZ Muni","BICS_LEVEL_2_INDUSTRY_GROUP_NAME")</f>
        <v>#NAME?</v>
      </c>
      <c r="K890" t="e">
        <f ca="1">BDP("236670BZ Muni","SELF_REPRTD_GREEN_INSTR_INDCTR")</f>
        <v>#NAME?</v>
      </c>
      <c r="L890" t="e">
        <f ca="1">BDP("236670BZ Muni","GB_MANAGEMENT_PROCEEDS")</f>
        <v>#NAME?</v>
      </c>
      <c r="M890" t="e">
        <f ca="1">BDP("236670BZ Muni","GB_REPORTING")</f>
        <v>#NAME?</v>
      </c>
      <c r="N890" t="e">
        <f ca="1">BDP("236670BZ Muni","GB_ASSURANCE_PROVIDERS")</f>
        <v>#NAME?</v>
      </c>
      <c r="O890" t="e">
        <f ca="1">BDP("236670BZ Muni","GB_PROJECT_SELECTION_PROCESS")</f>
        <v>#NAME?</v>
      </c>
      <c r="P890" t="e">
        <f ca="1">BDP("236670BZ Muni","ESG_FRAMEWORK_INDICATOR")</f>
        <v>#NAME?</v>
      </c>
      <c r="Q890" t="e">
        <f ca="1">BDP("236670BZ Muni","BLOOMBERG_SECTOR_CODE")</f>
        <v>#NAME?</v>
      </c>
      <c r="R890" t="e">
        <f ca="1">BDP("236670BZ Muni","ISSUER_TYPE")</f>
        <v>#NAME?</v>
      </c>
      <c r="S890" t="e">
        <f ca="1">BDS("236670BZ Muni","ESG_PROJECT_CATEGORY", "aggregate=y")</f>
        <v>#NAME?</v>
      </c>
      <c r="T890" t="e">
        <f ca="1">BDS("236670BZ Muni","ESG_PROJECT_SUBCATEGORY", "aggregate=y")</f>
        <v>#NAME?</v>
      </c>
    </row>
    <row r="891" spans="1:20" x14ac:dyDescent="0.25">
      <c r="A891" t="e">
        <f ca="1">BDP("360303AE Muni","ID_CUSIP")</f>
        <v>#NAME?</v>
      </c>
      <c r="B891" t="e">
        <f ca="1">BDP("360303AE Muni","STATE_CODE")</f>
        <v>#NAME?</v>
      </c>
      <c r="C891" t="s">
        <v>61</v>
      </c>
      <c r="D891" t="e">
        <f ca="1">BDP("360303AE Muni","YIELD_ON_ISSUE_DATE")</f>
        <v>#NAME?</v>
      </c>
      <c r="E891">
        <v>295000</v>
      </c>
      <c r="F891" t="e">
        <f ca="1">BDP("360303AE Muni","ISSUE_DT")</f>
        <v>#NAME?</v>
      </c>
      <c r="G891" t="e">
        <f ca="1">BDP("360303AE Muni","MATURITY")</f>
        <v>#NAME?</v>
      </c>
      <c r="H891" t="e">
        <f ca="1">BDP("360303AE Muni","MUNI_TAX_PROV")</f>
        <v>#NAME?</v>
      </c>
      <c r="I891" t="e">
        <f ca="1">BDP("360303AE Muni","FINANCING_TYPE")</f>
        <v>#NAME?</v>
      </c>
      <c r="J891" t="e">
        <f ca="1">BDP("360303AE Muni","BICS_LEVEL_2_INDUSTRY_GROUP_NAME")</f>
        <v>#NAME?</v>
      </c>
      <c r="K891" t="e">
        <f ca="1">BDP("360303AE Muni","SELF_REPRTD_GREEN_INSTR_INDCTR")</f>
        <v>#NAME?</v>
      </c>
      <c r="L891" t="e">
        <f ca="1">BDP("360303AE Muni","GB_MANAGEMENT_PROCEEDS")</f>
        <v>#NAME?</v>
      </c>
      <c r="M891" t="e">
        <f ca="1">BDP("360303AE Muni","GB_REPORTING")</f>
        <v>#NAME?</v>
      </c>
      <c r="N891" t="e">
        <f ca="1">BDP("360303AE Muni","GB_ASSURANCE_PROVIDERS")</f>
        <v>#NAME?</v>
      </c>
      <c r="O891" t="e">
        <f ca="1">BDP("360303AE Muni","GB_PROJECT_SELECTION_PROCESS")</f>
        <v>#NAME?</v>
      </c>
      <c r="P891" t="e">
        <f ca="1">BDP("360303AE Muni","ESG_FRAMEWORK_INDICATOR")</f>
        <v>#NAME?</v>
      </c>
      <c r="Q891" t="e">
        <f ca="1">BDP("360303AE Muni","BLOOMBERG_SECTOR_CODE")</f>
        <v>#NAME?</v>
      </c>
      <c r="R891" t="e">
        <f ca="1">BDP("360303AE Muni","ISSUER_TYPE")</f>
        <v>#NAME?</v>
      </c>
      <c r="S891" t="e">
        <f ca="1">BDS("360303AE Muni","ESG_PROJECT_CATEGORY", "aggregate=y")</f>
        <v>#NAME?</v>
      </c>
      <c r="T891" t="e">
        <f ca="1">BDS("360303AE Muni","ESG_PROJECT_SUBCATEGORY", "aggregate=y")</f>
        <v>#NAME?</v>
      </c>
    </row>
    <row r="892" spans="1:20" x14ac:dyDescent="0.25">
      <c r="A892" t="e">
        <f ca="1">BDP("360303AF Muni","ID_CUSIP")</f>
        <v>#NAME?</v>
      </c>
      <c r="B892" t="e">
        <f ca="1">BDP("360303AF Muni","STATE_CODE")</f>
        <v>#NAME?</v>
      </c>
      <c r="C892" t="s">
        <v>61</v>
      </c>
      <c r="D892" t="e">
        <f ca="1">BDP("360303AF Muni","YIELD_ON_ISSUE_DATE")</f>
        <v>#NAME?</v>
      </c>
      <c r="E892">
        <v>105000</v>
      </c>
      <c r="F892" t="e">
        <f ca="1">BDP("360303AF Muni","ISSUE_DT")</f>
        <v>#NAME?</v>
      </c>
      <c r="G892" t="e">
        <f ca="1">BDP("360303AF Muni","MATURITY")</f>
        <v>#NAME?</v>
      </c>
      <c r="H892" t="e">
        <f ca="1">BDP("360303AF Muni","MUNI_TAX_PROV")</f>
        <v>#NAME?</v>
      </c>
      <c r="I892" t="e">
        <f ca="1">BDP("360303AF Muni","FINANCING_TYPE")</f>
        <v>#NAME?</v>
      </c>
      <c r="J892" t="e">
        <f ca="1">BDP("360303AF Muni","BICS_LEVEL_2_INDUSTRY_GROUP_NAME")</f>
        <v>#NAME?</v>
      </c>
      <c r="K892" t="e">
        <f ca="1">BDP("360303AF Muni","SELF_REPRTD_GREEN_INSTR_INDCTR")</f>
        <v>#NAME?</v>
      </c>
      <c r="L892" t="e">
        <f ca="1">BDP("360303AF Muni","GB_MANAGEMENT_PROCEEDS")</f>
        <v>#NAME?</v>
      </c>
      <c r="M892" t="e">
        <f ca="1">BDP("360303AF Muni","GB_REPORTING")</f>
        <v>#NAME?</v>
      </c>
      <c r="N892" t="e">
        <f ca="1">BDP("360303AF Muni","GB_ASSURANCE_PROVIDERS")</f>
        <v>#NAME?</v>
      </c>
      <c r="O892" t="e">
        <f ca="1">BDP("360303AF Muni","GB_PROJECT_SELECTION_PROCESS")</f>
        <v>#NAME?</v>
      </c>
      <c r="P892" t="e">
        <f ca="1">BDP("360303AF Muni","ESG_FRAMEWORK_INDICATOR")</f>
        <v>#NAME?</v>
      </c>
      <c r="Q892" t="e">
        <f ca="1">BDP("360303AF Muni","BLOOMBERG_SECTOR_CODE")</f>
        <v>#NAME?</v>
      </c>
      <c r="R892" t="e">
        <f ca="1">BDP("360303AF Muni","ISSUER_TYPE")</f>
        <v>#NAME?</v>
      </c>
      <c r="S892" t="e">
        <f ca="1">BDS("360303AF Muni","ESG_PROJECT_CATEGORY", "aggregate=y")</f>
        <v>#NAME?</v>
      </c>
      <c r="T892" t="e">
        <f ca="1">BDS("360303AF Muni","ESG_PROJECT_SUBCATEGORY", "aggregate=y")</f>
        <v>#NAME?</v>
      </c>
    </row>
    <row r="893" spans="1:20" x14ac:dyDescent="0.25">
      <c r="A893" t="e">
        <f ca="1">BDP("360303AG Muni","ID_CUSIP")</f>
        <v>#NAME?</v>
      </c>
      <c r="B893" t="e">
        <f ca="1">BDP("360303AG Muni","STATE_CODE")</f>
        <v>#NAME?</v>
      </c>
      <c r="C893" t="s">
        <v>61</v>
      </c>
      <c r="D893" t="e">
        <f ca="1">BDP("360303AG Muni","YIELD_ON_ISSUE_DATE")</f>
        <v>#NAME?</v>
      </c>
      <c r="E893">
        <v>105000</v>
      </c>
      <c r="F893" t="e">
        <f ca="1">BDP("360303AG Muni","ISSUE_DT")</f>
        <v>#NAME?</v>
      </c>
      <c r="G893" t="e">
        <f ca="1">BDP("360303AG Muni","MATURITY")</f>
        <v>#NAME?</v>
      </c>
      <c r="H893" t="e">
        <f ca="1">BDP("360303AG Muni","MUNI_TAX_PROV")</f>
        <v>#NAME?</v>
      </c>
      <c r="I893" t="e">
        <f ca="1">BDP("360303AG Muni","FINANCING_TYPE")</f>
        <v>#NAME?</v>
      </c>
      <c r="J893" t="e">
        <f ca="1">BDP("360303AG Muni","BICS_LEVEL_2_INDUSTRY_GROUP_NAME")</f>
        <v>#NAME?</v>
      </c>
      <c r="K893" t="e">
        <f ca="1">BDP("360303AG Muni","SELF_REPRTD_GREEN_INSTR_INDCTR")</f>
        <v>#NAME?</v>
      </c>
      <c r="L893" t="e">
        <f ca="1">BDP("360303AG Muni","GB_MANAGEMENT_PROCEEDS")</f>
        <v>#NAME?</v>
      </c>
      <c r="M893" t="e">
        <f ca="1">BDP("360303AG Muni","GB_REPORTING")</f>
        <v>#NAME?</v>
      </c>
      <c r="N893" t="e">
        <f ca="1">BDP("360303AG Muni","GB_ASSURANCE_PROVIDERS")</f>
        <v>#NAME?</v>
      </c>
      <c r="O893" t="e">
        <f ca="1">BDP("360303AG Muni","GB_PROJECT_SELECTION_PROCESS")</f>
        <v>#NAME?</v>
      </c>
      <c r="P893" t="e">
        <f ca="1">BDP("360303AG Muni","ESG_FRAMEWORK_INDICATOR")</f>
        <v>#NAME?</v>
      </c>
      <c r="Q893" t="e">
        <f ca="1">BDP("360303AG Muni","BLOOMBERG_SECTOR_CODE")</f>
        <v>#NAME?</v>
      </c>
      <c r="R893" t="e">
        <f ca="1">BDP("360303AG Muni","ISSUER_TYPE")</f>
        <v>#NAME?</v>
      </c>
      <c r="S893" t="e">
        <f ca="1">BDS("360303AG Muni","ESG_PROJECT_CATEGORY", "aggregate=y")</f>
        <v>#NAME?</v>
      </c>
      <c r="T893" t="e">
        <f ca="1">BDS("360303AG Muni","ESG_PROJECT_SUBCATEGORY", "aggregate=y")</f>
        <v>#NAME?</v>
      </c>
    </row>
    <row r="894" spans="1:20" x14ac:dyDescent="0.25">
      <c r="A894" t="e">
        <f ca="1">BDP("360303AH Muni","ID_CUSIP")</f>
        <v>#NAME?</v>
      </c>
      <c r="B894" t="e">
        <f ca="1">BDP("360303AH Muni","STATE_CODE")</f>
        <v>#NAME?</v>
      </c>
      <c r="C894" t="s">
        <v>61</v>
      </c>
      <c r="D894" t="e">
        <f ca="1">BDP("360303AH Muni","YIELD_ON_ISSUE_DATE")</f>
        <v>#NAME?</v>
      </c>
      <c r="E894">
        <v>110000</v>
      </c>
      <c r="F894" t="e">
        <f ca="1">BDP("360303AH Muni","ISSUE_DT")</f>
        <v>#NAME?</v>
      </c>
      <c r="G894" t="e">
        <f ca="1">BDP("360303AH Muni","MATURITY")</f>
        <v>#NAME?</v>
      </c>
      <c r="H894" t="e">
        <f ca="1">BDP("360303AH Muni","MUNI_TAX_PROV")</f>
        <v>#NAME?</v>
      </c>
      <c r="I894" t="e">
        <f ca="1">BDP("360303AH Muni","FINANCING_TYPE")</f>
        <v>#NAME?</v>
      </c>
      <c r="J894" t="e">
        <f ca="1">BDP("360303AH Muni","BICS_LEVEL_2_INDUSTRY_GROUP_NAME")</f>
        <v>#NAME?</v>
      </c>
      <c r="K894" t="e">
        <f ca="1">BDP("360303AH Muni","SELF_REPRTD_GREEN_INSTR_INDCTR")</f>
        <v>#NAME?</v>
      </c>
      <c r="L894" t="e">
        <f ca="1">BDP("360303AH Muni","GB_MANAGEMENT_PROCEEDS")</f>
        <v>#NAME?</v>
      </c>
      <c r="M894" t="e">
        <f ca="1">BDP("360303AH Muni","GB_REPORTING")</f>
        <v>#NAME?</v>
      </c>
      <c r="N894" t="e">
        <f ca="1">BDP("360303AH Muni","GB_ASSURANCE_PROVIDERS")</f>
        <v>#NAME?</v>
      </c>
      <c r="O894" t="e">
        <f ca="1">BDP("360303AH Muni","GB_PROJECT_SELECTION_PROCESS")</f>
        <v>#NAME?</v>
      </c>
      <c r="P894" t="e">
        <f ca="1">BDP("360303AH Muni","ESG_FRAMEWORK_INDICATOR")</f>
        <v>#NAME?</v>
      </c>
      <c r="Q894" t="e">
        <f ca="1">BDP("360303AH Muni","BLOOMBERG_SECTOR_CODE")</f>
        <v>#NAME?</v>
      </c>
      <c r="R894" t="e">
        <f ca="1">BDP("360303AH Muni","ISSUER_TYPE")</f>
        <v>#NAME?</v>
      </c>
      <c r="S894" t="e">
        <f ca="1">BDS("360303AH Muni","ESG_PROJECT_CATEGORY", "aggregate=y")</f>
        <v>#NAME?</v>
      </c>
      <c r="T894" t="e">
        <f ca="1">BDS("360303AH Muni","ESG_PROJECT_SUBCATEGORY", "aggregate=y")</f>
        <v>#NAME?</v>
      </c>
    </row>
    <row r="895" spans="1:20" x14ac:dyDescent="0.25">
      <c r="A895" t="e">
        <f ca="1">BDP("360303AJ Muni","ID_CUSIP")</f>
        <v>#NAME?</v>
      </c>
      <c r="B895" t="e">
        <f ca="1">BDP("360303AJ Muni","STATE_CODE")</f>
        <v>#NAME?</v>
      </c>
      <c r="C895" t="s">
        <v>61</v>
      </c>
      <c r="D895" t="e">
        <f ca="1">BDP("360303AJ Muni","YIELD_ON_ISSUE_DATE")</f>
        <v>#NAME?</v>
      </c>
      <c r="E895">
        <v>115000</v>
      </c>
      <c r="F895" t="e">
        <f ca="1">BDP("360303AJ Muni","ISSUE_DT")</f>
        <v>#NAME?</v>
      </c>
      <c r="G895" t="e">
        <f ca="1">BDP("360303AJ Muni","MATURITY")</f>
        <v>#NAME?</v>
      </c>
      <c r="H895" t="e">
        <f ca="1">BDP("360303AJ Muni","MUNI_TAX_PROV")</f>
        <v>#NAME?</v>
      </c>
      <c r="I895" t="e">
        <f ca="1">BDP("360303AJ Muni","FINANCING_TYPE")</f>
        <v>#NAME?</v>
      </c>
      <c r="J895" t="e">
        <f ca="1">BDP("360303AJ Muni","BICS_LEVEL_2_INDUSTRY_GROUP_NAME")</f>
        <v>#NAME?</v>
      </c>
      <c r="K895" t="e">
        <f ca="1">BDP("360303AJ Muni","SELF_REPRTD_GREEN_INSTR_INDCTR")</f>
        <v>#NAME?</v>
      </c>
      <c r="L895" t="e">
        <f ca="1">BDP("360303AJ Muni","GB_MANAGEMENT_PROCEEDS")</f>
        <v>#NAME?</v>
      </c>
      <c r="M895" t="e">
        <f ca="1">BDP("360303AJ Muni","GB_REPORTING")</f>
        <v>#NAME?</v>
      </c>
      <c r="N895" t="e">
        <f ca="1">BDP("360303AJ Muni","GB_ASSURANCE_PROVIDERS")</f>
        <v>#NAME?</v>
      </c>
      <c r="O895" t="e">
        <f ca="1">BDP("360303AJ Muni","GB_PROJECT_SELECTION_PROCESS")</f>
        <v>#NAME?</v>
      </c>
      <c r="P895" t="e">
        <f ca="1">BDP("360303AJ Muni","ESG_FRAMEWORK_INDICATOR")</f>
        <v>#NAME?</v>
      </c>
      <c r="Q895" t="e">
        <f ca="1">BDP("360303AJ Muni","BLOOMBERG_SECTOR_CODE")</f>
        <v>#NAME?</v>
      </c>
      <c r="R895" t="e">
        <f ca="1">BDP("360303AJ Muni","ISSUER_TYPE")</f>
        <v>#NAME?</v>
      </c>
      <c r="S895" t="e">
        <f ca="1">BDS("360303AJ Muni","ESG_PROJECT_CATEGORY", "aggregate=y")</f>
        <v>#NAME?</v>
      </c>
      <c r="T895" t="e">
        <f ca="1">BDS("360303AJ Muni","ESG_PROJECT_SUBCATEGORY", "aggregate=y")</f>
        <v>#NAME?</v>
      </c>
    </row>
    <row r="896" spans="1:20" x14ac:dyDescent="0.25">
      <c r="A896" t="e">
        <f ca="1">BDP("360303AK Muni","ID_CUSIP")</f>
        <v>#NAME?</v>
      </c>
      <c r="B896" t="e">
        <f ca="1">BDP("360303AK Muni","STATE_CODE")</f>
        <v>#NAME?</v>
      </c>
      <c r="C896" t="s">
        <v>61</v>
      </c>
      <c r="D896" t="e">
        <f ca="1">BDP("360303AK Muni","YIELD_ON_ISSUE_DATE")</f>
        <v>#NAME?</v>
      </c>
      <c r="E896">
        <v>120000</v>
      </c>
      <c r="F896" t="e">
        <f ca="1">BDP("360303AK Muni","ISSUE_DT")</f>
        <v>#NAME?</v>
      </c>
      <c r="G896" t="e">
        <f ca="1">BDP("360303AK Muni","MATURITY")</f>
        <v>#NAME?</v>
      </c>
      <c r="H896" t="e">
        <f ca="1">BDP("360303AK Muni","MUNI_TAX_PROV")</f>
        <v>#NAME?</v>
      </c>
      <c r="I896" t="e">
        <f ca="1">BDP("360303AK Muni","FINANCING_TYPE")</f>
        <v>#NAME?</v>
      </c>
      <c r="J896" t="e">
        <f ca="1">BDP("360303AK Muni","BICS_LEVEL_2_INDUSTRY_GROUP_NAME")</f>
        <v>#NAME?</v>
      </c>
      <c r="K896" t="e">
        <f ca="1">BDP("360303AK Muni","SELF_REPRTD_GREEN_INSTR_INDCTR")</f>
        <v>#NAME?</v>
      </c>
      <c r="L896" t="e">
        <f ca="1">BDP("360303AK Muni","GB_MANAGEMENT_PROCEEDS")</f>
        <v>#NAME?</v>
      </c>
      <c r="M896" t="e">
        <f ca="1">BDP("360303AK Muni","GB_REPORTING")</f>
        <v>#NAME?</v>
      </c>
      <c r="N896" t="e">
        <f ca="1">BDP("360303AK Muni","GB_ASSURANCE_PROVIDERS")</f>
        <v>#NAME?</v>
      </c>
      <c r="O896" t="e">
        <f ca="1">BDP("360303AK Muni","GB_PROJECT_SELECTION_PROCESS")</f>
        <v>#NAME?</v>
      </c>
      <c r="P896" t="e">
        <f ca="1">BDP("360303AK Muni","ESG_FRAMEWORK_INDICATOR")</f>
        <v>#NAME?</v>
      </c>
      <c r="Q896" t="e">
        <f ca="1">BDP("360303AK Muni","BLOOMBERG_SECTOR_CODE")</f>
        <v>#NAME?</v>
      </c>
      <c r="R896" t="e">
        <f ca="1">BDP("360303AK Muni","ISSUER_TYPE")</f>
        <v>#NAME?</v>
      </c>
      <c r="S896" t="e">
        <f ca="1">BDS("360303AK Muni","ESG_PROJECT_CATEGORY", "aggregate=y")</f>
        <v>#NAME?</v>
      </c>
      <c r="T896" t="e">
        <f ca="1">BDS("360303AK Muni","ESG_PROJECT_SUBCATEGORY", "aggregate=y")</f>
        <v>#NAME?</v>
      </c>
    </row>
    <row r="897" spans="1:20" x14ac:dyDescent="0.25">
      <c r="A897" t="e">
        <f ca="1">BDP("360303AP Muni","ID_CUSIP")</f>
        <v>#NAME?</v>
      </c>
      <c r="B897" t="e">
        <f ca="1">BDP("360303AP Muni","STATE_CODE")</f>
        <v>#NAME?</v>
      </c>
      <c r="C897" t="s">
        <v>61</v>
      </c>
      <c r="D897" t="e">
        <f ca="1">BDP("360303AP Muni","YIELD_ON_ISSUE_DATE")</f>
        <v>#NAME?</v>
      </c>
      <c r="E897">
        <v>545000</v>
      </c>
      <c r="F897" t="e">
        <f ca="1">BDP("360303AP Muni","ISSUE_DT")</f>
        <v>#NAME?</v>
      </c>
      <c r="G897" t="e">
        <f ca="1">BDP("360303AP Muni","MATURITY")</f>
        <v>#NAME?</v>
      </c>
      <c r="H897" t="e">
        <f ca="1">BDP("360303AP Muni","MUNI_TAX_PROV")</f>
        <v>#NAME?</v>
      </c>
      <c r="I897" t="e">
        <f ca="1">BDP("360303AP Muni","FINANCING_TYPE")</f>
        <v>#NAME?</v>
      </c>
      <c r="J897" t="e">
        <f ca="1">BDP("360303AP Muni","BICS_LEVEL_2_INDUSTRY_GROUP_NAME")</f>
        <v>#NAME?</v>
      </c>
      <c r="K897" t="e">
        <f ca="1">BDP("360303AP Muni","SELF_REPRTD_GREEN_INSTR_INDCTR")</f>
        <v>#NAME?</v>
      </c>
      <c r="L897" t="e">
        <f ca="1">BDP("360303AP Muni","GB_MANAGEMENT_PROCEEDS")</f>
        <v>#NAME?</v>
      </c>
      <c r="M897" t="e">
        <f ca="1">BDP("360303AP Muni","GB_REPORTING")</f>
        <v>#NAME?</v>
      </c>
      <c r="N897" t="e">
        <f ca="1">BDP("360303AP Muni","GB_ASSURANCE_PROVIDERS")</f>
        <v>#NAME?</v>
      </c>
      <c r="O897" t="e">
        <f ca="1">BDP("360303AP Muni","GB_PROJECT_SELECTION_PROCESS")</f>
        <v>#NAME?</v>
      </c>
      <c r="P897" t="e">
        <f ca="1">BDP("360303AP Muni","ESG_FRAMEWORK_INDICATOR")</f>
        <v>#NAME?</v>
      </c>
      <c r="Q897" t="e">
        <f ca="1">BDP("360303AP Muni","BLOOMBERG_SECTOR_CODE")</f>
        <v>#NAME?</v>
      </c>
      <c r="R897" t="e">
        <f ca="1">BDP("360303AP Muni","ISSUER_TYPE")</f>
        <v>#NAME?</v>
      </c>
      <c r="S897" t="e">
        <f ca="1">BDS("360303AP Muni","ESG_PROJECT_CATEGORY", "aggregate=y")</f>
        <v>#NAME?</v>
      </c>
      <c r="T897" t="e">
        <f ca="1">BDS("360303AP Muni","ESG_PROJECT_SUBCATEGORY", "aggregate=y")</f>
        <v>#NAME?</v>
      </c>
    </row>
    <row r="898" spans="1:20" x14ac:dyDescent="0.25">
      <c r="A898" t="e">
        <f ca="1">BDP("360303AS Muni","ID_CUSIP")</f>
        <v>#NAME?</v>
      </c>
      <c r="B898" t="e">
        <f ca="1">BDP("360303AS Muni","STATE_CODE")</f>
        <v>#NAME?</v>
      </c>
      <c r="C898" t="s">
        <v>61</v>
      </c>
      <c r="D898" t="e">
        <f ca="1">BDP("360303AS Muni","YIELD_ON_ISSUE_DATE")</f>
        <v>#NAME?</v>
      </c>
      <c r="E898">
        <v>470000</v>
      </c>
      <c r="F898" t="e">
        <f ca="1">BDP("360303AS Muni","ISSUE_DT")</f>
        <v>#NAME?</v>
      </c>
      <c r="G898" t="e">
        <f ca="1">BDP("360303AS Muni","MATURITY")</f>
        <v>#NAME?</v>
      </c>
      <c r="H898" t="e">
        <f ca="1">BDP("360303AS Muni","MUNI_TAX_PROV")</f>
        <v>#NAME?</v>
      </c>
      <c r="I898" t="e">
        <f ca="1">BDP("360303AS Muni","FINANCING_TYPE")</f>
        <v>#NAME?</v>
      </c>
      <c r="J898" t="e">
        <f ca="1">BDP("360303AS Muni","BICS_LEVEL_2_INDUSTRY_GROUP_NAME")</f>
        <v>#NAME?</v>
      </c>
      <c r="K898" t="e">
        <f ca="1">BDP("360303AS Muni","SELF_REPRTD_GREEN_INSTR_INDCTR")</f>
        <v>#NAME?</v>
      </c>
      <c r="L898" t="e">
        <f ca="1">BDP("360303AS Muni","GB_MANAGEMENT_PROCEEDS")</f>
        <v>#NAME?</v>
      </c>
      <c r="M898" t="e">
        <f ca="1">BDP("360303AS Muni","GB_REPORTING")</f>
        <v>#NAME?</v>
      </c>
      <c r="N898" t="e">
        <f ca="1">BDP("360303AS Muni","GB_ASSURANCE_PROVIDERS")</f>
        <v>#NAME?</v>
      </c>
      <c r="O898" t="e">
        <f ca="1">BDP("360303AS Muni","GB_PROJECT_SELECTION_PROCESS")</f>
        <v>#NAME?</v>
      </c>
      <c r="P898" t="e">
        <f ca="1">BDP("360303AS Muni","ESG_FRAMEWORK_INDICATOR")</f>
        <v>#NAME?</v>
      </c>
      <c r="Q898" t="e">
        <f ca="1">BDP("360303AS Muni","BLOOMBERG_SECTOR_CODE")</f>
        <v>#NAME?</v>
      </c>
      <c r="R898" t="e">
        <f ca="1">BDP("360303AS Muni","ISSUER_TYPE")</f>
        <v>#NAME?</v>
      </c>
      <c r="S898" t="e">
        <f ca="1">BDS("360303AS Muni","ESG_PROJECT_CATEGORY", "aggregate=y")</f>
        <v>#NAME?</v>
      </c>
      <c r="T898" t="e">
        <f ca="1">BDS("360303AS Muni","ESG_PROJECT_SUBCATEGORY", "aggregate=y")</f>
        <v>#NAME?</v>
      </c>
    </row>
    <row r="899" spans="1:20" x14ac:dyDescent="0.25">
      <c r="A899" t="e">
        <f ca="1">BDP("360303AV Muni","ID_CUSIP")</f>
        <v>#NAME?</v>
      </c>
      <c r="B899" t="e">
        <f ca="1">BDP("360303AV Muni","STATE_CODE")</f>
        <v>#NAME?</v>
      </c>
      <c r="C899" t="s">
        <v>61</v>
      </c>
      <c r="D899" t="e">
        <f ca="1">BDP("360303AV Muni","YIELD_ON_ISSUE_DATE")</f>
        <v>#NAME?</v>
      </c>
      <c r="E899">
        <v>550000</v>
      </c>
      <c r="F899" t="e">
        <f ca="1">BDP("360303AV Muni","ISSUE_DT")</f>
        <v>#NAME?</v>
      </c>
      <c r="G899" t="e">
        <f ca="1">BDP("360303AV Muni","MATURITY")</f>
        <v>#NAME?</v>
      </c>
      <c r="H899" t="e">
        <f ca="1">BDP("360303AV Muni","MUNI_TAX_PROV")</f>
        <v>#NAME?</v>
      </c>
      <c r="I899" t="e">
        <f ca="1">BDP("360303AV Muni","FINANCING_TYPE")</f>
        <v>#NAME?</v>
      </c>
      <c r="J899" t="e">
        <f ca="1">BDP("360303AV Muni","BICS_LEVEL_2_INDUSTRY_GROUP_NAME")</f>
        <v>#NAME?</v>
      </c>
      <c r="K899" t="e">
        <f ca="1">BDP("360303AV Muni","SELF_REPRTD_GREEN_INSTR_INDCTR")</f>
        <v>#NAME?</v>
      </c>
      <c r="L899" t="e">
        <f ca="1">BDP("360303AV Muni","GB_MANAGEMENT_PROCEEDS")</f>
        <v>#NAME?</v>
      </c>
      <c r="M899" t="e">
        <f ca="1">BDP("360303AV Muni","GB_REPORTING")</f>
        <v>#NAME?</v>
      </c>
      <c r="N899" t="e">
        <f ca="1">BDP("360303AV Muni","GB_ASSURANCE_PROVIDERS")</f>
        <v>#NAME?</v>
      </c>
      <c r="O899" t="e">
        <f ca="1">BDP("360303AV Muni","GB_PROJECT_SELECTION_PROCESS")</f>
        <v>#NAME?</v>
      </c>
      <c r="P899" t="e">
        <f ca="1">BDP("360303AV Muni","ESG_FRAMEWORK_INDICATOR")</f>
        <v>#NAME?</v>
      </c>
      <c r="Q899" t="e">
        <f ca="1">BDP("360303AV Muni","BLOOMBERG_SECTOR_CODE")</f>
        <v>#NAME?</v>
      </c>
      <c r="R899" t="e">
        <f ca="1">BDP("360303AV Muni","ISSUER_TYPE")</f>
        <v>#NAME?</v>
      </c>
      <c r="S899" t="e">
        <f ca="1">BDS("360303AV Muni","ESG_PROJECT_CATEGORY", "aggregate=y")</f>
        <v>#NAME?</v>
      </c>
      <c r="T899" t="e">
        <f ca="1">BDS("360303AV Muni","ESG_PROJECT_SUBCATEGORY", "aggregate=y")</f>
        <v>#NAME?</v>
      </c>
    </row>
    <row r="900" spans="1:20" x14ac:dyDescent="0.25">
      <c r="A900" t="e">
        <f ca="1">BDP("613326AA Muni","ID_CUSIP")</f>
        <v>#NAME?</v>
      </c>
      <c r="B900" t="e">
        <f ca="1">BDP("613326AA Muni","STATE_CODE")</f>
        <v>#NAME?</v>
      </c>
      <c r="C900" t="s">
        <v>59</v>
      </c>
      <c r="D900" t="e">
        <f ca="1">BDP("613326AA Muni","YIELD_ON_ISSUE_DATE")</f>
        <v>#NAME?</v>
      </c>
      <c r="E900">
        <v>25000</v>
      </c>
      <c r="F900" t="e">
        <f ca="1">BDP("613326AA Muni","ISSUE_DT")</f>
        <v>#NAME?</v>
      </c>
      <c r="G900" t="e">
        <f ca="1">BDP("613326AA Muni","MATURITY")</f>
        <v>#NAME?</v>
      </c>
      <c r="H900" t="e">
        <f ca="1">BDP("613326AA Muni","MUNI_TAX_PROV")</f>
        <v>#NAME?</v>
      </c>
      <c r="I900" t="e">
        <f ca="1">BDP("613326AA Muni","FINANCING_TYPE")</f>
        <v>#NAME?</v>
      </c>
      <c r="J900" t="e">
        <f ca="1">BDP("613326AA Muni","BICS_LEVEL_2_INDUSTRY_GROUP_NAME")</f>
        <v>#NAME?</v>
      </c>
      <c r="K900" t="e">
        <f ca="1">BDP("613326AA Muni","SELF_REPRTD_GREEN_INSTR_INDCTR")</f>
        <v>#NAME?</v>
      </c>
      <c r="L900" t="e">
        <f ca="1">BDP("613326AA Muni","GB_MANAGEMENT_PROCEEDS")</f>
        <v>#NAME?</v>
      </c>
      <c r="M900" t="e">
        <f ca="1">BDP("613326AA Muni","GB_REPORTING")</f>
        <v>#NAME?</v>
      </c>
      <c r="N900" t="e">
        <f ca="1">BDP("613326AA Muni","GB_ASSURANCE_PROVIDERS")</f>
        <v>#NAME?</v>
      </c>
      <c r="O900" t="e">
        <f ca="1">BDP("613326AA Muni","GB_PROJECT_SELECTION_PROCESS")</f>
        <v>#NAME?</v>
      </c>
      <c r="P900" t="e">
        <f ca="1">BDP("613326AA Muni","ESG_FRAMEWORK_INDICATOR")</f>
        <v>#NAME?</v>
      </c>
      <c r="Q900" t="e">
        <f ca="1">BDP("613326AA Muni","BLOOMBERG_SECTOR_CODE")</f>
        <v>#NAME?</v>
      </c>
      <c r="R900" t="e">
        <f ca="1">BDP("613326AA Muni","ISSUER_TYPE")</f>
        <v>#NAME?</v>
      </c>
      <c r="S900" t="e">
        <f ca="1">BDS("613326AA Muni","ESG_PROJECT_CATEGORY", "aggregate=y")</f>
        <v>#NAME?</v>
      </c>
      <c r="T900" t="e">
        <f ca="1">BDS("613326AA Muni","ESG_PROJECT_SUBCATEGORY", "aggregate=y")</f>
        <v>#NAME?</v>
      </c>
    </row>
    <row r="901" spans="1:20" x14ac:dyDescent="0.25">
      <c r="A901" t="e">
        <f ca="1">BDP("613326AC Muni","ID_CUSIP")</f>
        <v>#NAME?</v>
      </c>
      <c r="B901" t="e">
        <f ca="1">BDP("613326AC Muni","STATE_CODE")</f>
        <v>#NAME?</v>
      </c>
      <c r="C901" t="s">
        <v>59</v>
      </c>
      <c r="D901" t="e">
        <f ca="1">BDP("613326AC Muni","YIELD_ON_ISSUE_DATE")</f>
        <v>#NAME?</v>
      </c>
      <c r="E901">
        <v>105000</v>
      </c>
      <c r="F901" t="e">
        <f ca="1">BDP("613326AC Muni","ISSUE_DT")</f>
        <v>#NAME?</v>
      </c>
      <c r="G901" t="e">
        <f ca="1">BDP("613326AC Muni","MATURITY")</f>
        <v>#NAME?</v>
      </c>
      <c r="H901" t="e">
        <f ca="1">BDP("613326AC Muni","MUNI_TAX_PROV")</f>
        <v>#NAME?</v>
      </c>
      <c r="I901" t="e">
        <f ca="1">BDP("613326AC Muni","FINANCING_TYPE")</f>
        <v>#NAME?</v>
      </c>
      <c r="J901" t="e">
        <f ca="1">BDP("613326AC Muni","BICS_LEVEL_2_INDUSTRY_GROUP_NAME")</f>
        <v>#NAME?</v>
      </c>
      <c r="K901" t="e">
        <f ca="1">BDP("613326AC Muni","SELF_REPRTD_GREEN_INSTR_INDCTR")</f>
        <v>#NAME?</v>
      </c>
      <c r="L901" t="e">
        <f ca="1">BDP("613326AC Muni","GB_MANAGEMENT_PROCEEDS")</f>
        <v>#NAME?</v>
      </c>
      <c r="M901" t="e">
        <f ca="1">BDP("613326AC Muni","GB_REPORTING")</f>
        <v>#NAME?</v>
      </c>
      <c r="N901" t="e">
        <f ca="1">BDP("613326AC Muni","GB_ASSURANCE_PROVIDERS")</f>
        <v>#NAME?</v>
      </c>
      <c r="O901" t="e">
        <f ca="1">BDP("613326AC Muni","GB_PROJECT_SELECTION_PROCESS")</f>
        <v>#NAME?</v>
      </c>
      <c r="P901" t="e">
        <f ca="1">BDP("613326AC Muni","ESG_FRAMEWORK_INDICATOR")</f>
        <v>#NAME?</v>
      </c>
      <c r="Q901" t="e">
        <f ca="1">BDP("613326AC Muni","BLOOMBERG_SECTOR_CODE")</f>
        <v>#NAME?</v>
      </c>
      <c r="R901" t="e">
        <f ca="1">BDP("613326AC Muni","ISSUER_TYPE")</f>
        <v>#NAME?</v>
      </c>
      <c r="S901" t="e">
        <f ca="1">BDS("613326AC Muni","ESG_PROJECT_CATEGORY", "aggregate=y")</f>
        <v>#NAME?</v>
      </c>
      <c r="T901" t="e">
        <f ca="1">BDS("613326AC Muni","ESG_PROJECT_SUBCATEGORY", "aggregate=y")</f>
        <v>#NAME?</v>
      </c>
    </row>
    <row r="902" spans="1:20" x14ac:dyDescent="0.25">
      <c r="A902" t="e">
        <f ca="1">BDP("613326AD Muni","ID_CUSIP")</f>
        <v>#NAME?</v>
      </c>
      <c r="B902" t="e">
        <f ca="1">BDP("613326AD Muni","STATE_CODE")</f>
        <v>#NAME?</v>
      </c>
      <c r="C902" t="s">
        <v>59</v>
      </c>
      <c r="D902" t="e">
        <f ca="1">BDP("613326AD Muni","YIELD_ON_ISSUE_DATE")</f>
        <v>#NAME?</v>
      </c>
      <c r="E902">
        <v>160000</v>
      </c>
      <c r="F902" t="e">
        <f ca="1">BDP("613326AD Muni","ISSUE_DT")</f>
        <v>#NAME?</v>
      </c>
      <c r="G902" t="e">
        <f ca="1">BDP("613326AD Muni","MATURITY")</f>
        <v>#NAME?</v>
      </c>
      <c r="H902" t="e">
        <f ca="1">BDP("613326AD Muni","MUNI_TAX_PROV")</f>
        <v>#NAME?</v>
      </c>
      <c r="I902" t="e">
        <f ca="1">BDP("613326AD Muni","FINANCING_TYPE")</f>
        <v>#NAME?</v>
      </c>
      <c r="J902" t="e">
        <f ca="1">BDP("613326AD Muni","BICS_LEVEL_2_INDUSTRY_GROUP_NAME")</f>
        <v>#NAME?</v>
      </c>
      <c r="K902" t="e">
        <f ca="1">BDP("613326AD Muni","SELF_REPRTD_GREEN_INSTR_INDCTR")</f>
        <v>#NAME?</v>
      </c>
      <c r="L902" t="e">
        <f ca="1">BDP("613326AD Muni","GB_MANAGEMENT_PROCEEDS")</f>
        <v>#NAME?</v>
      </c>
      <c r="M902" t="e">
        <f ca="1">BDP("613326AD Muni","GB_REPORTING")</f>
        <v>#NAME?</v>
      </c>
      <c r="N902" t="e">
        <f ca="1">BDP("613326AD Muni","GB_ASSURANCE_PROVIDERS")</f>
        <v>#NAME?</v>
      </c>
      <c r="O902" t="e">
        <f ca="1">BDP("613326AD Muni","GB_PROJECT_SELECTION_PROCESS")</f>
        <v>#NAME?</v>
      </c>
      <c r="P902" t="e">
        <f ca="1">BDP("613326AD Muni","ESG_FRAMEWORK_INDICATOR")</f>
        <v>#NAME?</v>
      </c>
      <c r="Q902" t="e">
        <f ca="1">BDP("613326AD Muni","BLOOMBERG_SECTOR_CODE")</f>
        <v>#NAME?</v>
      </c>
      <c r="R902" t="e">
        <f ca="1">BDP("613326AD Muni","ISSUER_TYPE")</f>
        <v>#NAME?</v>
      </c>
      <c r="S902" t="e">
        <f ca="1">BDS("613326AD Muni","ESG_PROJECT_CATEGORY", "aggregate=y")</f>
        <v>#NAME?</v>
      </c>
      <c r="T902" t="e">
        <f ca="1">BDS("613326AD Muni","ESG_PROJECT_SUBCATEGORY", "aggregate=y")</f>
        <v>#NAME?</v>
      </c>
    </row>
    <row r="903" spans="1:20" x14ac:dyDescent="0.25">
      <c r="A903" t="e">
        <f ca="1">BDP("613326AE Muni","ID_CUSIP")</f>
        <v>#NAME?</v>
      </c>
      <c r="B903" t="e">
        <f ca="1">BDP("613326AE Muni","STATE_CODE")</f>
        <v>#NAME?</v>
      </c>
      <c r="C903" t="s">
        <v>59</v>
      </c>
      <c r="D903" t="e">
        <f ca="1">BDP("613326AE Muni","YIELD_ON_ISSUE_DATE")</f>
        <v>#NAME?</v>
      </c>
      <c r="E903">
        <v>240000</v>
      </c>
      <c r="F903" t="e">
        <f ca="1">BDP("613326AE Muni","ISSUE_DT")</f>
        <v>#NAME?</v>
      </c>
      <c r="G903" t="e">
        <f ca="1">BDP("613326AE Muni","MATURITY")</f>
        <v>#NAME?</v>
      </c>
      <c r="H903" t="e">
        <f ca="1">BDP("613326AE Muni","MUNI_TAX_PROV")</f>
        <v>#NAME?</v>
      </c>
      <c r="I903" t="e">
        <f ca="1">BDP("613326AE Muni","FINANCING_TYPE")</f>
        <v>#NAME?</v>
      </c>
      <c r="J903" t="e">
        <f ca="1">BDP("613326AE Muni","BICS_LEVEL_2_INDUSTRY_GROUP_NAME")</f>
        <v>#NAME?</v>
      </c>
      <c r="K903" t="e">
        <f ca="1">BDP("613326AE Muni","SELF_REPRTD_GREEN_INSTR_INDCTR")</f>
        <v>#NAME?</v>
      </c>
      <c r="L903" t="e">
        <f ca="1">BDP("613326AE Muni","GB_MANAGEMENT_PROCEEDS")</f>
        <v>#NAME?</v>
      </c>
      <c r="M903" t="e">
        <f ca="1">BDP("613326AE Muni","GB_REPORTING")</f>
        <v>#NAME?</v>
      </c>
      <c r="N903" t="e">
        <f ca="1">BDP("613326AE Muni","GB_ASSURANCE_PROVIDERS")</f>
        <v>#NAME?</v>
      </c>
      <c r="O903" t="e">
        <f ca="1">BDP("613326AE Muni","GB_PROJECT_SELECTION_PROCESS")</f>
        <v>#NAME?</v>
      </c>
      <c r="P903" t="e">
        <f ca="1">BDP("613326AE Muni","ESG_FRAMEWORK_INDICATOR")</f>
        <v>#NAME?</v>
      </c>
      <c r="Q903" t="e">
        <f ca="1">BDP("613326AE Muni","BLOOMBERG_SECTOR_CODE")</f>
        <v>#NAME?</v>
      </c>
      <c r="R903" t="e">
        <f ca="1">BDP("613326AE Muni","ISSUER_TYPE")</f>
        <v>#NAME?</v>
      </c>
      <c r="S903" t="e">
        <f ca="1">BDS("613326AE Muni","ESG_PROJECT_CATEGORY", "aggregate=y")</f>
        <v>#NAME?</v>
      </c>
      <c r="T903" t="e">
        <f ca="1">BDS("613326AE Muni","ESG_PROJECT_SUBCATEGORY", "aggregate=y")</f>
        <v>#NAME?</v>
      </c>
    </row>
    <row r="904" spans="1:20" x14ac:dyDescent="0.25">
      <c r="A904" t="e">
        <f ca="1">BDP("613326AF Muni","ID_CUSIP")</f>
        <v>#NAME?</v>
      </c>
      <c r="B904" t="e">
        <f ca="1">BDP("613326AF Muni","STATE_CODE")</f>
        <v>#NAME?</v>
      </c>
      <c r="C904" t="s">
        <v>59</v>
      </c>
      <c r="D904" t="e">
        <f ca="1">BDP("613326AF Muni","YIELD_ON_ISSUE_DATE")</f>
        <v>#NAME?</v>
      </c>
      <c r="E904">
        <v>320000</v>
      </c>
      <c r="F904" t="e">
        <f ca="1">BDP("613326AF Muni","ISSUE_DT")</f>
        <v>#NAME?</v>
      </c>
      <c r="G904" t="e">
        <f ca="1">BDP("613326AF Muni","MATURITY")</f>
        <v>#NAME?</v>
      </c>
      <c r="H904" t="e">
        <f ca="1">BDP("613326AF Muni","MUNI_TAX_PROV")</f>
        <v>#NAME?</v>
      </c>
      <c r="I904" t="e">
        <f ca="1">BDP("613326AF Muni","FINANCING_TYPE")</f>
        <v>#NAME?</v>
      </c>
      <c r="J904" t="e">
        <f ca="1">BDP("613326AF Muni","BICS_LEVEL_2_INDUSTRY_GROUP_NAME")</f>
        <v>#NAME?</v>
      </c>
      <c r="K904" t="e">
        <f ca="1">BDP("613326AF Muni","SELF_REPRTD_GREEN_INSTR_INDCTR")</f>
        <v>#NAME?</v>
      </c>
      <c r="L904" t="e">
        <f ca="1">BDP("613326AF Muni","GB_MANAGEMENT_PROCEEDS")</f>
        <v>#NAME?</v>
      </c>
      <c r="M904" t="e">
        <f ca="1">BDP("613326AF Muni","GB_REPORTING")</f>
        <v>#NAME?</v>
      </c>
      <c r="N904" t="e">
        <f ca="1">BDP("613326AF Muni","GB_ASSURANCE_PROVIDERS")</f>
        <v>#NAME?</v>
      </c>
      <c r="O904" t="e">
        <f ca="1">BDP("613326AF Muni","GB_PROJECT_SELECTION_PROCESS")</f>
        <v>#NAME?</v>
      </c>
      <c r="P904" t="e">
        <f ca="1">BDP("613326AF Muni","ESG_FRAMEWORK_INDICATOR")</f>
        <v>#NAME?</v>
      </c>
      <c r="Q904" t="e">
        <f ca="1">BDP("613326AF Muni","BLOOMBERG_SECTOR_CODE")</f>
        <v>#NAME?</v>
      </c>
      <c r="R904" t="e">
        <f ca="1">BDP("613326AF Muni","ISSUER_TYPE")</f>
        <v>#NAME?</v>
      </c>
      <c r="S904" t="e">
        <f ca="1">BDS("613326AF Muni","ESG_PROJECT_CATEGORY", "aggregate=y")</f>
        <v>#NAME?</v>
      </c>
      <c r="T904" t="e">
        <f ca="1">BDS("613326AF Muni","ESG_PROJECT_SUBCATEGORY", "aggregate=y")</f>
        <v>#NAME?</v>
      </c>
    </row>
    <row r="905" spans="1:20" x14ac:dyDescent="0.25">
      <c r="A905" t="e">
        <f ca="1">BDP("613326AG Muni","ID_CUSIP")</f>
        <v>#NAME?</v>
      </c>
      <c r="B905" t="e">
        <f ca="1">BDP("613326AG Muni","STATE_CODE")</f>
        <v>#NAME?</v>
      </c>
      <c r="C905" t="s">
        <v>59</v>
      </c>
      <c r="D905" t="e">
        <f ca="1">BDP("613326AG Muni","YIELD_ON_ISSUE_DATE")</f>
        <v>#NAME?</v>
      </c>
      <c r="E905">
        <v>345000</v>
      </c>
      <c r="F905" t="e">
        <f ca="1">BDP("613326AG Muni","ISSUE_DT")</f>
        <v>#NAME?</v>
      </c>
      <c r="G905" t="e">
        <f ca="1">BDP("613326AG Muni","MATURITY")</f>
        <v>#NAME?</v>
      </c>
      <c r="H905" t="e">
        <f ca="1">BDP("613326AG Muni","MUNI_TAX_PROV")</f>
        <v>#NAME?</v>
      </c>
      <c r="I905" t="e">
        <f ca="1">BDP("613326AG Muni","FINANCING_TYPE")</f>
        <v>#NAME?</v>
      </c>
      <c r="J905" t="e">
        <f ca="1">BDP("613326AG Muni","BICS_LEVEL_2_INDUSTRY_GROUP_NAME")</f>
        <v>#NAME?</v>
      </c>
      <c r="K905" t="e">
        <f ca="1">BDP("613326AG Muni","SELF_REPRTD_GREEN_INSTR_INDCTR")</f>
        <v>#NAME?</v>
      </c>
      <c r="L905" t="e">
        <f ca="1">BDP("613326AG Muni","GB_MANAGEMENT_PROCEEDS")</f>
        <v>#NAME?</v>
      </c>
      <c r="M905" t="e">
        <f ca="1">BDP("613326AG Muni","GB_REPORTING")</f>
        <v>#NAME?</v>
      </c>
      <c r="N905" t="e">
        <f ca="1">BDP("613326AG Muni","GB_ASSURANCE_PROVIDERS")</f>
        <v>#NAME?</v>
      </c>
      <c r="O905" t="e">
        <f ca="1">BDP("613326AG Muni","GB_PROJECT_SELECTION_PROCESS")</f>
        <v>#NAME?</v>
      </c>
      <c r="P905" t="e">
        <f ca="1">BDP("613326AG Muni","ESG_FRAMEWORK_INDICATOR")</f>
        <v>#NAME?</v>
      </c>
      <c r="Q905" t="e">
        <f ca="1">BDP("613326AG Muni","BLOOMBERG_SECTOR_CODE")</f>
        <v>#NAME?</v>
      </c>
      <c r="R905" t="e">
        <f ca="1">BDP("613326AG Muni","ISSUER_TYPE")</f>
        <v>#NAME?</v>
      </c>
      <c r="S905" t="e">
        <f ca="1">BDS("613326AG Muni","ESG_PROJECT_CATEGORY", "aggregate=y")</f>
        <v>#NAME?</v>
      </c>
      <c r="T905" t="e">
        <f ca="1">BDS("613326AG Muni","ESG_PROJECT_SUBCATEGORY", "aggregate=y")</f>
        <v>#NAME?</v>
      </c>
    </row>
    <row r="906" spans="1:20" x14ac:dyDescent="0.25">
      <c r="A906" t="e">
        <f ca="1">BDP("613326AH Muni","ID_CUSIP")</f>
        <v>#NAME?</v>
      </c>
      <c r="B906" t="e">
        <f ca="1">BDP("613326AH Muni","STATE_CODE")</f>
        <v>#NAME?</v>
      </c>
      <c r="C906" t="s">
        <v>59</v>
      </c>
      <c r="D906" t="e">
        <f ca="1">BDP("613326AH Muni","YIELD_ON_ISSUE_DATE")</f>
        <v>#NAME?</v>
      </c>
      <c r="E906">
        <v>375000</v>
      </c>
      <c r="F906" t="e">
        <f ca="1">BDP("613326AH Muni","ISSUE_DT")</f>
        <v>#NAME?</v>
      </c>
      <c r="G906" t="e">
        <f ca="1">BDP("613326AH Muni","MATURITY")</f>
        <v>#NAME?</v>
      </c>
      <c r="H906" t="e">
        <f ca="1">BDP("613326AH Muni","MUNI_TAX_PROV")</f>
        <v>#NAME?</v>
      </c>
      <c r="I906" t="e">
        <f ca="1">BDP("613326AH Muni","FINANCING_TYPE")</f>
        <v>#NAME?</v>
      </c>
      <c r="J906" t="e">
        <f ca="1">BDP("613326AH Muni","BICS_LEVEL_2_INDUSTRY_GROUP_NAME")</f>
        <v>#NAME?</v>
      </c>
      <c r="K906" t="e">
        <f ca="1">BDP("613326AH Muni","SELF_REPRTD_GREEN_INSTR_INDCTR")</f>
        <v>#NAME?</v>
      </c>
      <c r="L906" t="e">
        <f ca="1">BDP("613326AH Muni","GB_MANAGEMENT_PROCEEDS")</f>
        <v>#NAME?</v>
      </c>
      <c r="M906" t="e">
        <f ca="1">BDP("613326AH Muni","GB_REPORTING")</f>
        <v>#NAME?</v>
      </c>
      <c r="N906" t="e">
        <f ca="1">BDP("613326AH Muni","GB_ASSURANCE_PROVIDERS")</f>
        <v>#NAME?</v>
      </c>
      <c r="O906" t="e">
        <f ca="1">BDP("613326AH Muni","GB_PROJECT_SELECTION_PROCESS")</f>
        <v>#NAME?</v>
      </c>
      <c r="P906" t="e">
        <f ca="1">BDP("613326AH Muni","ESG_FRAMEWORK_INDICATOR")</f>
        <v>#NAME?</v>
      </c>
      <c r="Q906" t="e">
        <f ca="1">BDP("613326AH Muni","BLOOMBERG_SECTOR_CODE")</f>
        <v>#NAME?</v>
      </c>
      <c r="R906" t="e">
        <f ca="1">BDP("613326AH Muni","ISSUER_TYPE")</f>
        <v>#NAME?</v>
      </c>
      <c r="S906" t="e">
        <f ca="1">BDS("613326AH Muni","ESG_PROJECT_CATEGORY", "aggregate=y")</f>
        <v>#NAME?</v>
      </c>
      <c r="T906" t="e">
        <f ca="1">BDS("613326AH Muni","ESG_PROJECT_SUBCATEGORY", "aggregate=y")</f>
        <v>#NAME?</v>
      </c>
    </row>
    <row r="907" spans="1:20" x14ac:dyDescent="0.25">
      <c r="A907" t="e">
        <f ca="1">BDP("613326AJ Muni","ID_CUSIP")</f>
        <v>#NAME?</v>
      </c>
      <c r="B907" t="e">
        <f ca="1">BDP("613326AJ Muni","STATE_CODE")</f>
        <v>#NAME?</v>
      </c>
      <c r="C907" t="s">
        <v>59</v>
      </c>
      <c r="D907" t="e">
        <f ca="1">BDP("613326AJ Muni","YIELD_ON_ISSUE_DATE")</f>
        <v>#NAME?</v>
      </c>
      <c r="E907">
        <v>400000</v>
      </c>
      <c r="F907" t="e">
        <f ca="1">BDP("613326AJ Muni","ISSUE_DT")</f>
        <v>#NAME?</v>
      </c>
      <c r="G907" t="e">
        <f ca="1">BDP("613326AJ Muni","MATURITY")</f>
        <v>#NAME?</v>
      </c>
      <c r="H907" t="e">
        <f ca="1">BDP("613326AJ Muni","MUNI_TAX_PROV")</f>
        <v>#NAME?</v>
      </c>
      <c r="I907" t="e">
        <f ca="1">BDP("613326AJ Muni","FINANCING_TYPE")</f>
        <v>#NAME?</v>
      </c>
      <c r="J907" t="e">
        <f ca="1">BDP("613326AJ Muni","BICS_LEVEL_2_INDUSTRY_GROUP_NAME")</f>
        <v>#NAME?</v>
      </c>
      <c r="K907" t="e">
        <f ca="1">BDP("613326AJ Muni","SELF_REPRTD_GREEN_INSTR_INDCTR")</f>
        <v>#NAME?</v>
      </c>
      <c r="L907" t="e">
        <f ca="1">BDP("613326AJ Muni","GB_MANAGEMENT_PROCEEDS")</f>
        <v>#NAME?</v>
      </c>
      <c r="M907" t="e">
        <f ca="1">BDP("613326AJ Muni","GB_REPORTING")</f>
        <v>#NAME?</v>
      </c>
      <c r="N907" t="e">
        <f ca="1">BDP("613326AJ Muni","GB_ASSURANCE_PROVIDERS")</f>
        <v>#NAME?</v>
      </c>
      <c r="O907" t="e">
        <f ca="1">BDP("613326AJ Muni","GB_PROJECT_SELECTION_PROCESS")</f>
        <v>#NAME?</v>
      </c>
      <c r="P907" t="e">
        <f ca="1">BDP("613326AJ Muni","ESG_FRAMEWORK_INDICATOR")</f>
        <v>#NAME?</v>
      </c>
      <c r="Q907" t="e">
        <f ca="1">BDP("613326AJ Muni","BLOOMBERG_SECTOR_CODE")</f>
        <v>#NAME?</v>
      </c>
      <c r="R907" t="e">
        <f ca="1">BDP("613326AJ Muni","ISSUER_TYPE")</f>
        <v>#NAME?</v>
      </c>
      <c r="S907" t="e">
        <f ca="1">BDS("613326AJ Muni","ESG_PROJECT_CATEGORY", "aggregate=y")</f>
        <v>#NAME?</v>
      </c>
      <c r="T907" t="e">
        <f ca="1">BDS("613326AJ Muni","ESG_PROJECT_SUBCATEGORY", "aggregate=y")</f>
        <v>#NAME?</v>
      </c>
    </row>
    <row r="908" spans="1:20" x14ac:dyDescent="0.25">
      <c r="A908" t="e">
        <f ca="1">BDP("613326AL Muni","ID_CUSIP")</f>
        <v>#NAME?</v>
      </c>
      <c r="B908" t="e">
        <f ca="1">BDP("613326AL Muni","STATE_CODE")</f>
        <v>#NAME?</v>
      </c>
      <c r="C908" t="s">
        <v>59</v>
      </c>
      <c r="D908" t="e">
        <f ca="1">BDP("613326AL Muni","YIELD_ON_ISSUE_DATE")</f>
        <v>#NAME?</v>
      </c>
      <c r="E908">
        <v>460000</v>
      </c>
      <c r="F908" t="e">
        <f ca="1">BDP("613326AL Muni","ISSUE_DT")</f>
        <v>#NAME?</v>
      </c>
      <c r="G908" t="e">
        <f ca="1">BDP("613326AL Muni","MATURITY")</f>
        <v>#NAME?</v>
      </c>
      <c r="H908" t="e">
        <f ca="1">BDP("613326AL Muni","MUNI_TAX_PROV")</f>
        <v>#NAME?</v>
      </c>
      <c r="I908" t="e">
        <f ca="1">BDP("613326AL Muni","FINANCING_TYPE")</f>
        <v>#NAME?</v>
      </c>
      <c r="J908" t="e">
        <f ca="1">BDP("613326AL Muni","BICS_LEVEL_2_INDUSTRY_GROUP_NAME")</f>
        <v>#NAME?</v>
      </c>
      <c r="K908" t="e">
        <f ca="1">BDP("613326AL Muni","SELF_REPRTD_GREEN_INSTR_INDCTR")</f>
        <v>#NAME?</v>
      </c>
      <c r="L908" t="e">
        <f ca="1">BDP("613326AL Muni","GB_MANAGEMENT_PROCEEDS")</f>
        <v>#NAME?</v>
      </c>
      <c r="M908" t="e">
        <f ca="1">BDP("613326AL Muni","GB_REPORTING")</f>
        <v>#NAME?</v>
      </c>
      <c r="N908" t="e">
        <f ca="1">BDP("613326AL Muni","GB_ASSURANCE_PROVIDERS")</f>
        <v>#NAME?</v>
      </c>
      <c r="O908" t="e">
        <f ca="1">BDP("613326AL Muni","GB_PROJECT_SELECTION_PROCESS")</f>
        <v>#NAME?</v>
      </c>
      <c r="P908" t="e">
        <f ca="1">BDP("613326AL Muni","ESG_FRAMEWORK_INDICATOR")</f>
        <v>#NAME?</v>
      </c>
      <c r="Q908" t="e">
        <f ca="1">BDP("613326AL Muni","BLOOMBERG_SECTOR_CODE")</f>
        <v>#NAME?</v>
      </c>
      <c r="R908" t="e">
        <f ca="1">BDP("613326AL Muni","ISSUER_TYPE")</f>
        <v>#NAME?</v>
      </c>
      <c r="S908" t="e">
        <f ca="1">BDS("613326AL Muni","ESG_PROJECT_CATEGORY", "aggregate=y")</f>
        <v>#NAME?</v>
      </c>
      <c r="T908" t="e">
        <f ca="1">BDS("613326AL Muni","ESG_PROJECT_SUBCATEGORY", "aggregate=y")</f>
        <v>#NAME?</v>
      </c>
    </row>
    <row r="909" spans="1:20" x14ac:dyDescent="0.25">
      <c r="A909" t="e">
        <f ca="1">BDP("613326AS Muni","ID_CUSIP")</f>
        <v>#NAME?</v>
      </c>
      <c r="B909" t="e">
        <f ca="1">BDP("613326AS Muni","STATE_CODE")</f>
        <v>#NAME?</v>
      </c>
      <c r="C909" t="s">
        <v>59</v>
      </c>
      <c r="D909" t="e">
        <f ca="1">BDP("613326AS Muni","YIELD_ON_ISSUE_DATE")</f>
        <v>#NAME?</v>
      </c>
      <c r="E909">
        <v>685000</v>
      </c>
      <c r="F909" t="e">
        <f ca="1">BDP("613326AS Muni","ISSUE_DT")</f>
        <v>#NAME?</v>
      </c>
      <c r="G909" t="e">
        <f ca="1">BDP("613326AS Muni","MATURITY")</f>
        <v>#NAME?</v>
      </c>
      <c r="H909" t="e">
        <f ca="1">BDP("613326AS Muni","MUNI_TAX_PROV")</f>
        <v>#NAME?</v>
      </c>
      <c r="I909" t="e">
        <f ca="1">BDP("613326AS Muni","FINANCING_TYPE")</f>
        <v>#NAME?</v>
      </c>
      <c r="J909" t="e">
        <f ca="1">BDP("613326AS Muni","BICS_LEVEL_2_INDUSTRY_GROUP_NAME")</f>
        <v>#NAME?</v>
      </c>
      <c r="K909" t="e">
        <f ca="1">BDP("613326AS Muni","SELF_REPRTD_GREEN_INSTR_INDCTR")</f>
        <v>#NAME?</v>
      </c>
      <c r="L909" t="e">
        <f ca="1">BDP("613326AS Muni","GB_MANAGEMENT_PROCEEDS")</f>
        <v>#NAME?</v>
      </c>
      <c r="M909" t="e">
        <f ca="1">BDP("613326AS Muni","GB_REPORTING")</f>
        <v>#NAME?</v>
      </c>
      <c r="N909" t="e">
        <f ca="1">BDP("613326AS Muni","GB_ASSURANCE_PROVIDERS")</f>
        <v>#NAME?</v>
      </c>
      <c r="O909" t="e">
        <f ca="1">BDP("613326AS Muni","GB_PROJECT_SELECTION_PROCESS")</f>
        <v>#NAME?</v>
      </c>
      <c r="P909" t="e">
        <f ca="1">BDP("613326AS Muni","ESG_FRAMEWORK_INDICATOR")</f>
        <v>#NAME?</v>
      </c>
      <c r="Q909" t="e">
        <f ca="1">BDP("613326AS Muni","BLOOMBERG_SECTOR_CODE")</f>
        <v>#NAME?</v>
      </c>
      <c r="R909" t="e">
        <f ca="1">BDP("613326AS Muni","ISSUER_TYPE")</f>
        <v>#NAME?</v>
      </c>
      <c r="S909" t="e">
        <f ca="1">BDS("613326AS Muni","ESG_PROJECT_CATEGORY", "aggregate=y")</f>
        <v>#NAME?</v>
      </c>
      <c r="T909" t="e">
        <f ca="1">BDS("613326AS Muni","ESG_PROJECT_SUBCATEGORY", "aggregate=y")</f>
        <v>#NAME?</v>
      </c>
    </row>
    <row r="910" spans="1:20" x14ac:dyDescent="0.25">
      <c r="A910" t="e">
        <f ca="1">BDP("613326AT Muni","ID_CUSIP")</f>
        <v>#NAME?</v>
      </c>
      <c r="B910" t="e">
        <f ca="1">BDP("613326AT Muni","STATE_CODE")</f>
        <v>#NAME?</v>
      </c>
      <c r="C910" t="s">
        <v>59</v>
      </c>
      <c r="D910" t="e">
        <f ca="1">BDP("613326AT Muni","YIELD_ON_ISSUE_DATE")</f>
        <v>#NAME?</v>
      </c>
      <c r="E910">
        <v>735000</v>
      </c>
      <c r="F910" t="e">
        <f ca="1">BDP("613326AT Muni","ISSUE_DT")</f>
        <v>#NAME?</v>
      </c>
      <c r="G910" t="e">
        <f ca="1">BDP("613326AT Muni","MATURITY")</f>
        <v>#NAME?</v>
      </c>
      <c r="H910" t="e">
        <f ca="1">BDP("613326AT Muni","MUNI_TAX_PROV")</f>
        <v>#NAME?</v>
      </c>
      <c r="I910" t="e">
        <f ca="1">BDP("613326AT Muni","FINANCING_TYPE")</f>
        <v>#NAME?</v>
      </c>
      <c r="J910" t="e">
        <f ca="1">BDP("613326AT Muni","BICS_LEVEL_2_INDUSTRY_GROUP_NAME")</f>
        <v>#NAME?</v>
      </c>
      <c r="K910" t="e">
        <f ca="1">BDP("613326AT Muni","SELF_REPRTD_GREEN_INSTR_INDCTR")</f>
        <v>#NAME?</v>
      </c>
      <c r="L910" t="e">
        <f ca="1">BDP("613326AT Muni","GB_MANAGEMENT_PROCEEDS")</f>
        <v>#NAME?</v>
      </c>
      <c r="M910" t="e">
        <f ca="1">BDP("613326AT Muni","GB_REPORTING")</f>
        <v>#NAME?</v>
      </c>
      <c r="N910" t="e">
        <f ca="1">BDP("613326AT Muni","GB_ASSURANCE_PROVIDERS")</f>
        <v>#NAME?</v>
      </c>
      <c r="O910" t="e">
        <f ca="1">BDP("613326AT Muni","GB_PROJECT_SELECTION_PROCESS")</f>
        <v>#NAME?</v>
      </c>
      <c r="P910" t="e">
        <f ca="1">BDP("613326AT Muni","ESG_FRAMEWORK_INDICATOR")</f>
        <v>#NAME?</v>
      </c>
      <c r="Q910" t="e">
        <f ca="1">BDP("613326AT Muni","BLOOMBERG_SECTOR_CODE")</f>
        <v>#NAME?</v>
      </c>
      <c r="R910" t="e">
        <f ca="1">BDP("613326AT Muni","ISSUER_TYPE")</f>
        <v>#NAME?</v>
      </c>
      <c r="S910" t="e">
        <f ca="1">BDS("613326AT Muni","ESG_PROJECT_CATEGORY", "aggregate=y")</f>
        <v>#NAME?</v>
      </c>
      <c r="T910" t="e">
        <f ca="1">BDS("613326AT Muni","ESG_PROJECT_SUBCATEGORY", "aggregate=y")</f>
        <v>#NAME?</v>
      </c>
    </row>
    <row r="911" spans="1:20" x14ac:dyDescent="0.25">
      <c r="A911" t="e">
        <f ca="1">BDP("613326AV Muni","ID_CUSIP")</f>
        <v>#NAME?</v>
      </c>
      <c r="B911" t="e">
        <f ca="1">BDP("613326AV Muni","STATE_CODE")</f>
        <v>#NAME?</v>
      </c>
      <c r="C911" t="s">
        <v>59</v>
      </c>
      <c r="D911" t="e">
        <f ca="1">BDP("613326AV Muni","YIELD_ON_ISSUE_DATE")</f>
        <v>#NAME?</v>
      </c>
      <c r="E911">
        <v>835000</v>
      </c>
      <c r="F911" t="e">
        <f ca="1">BDP("613326AV Muni","ISSUE_DT")</f>
        <v>#NAME?</v>
      </c>
      <c r="G911" t="e">
        <f ca="1">BDP("613326AV Muni","MATURITY")</f>
        <v>#NAME?</v>
      </c>
      <c r="H911" t="e">
        <f ca="1">BDP("613326AV Muni","MUNI_TAX_PROV")</f>
        <v>#NAME?</v>
      </c>
      <c r="I911" t="e">
        <f ca="1">BDP("613326AV Muni","FINANCING_TYPE")</f>
        <v>#NAME?</v>
      </c>
      <c r="J911" t="e">
        <f ca="1">BDP("613326AV Muni","BICS_LEVEL_2_INDUSTRY_GROUP_NAME")</f>
        <v>#NAME?</v>
      </c>
      <c r="K911" t="e">
        <f ca="1">BDP("613326AV Muni","SELF_REPRTD_GREEN_INSTR_INDCTR")</f>
        <v>#NAME?</v>
      </c>
      <c r="L911" t="e">
        <f ca="1">BDP("613326AV Muni","GB_MANAGEMENT_PROCEEDS")</f>
        <v>#NAME?</v>
      </c>
      <c r="M911" t="e">
        <f ca="1">BDP("613326AV Muni","GB_REPORTING")</f>
        <v>#NAME?</v>
      </c>
      <c r="N911" t="e">
        <f ca="1">BDP("613326AV Muni","GB_ASSURANCE_PROVIDERS")</f>
        <v>#NAME?</v>
      </c>
      <c r="O911" t="e">
        <f ca="1">BDP("613326AV Muni","GB_PROJECT_SELECTION_PROCESS")</f>
        <v>#NAME?</v>
      </c>
      <c r="P911" t="e">
        <f ca="1">BDP("613326AV Muni","ESG_FRAMEWORK_INDICATOR")</f>
        <v>#NAME?</v>
      </c>
      <c r="Q911" t="e">
        <f ca="1">BDP("613326AV Muni","BLOOMBERG_SECTOR_CODE")</f>
        <v>#NAME?</v>
      </c>
      <c r="R911" t="e">
        <f ca="1">BDP("613326AV Muni","ISSUER_TYPE")</f>
        <v>#NAME?</v>
      </c>
      <c r="S911" t="e">
        <f ca="1">BDS("613326AV Muni","ESG_PROJECT_CATEGORY", "aggregate=y")</f>
        <v>#NAME?</v>
      </c>
      <c r="T911" t="e">
        <f ca="1">BDS("613326AV Muni","ESG_PROJECT_SUBCATEGORY", "aggregate=y")</f>
        <v>#NAME?</v>
      </c>
    </row>
    <row r="912" spans="1:20" x14ac:dyDescent="0.25">
      <c r="A912" t="e">
        <f ca="1">BDP("236670BD Muni","ID_CUSIP")</f>
        <v>#NAME?</v>
      </c>
      <c r="B912" t="e">
        <f ca="1">BDP("236670BD Muni","STATE_CODE")</f>
        <v>#NAME?</v>
      </c>
      <c r="C912" t="s">
        <v>60</v>
      </c>
      <c r="D912" t="e">
        <f ca="1">BDP("236670BD Muni","YIELD_ON_ISSUE_DATE")</f>
        <v>#NAME?</v>
      </c>
      <c r="E912">
        <v>415000</v>
      </c>
      <c r="F912" t="e">
        <f ca="1">BDP("236670BD Muni","ISSUE_DT")</f>
        <v>#NAME?</v>
      </c>
      <c r="G912" t="e">
        <f ca="1">BDP("236670BD Muni","MATURITY")</f>
        <v>#NAME?</v>
      </c>
      <c r="H912" t="e">
        <f ca="1">BDP("236670BD Muni","MUNI_TAX_PROV")</f>
        <v>#NAME?</v>
      </c>
      <c r="I912" t="e">
        <f ca="1">BDP("236670BD Muni","FINANCING_TYPE")</f>
        <v>#NAME?</v>
      </c>
      <c r="J912" t="e">
        <f ca="1">BDP("236670BD Muni","BICS_LEVEL_2_INDUSTRY_GROUP_NAME")</f>
        <v>#NAME?</v>
      </c>
      <c r="K912" t="e">
        <f ca="1">BDP("236670BD Muni","SELF_REPRTD_GREEN_INSTR_INDCTR")</f>
        <v>#NAME?</v>
      </c>
      <c r="L912" t="e">
        <f ca="1">BDP("236670BD Muni","GB_MANAGEMENT_PROCEEDS")</f>
        <v>#NAME?</v>
      </c>
      <c r="M912" t="e">
        <f ca="1">BDP("236670BD Muni","GB_REPORTING")</f>
        <v>#NAME?</v>
      </c>
      <c r="N912" t="e">
        <f ca="1">BDP("236670BD Muni","GB_ASSURANCE_PROVIDERS")</f>
        <v>#NAME?</v>
      </c>
      <c r="O912" t="e">
        <f ca="1">BDP("236670BD Muni","GB_PROJECT_SELECTION_PROCESS")</f>
        <v>#NAME?</v>
      </c>
      <c r="P912" t="e">
        <f ca="1">BDP("236670BD Muni","ESG_FRAMEWORK_INDICATOR")</f>
        <v>#NAME?</v>
      </c>
      <c r="Q912" t="e">
        <f ca="1">BDP("236670BD Muni","BLOOMBERG_SECTOR_CODE")</f>
        <v>#NAME?</v>
      </c>
      <c r="R912" t="e">
        <f ca="1">BDP("236670BD Muni","ISSUER_TYPE")</f>
        <v>#NAME?</v>
      </c>
      <c r="S912" t="e">
        <f ca="1">BDS("236670BD Muni","ESG_PROJECT_CATEGORY", "aggregate=y")</f>
        <v>#NAME?</v>
      </c>
      <c r="T912" t="e">
        <f ca="1">BDS("236670BD Muni","ESG_PROJECT_SUBCATEGORY", "aggregate=y")</f>
        <v>#NAME?</v>
      </c>
    </row>
    <row r="913" spans="1:20" x14ac:dyDescent="0.25">
      <c r="A913" t="e">
        <f ca="1">BDP("236670BG Muni","ID_CUSIP")</f>
        <v>#NAME?</v>
      </c>
      <c r="B913" t="e">
        <f ca="1">BDP("236670BG Muni","STATE_CODE")</f>
        <v>#NAME?</v>
      </c>
      <c r="C913" t="s">
        <v>60</v>
      </c>
      <c r="D913" t="e">
        <f ca="1">BDP("236670BG Muni","YIELD_ON_ISSUE_DATE")</f>
        <v>#NAME?</v>
      </c>
      <c r="E913">
        <v>185000</v>
      </c>
      <c r="F913" t="e">
        <f ca="1">BDP("236670BG Muni","ISSUE_DT")</f>
        <v>#NAME?</v>
      </c>
      <c r="G913" t="e">
        <f ca="1">BDP("236670BG Muni","MATURITY")</f>
        <v>#NAME?</v>
      </c>
      <c r="H913" t="e">
        <f ca="1">BDP("236670BG Muni","MUNI_TAX_PROV")</f>
        <v>#NAME?</v>
      </c>
      <c r="I913" t="e">
        <f ca="1">BDP("236670BG Muni","FINANCING_TYPE")</f>
        <v>#NAME?</v>
      </c>
      <c r="J913" t="e">
        <f ca="1">BDP("236670BG Muni","BICS_LEVEL_2_INDUSTRY_GROUP_NAME")</f>
        <v>#NAME?</v>
      </c>
      <c r="K913" t="e">
        <f ca="1">BDP("236670BG Muni","SELF_REPRTD_GREEN_INSTR_INDCTR")</f>
        <v>#NAME?</v>
      </c>
      <c r="L913" t="e">
        <f ca="1">BDP("236670BG Muni","GB_MANAGEMENT_PROCEEDS")</f>
        <v>#NAME?</v>
      </c>
      <c r="M913" t="e">
        <f ca="1">BDP("236670BG Muni","GB_REPORTING")</f>
        <v>#NAME?</v>
      </c>
      <c r="N913" t="e">
        <f ca="1">BDP("236670BG Muni","GB_ASSURANCE_PROVIDERS")</f>
        <v>#NAME?</v>
      </c>
      <c r="O913" t="e">
        <f ca="1">BDP("236670BG Muni","GB_PROJECT_SELECTION_PROCESS")</f>
        <v>#NAME?</v>
      </c>
      <c r="P913" t="e">
        <f ca="1">BDP("236670BG Muni","ESG_FRAMEWORK_INDICATOR")</f>
        <v>#NAME?</v>
      </c>
      <c r="Q913" t="e">
        <f ca="1">BDP("236670BG Muni","BLOOMBERG_SECTOR_CODE")</f>
        <v>#NAME?</v>
      </c>
      <c r="R913" t="e">
        <f ca="1">BDP("236670BG Muni","ISSUER_TYPE")</f>
        <v>#NAME?</v>
      </c>
      <c r="S913" t="e">
        <f ca="1">BDS("236670BG Muni","ESG_PROJECT_CATEGORY", "aggregate=y")</f>
        <v>#NAME?</v>
      </c>
      <c r="T913" t="e">
        <f ca="1">BDS("236670BG Muni","ESG_PROJECT_SUBCATEGORY", "aggregate=y")</f>
        <v>#NAME?</v>
      </c>
    </row>
    <row r="914" spans="1:20" x14ac:dyDescent="0.25">
      <c r="A914" t="e">
        <f ca="1">BDP("613326AM Muni","ID_CUSIP")</f>
        <v>#NAME?</v>
      </c>
      <c r="B914" t="e">
        <f ca="1">BDP("613326AM Muni","STATE_CODE")</f>
        <v>#NAME?</v>
      </c>
      <c r="C914" t="s">
        <v>59</v>
      </c>
      <c r="D914" t="e">
        <f ca="1">BDP("613326AM Muni","YIELD_ON_ISSUE_DATE")</f>
        <v>#NAME?</v>
      </c>
      <c r="E914">
        <v>495000</v>
      </c>
      <c r="F914" t="e">
        <f ca="1">BDP("613326AM Muni","ISSUE_DT")</f>
        <v>#NAME?</v>
      </c>
      <c r="G914" t="e">
        <f ca="1">BDP("613326AM Muni","MATURITY")</f>
        <v>#NAME?</v>
      </c>
      <c r="H914" t="e">
        <f ca="1">BDP("613326AM Muni","MUNI_TAX_PROV")</f>
        <v>#NAME?</v>
      </c>
      <c r="I914" t="e">
        <f ca="1">BDP("613326AM Muni","FINANCING_TYPE")</f>
        <v>#NAME?</v>
      </c>
      <c r="J914" t="e">
        <f ca="1">BDP("613326AM Muni","BICS_LEVEL_2_INDUSTRY_GROUP_NAME")</f>
        <v>#NAME?</v>
      </c>
      <c r="K914" t="e">
        <f ca="1">BDP("613326AM Muni","SELF_REPRTD_GREEN_INSTR_INDCTR")</f>
        <v>#NAME?</v>
      </c>
      <c r="L914" t="e">
        <f ca="1">BDP("613326AM Muni","GB_MANAGEMENT_PROCEEDS")</f>
        <v>#NAME?</v>
      </c>
      <c r="M914" t="e">
        <f ca="1">BDP("613326AM Muni","GB_REPORTING")</f>
        <v>#NAME?</v>
      </c>
      <c r="N914" t="e">
        <f ca="1">BDP("613326AM Muni","GB_ASSURANCE_PROVIDERS")</f>
        <v>#NAME?</v>
      </c>
      <c r="O914" t="e">
        <f ca="1">BDP("613326AM Muni","GB_PROJECT_SELECTION_PROCESS")</f>
        <v>#NAME?</v>
      </c>
      <c r="P914" t="e">
        <f ca="1">BDP("613326AM Muni","ESG_FRAMEWORK_INDICATOR")</f>
        <v>#NAME?</v>
      </c>
      <c r="Q914" t="e">
        <f ca="1">BDP("613326AM Muni","BLOOMBERG_SECTOR_CODE")</f>
        <v>#NAME?</v>
      </c>
      <c r="R914" t="e">
        <f ca="1">BDP("613326AM Muni","ISSUER_TYPE")</f>
        <v>#NAME?</v>
      </c>
      <c r="S914" t="e">
        <f ca="1">BDS("613326AM Muni","ESG_PROJECT_CATEGORY", "aggregate=y")</f>
        <v>#NAME?</v>
      </c>
      <c r="T914" t="e">
        <f ca="1">BDS("613326AM Muni","ESG_PROJECT_SUBCATEGORY", "aggregate=y")</f>
        <v>#NAME?</v>
      </c>
    </row>
    <row r="915" spans="1:20" x14ac:dyDescent="0.25">
      <c r="A915" t="e">
        <f ca="1">BDP("613326AN Muni","ID_CUSIP")</f>
        <v>#NAME?</v>
      </c>
      <c r="B915" t="e">
        <f ca="1">BDP("613326AN Muni","STATE_CODE")</f>
        <v>#NAME?</v>
      </c>
      <c r="C915" t="s">
        <v>59</v>
      </c>
      <c r="D915" t="e">
        <f ca="1">BDP("613326AN Muni","YIELD_ON_ISSUE_DATE")</f>
        <v>#NAME?</v>
      </c>
      <c r="E915">
        <v>530000</v>
      </c>
      <c r="F915" t="e">
        <f ca="1">BDP("613326AN Muni","ISSUE_DT")</f>
        <v>#NAME?</v>
      </c>
      <c r="G915" t="e">
        <f ca="1">BDP("613326AN Muni","MATURITY")</f>
        <v>#NAME?</v>
      </c>
      <c r="H915" t="e">
        <f ca="1">BDP("613326AN Muni","MUNI_TAX_PROV")</f>
        <v>#NAME?</v>
      </c>
      <c r="I915" t="e">
        <f ca="1">BDP("613326AN Muni","FINANCING_TYPE")</f>
        <v>#NAME?</v>
      </c>
      <c r="J915" t="e">
        <f ca="1">BDP("613326AN Muni","BICS_LEVEL_2_INDUSTRY_GROUP_NAME")</f>
        <v>#NAME?</v>
      </c>
      <c r="K915" t="e">
        <f ca="1">BDP("613326AN Muni","SELF_REPRTD_GREEN_INSTR_INDCTR")</f>
        <v>#NAME?</v>
      </c>
      <c r="L915" t="e">
        <f ca="1">BDP("613326AN Muni","GB_MANAGEMENT_PROCEEDS")</f>
        <v>#NAME?</v>
      </c>
      <c r="M915" t="e">
        <f ca="1">BDP("613326AN Muni","GB_REPORTING")</f>
        <v>#NAME?</v>
      </c>
      <c r="N915" t="e">
        <f ca="1">BDP("613326AN Muni","GB_ASSURANCE_PROVIDERS")</f>
        <v>#NAME?</v>
      </c>
      <c r="O915" t="e">
        <f ca="1">BDP("613326AN Muni","GB_PROJECT_SELECTION_PROCESS")</f>
        <v>#NAME?</v>
      </c>
      <c r="P915" t="e">
        <f ca="1">BDP("613326AN Muni","ESG_FRAMEWORK_INDICATOR")</f>
        <v>#NAME?</v>
      </c>
      <c r="Q915" t="e">
        <f ca="1">BDP("613326AN Muni","BLOOMBERG_SECTOR_CODE")</f>
        <v>#NAME?</v>
      </c>
      <c r="R915" t="e">
        <f ca="1">BDP("613326AN Muni","ISSUER_TYPE")</f>
        <v>#NAME?</v>
      </c>
      <c r="S915" t="e">
        <f ca="1">BDS("613326AN Muni","ESG_PROJECT_CATEGORY", "aggregate=y")</f>
        <v>#NAME?</v>
      </c>
      <c r="T915" t="e">
        <f ca="1">BDS("613326AN Muni","ESG_PROJECT_SUBCATEGORY", "aggregate=y")</f>
        <v>#NAME?</v>
      </c>
    </row>
    <row r="916" spans="1:20" x14ac:dyDescent="0.25">
      <c r="A916" t="e">
        <f ca="1">BDP("613326AP Muni","ID_CUSIP")</f>
        <v>#NAME?</v>
      </c>
      <c r="B916" t="e">
        <f ca="1">BDP("613326AP Muni","STATE_CODE")</f>
        <v>#NAME?</v>
      </c>
      <c r="C916" t="s">
        <v>59</v>
      </c>
      <c r="D916" t="e">
        <f ca="1">BDP("613326AP Muni","YIELD_ON_ISSUE_DATE")</f>
        <v>#NAME?</v>
      </c>
      <c r="E916">
        <v>565000</v>
      </c>
      <c r="F916" t="e">
        <f ca="1">BDP("613326AP Muni","ISSUE_DT")</f>
        <v>#NAME?</v>
      </c>
      <c r="G916" t="e">
        <f ca="1">BDP("613326AP Muni","MATURITY")</f>
        <v>#NAME?</v>
      </c>
      <c r="H916" t="e">
        <f ca="1">BDP("613326AP Muni","MUNI_TAX_PROV")</f>
        <v>#NAME?</v>
      </c>
      <c r="I916" t="e">
        <f ca="1">BDP("613326AP Muni","FINANCING_TYPE")</f>
        <v>#NAME?</v>
      </c>
      <c r="J916" t="e">
        <f ca="1">BDP("613326AP Muni","BICS_LEVEL_2_INDUSTRY_GROUP_NAME")</f>
        <v>#NAME?</v>
      </c>
      <c r="K916" t="e">
        <f ca="1">BDP("613326AP Muni","SELF_REPRTD_GREEN_INSTR_INDCTR")</f>
        <v>#NAME?</v>
      </c>
      <c r="L916" t="e">
        <f ca="1">BDP("613326AP Muni","GB_MANAGEMENT_PROCEEDS")</f>
        <v>#NAME?</v>
      </c>
      <c r="M916" t="e">
        <f ca="1">BDP("613326AP Muni","GB_REPORTING")</f>
        <v>#NAME?</v>
      </c>
      <c r="N916" t="e">
        <f ca="1">BDP("613326AP Muni","GB_ASSURANCE_PROVIDERS")</f>
        <v>#NAME?</v>
      </c>
      <c r="O916" t="e">
        <f ca="1">BDP("613326AP Muni","GB_PROJECT_SELECTION_PROCESS")</f>
        <v>#NAME?</v>
      </c>
      <c r="P916" t="e">
        <f ca="1">BDP("613326AP Muni","ESG_FRAMEWORK_INDICATOR")</f>
        <v>#NAME?</v>
      </c>
      <c r="Q916" t="e">
        <f ca="1">BDP("613326AP Muni","BLOOMBERG_SECTOR_CODE")</f>
        <v>#NAME?</v>
      </c>
      <c r="R916" t="e">
        <f ca="1">BDP("613326AP Muni","ISSUER_TYPE")</f>
        <v>#NAME?</v>
      </c>
      <c r="S916" t="e">
        <f ca="1">BDS("613326AP Muni","ESG_PROJECT_CATEGORY", "aggregate=y")</f>
        <v>#NAME?</v>
      </c>
      <c r="T916" t="e">
        <f ca="1">BDS("613326AP Muni","ESG_PROJECT_SUBCATEGORY", "aggregate=y")</f>
        <v>#NAME?</v>
      </c>
    </row>
    <row r="917" spans="1:20" x14ac:dyDescent="0.25">
      <c r="A917" t="e">
        <f ca="1">BDP("88035RAY Muni","ID_CUSIP")</f>
        <v>#NAME?</v>
      </c>
      <c r="B917" t="e">
        <f ca="1">BDP("88035RAY Muni","STATE_CODE")</f>
        <v>#NAME?</v>
      </c>
      <c r="C917" t="s">
        <v>25</v>
      </c>
      <c r="D917" t="e">
        <f ca="1">BDP("88035RAY Muni","YIELD_ON_ISSUE_DATE")</f>
        <v>#NAME?</v>
      </c>
      <c r="E917">
        <v>12510000</v>
      </c>
      <c r="F917" t="e">
        <f ca="1">BDP("88035RAY Muni","ISSUE_DT")</f>
        <v>#NAME?</v>
      </c>
      <c r="G917" t="e">
        <f ca="1">BDP("88035RAY Muni","MATURITY")</f>
        <v>#NAME?</v>
      </c>
      <c r="H917" t="e">
        <f ca="1">BDP("88035RAY Muni","MUNI_TAX_PROV")</f>
        <v>#NAME?</v>
      </c>
      <c r="I917" t="e">
        <f ca="1">BDP("88035RAY Muni","FINANCING_TYPE")</f>
        <v>#NAME?</v>
      </c>
      <c r="J917" t="e">
        <f ca="1">BDP("88035RAY Muni","BICS_LEVEL_2_INDUSTRY_GROUP_NAME")</f>
        <v>#NAME?</v>
      </c>
      <c r="K917" t="e">
        <f ca="1">BDP("88035RAY Muni","SELF_REPRTD_GREEN_INSTR_INDCTR")</f>
        <v>#NAME?</v>
      </c>
      <c r="L917" t="e">
        <f ca="1">BDP("88035RAY Muni","GB_MANAGEMENT_PROCEEDS")</f>
        <v>#NAME?</v>
      </c>
      <c r="M917" t="e">
        <f ca="1">BDP("88035RAY Muni","GB_REPORTING")</f>
        <v>#NAME?</v>
      </c>
      <c r="N917" t="e">
        <f ca="1">BDP("88035RAY Muni","GB_ASSURANCE_PROVIDERS")</f>
        <v>#NAME?</v>
      </c>
      <c r="O917" t="e">
        <f ca="1">BDP("88035RAY Muni","GB_PROJECT_SELECTION_PROCESS")</f>
        <v>#NAME?</v>
      </c>
      <c r="P917" t="e">
        <f ca="1">BDP("88035RAY Muni","ESG_FRAMEWORK_INDICATOR")</f>
        <v>#NAME?</v>
      </c>
      <c r="Q917" t="e">
        <f ca="1">BDP("88035RAY Muni","BLOOMBERG_SECTOR_CODE")</f>
        <v>#NAME?</v>
      </c>
      <c r="R917" t="e">
        <f ca="1">BDP("88035RAY Muni","ISSUER_TYPE")</f>
        <v>#NAME?</v>
      </c>
      <c r="S917" t="e">
        <f ca="1">BDS("88035RAY Muni","ESG_PROJECT_CATEGORY", "aggregate=y")</f>
        <v>#NAME?</v>
      </c>
      <c r="T917" t="e">
        <f ca="1">BDS("88035RAY Muni","ESG_PROJECT_SUBCATEGORY", "aggregate=y")</f>
        <v>#NAME?</v>
      </c>
    </row>
    <row r="918" spans="1:20" x14ac:dyDescent="0.25">
      <c r="A918" t="e">
        <f ca="1">BDP("88035RAZ Muni","ID_CUSIP")</f>
        <v>#NAME?</v>
      </c>
      <c r="B918" t="e">
        <f ca="1">BDP("88035RAZ Muni","STATE_CODE")</f>
        <v>#NAME?</v>
      </c>
      <c r="C918" t="s">
        <v>25</v>
      </c>
      <c r="D918" t="e">
        <f ca="1">BDP("88035RAZ Muni","YIELD_ON_ISSUE_DATE")</f>
        <v>#NAME?</v>
      </c>
      <c r="E918">
        <v>4175000</v>
      </c>
      <c r="F918" t="e">
        <f ca="1">BDP("88035RAZ Muni","ISSUE_DT")</f>
        <v>#NAME?</v>
      </c>
      <c r="G918" t="e">
        <f ca="1">BDP("88035RAZ Muni","MATURITY")</f>
        <v>#NAME?</v>
      </c>
      <c r="H918" t="e">
        <f ca="1">BDP("88035RAZ Muni","MUNI_TAX_PROV")</f>
        <v>#NAME?</v>
      </c>
      <c r="I918" t="e">
        <f ca="1">BDP("88035RAZ Muni","FINANCING_TYPE")</f>
        <v>#NAME?</v>
      </c>
      <c r="J918" t="e">
        <f ca="1">BDP("88035RAZ Muni","BICS_LEVEL_2_INDUSTRY_GROUP_NAME")</f>
        <v>#NAME?</v>
      </c>
      <c r="K918" t="e">
        <f ca="1">BDP("88035RAZ Muni","SELF_REPRTD_GREEN_INSTR_INDCTR")</f>
        <v>#NAME?</v>
      </c>
      <c r="L918" t="e">
        <f ca="1">BDP("88035RAZ Muni","GB_MANAGEMENT_PROCEEDS")</f>
        <v>#NAME?</v>
      </c>
      <c r="M918" t="e">
        <f ca="1">BDP("88035RAZ Muni","GB_REPORTING")</f>
        <v>#NAME?</v>
      </c>
      <c r="N918" t="e">
        <f ca="1">BDP("88035RAZ Muni","GB_ASSURANCE_PROVIDERS")</f>
        <v>#NAME?</v>
      </c>
      <c r="O918" t="e">
        <f ca="1">BDP("88035RAZ Muni","GB_PROJECT_SELECTION_PROCESS")</f>
        <v>#NAME?</v>
      </c>
      <c r="P918" t="e">
        <f ca="1">BDP("88035RAZ Muni","ESG_FRAMEWORK_INDICATOR")</f>
        <v>#NAME?</v>
      </c>
      <c r="Q918" t="e">
        <f ca="1">BDP("88035RAZ Muni","BLOOMBERG_SECTOR_CODE")</f>
        <v>#NAME?</v>
      </c>
      <c r="R918" t="e">
        <f ca="1">BDP("88035RAZ Muni","ISSUER_TYPE")</f>
        <v>#NAME?</v>
      </c>
      <c r="S918" t="e">
        <f ca="1">BDS("88035RAZ Muni","ESG_PROJECT_CATEGORY", "aggregate=y")</f>
        <v>#NAME?</v>
      </c>
      <c r="T918" t="e">
        <f ca="1">BDS("88035RAZ Muni","ESG_PROJECT_SUBCATEGORY", "aggregate=y")</f>
        <v>#NAME?</v>
      </c>
    </row>
    <row r="919" spans="1:20" x14ac:dyDescent="0.25">
      <c r="A919" t="e">
        <f ca="1">BDP("236670BL Muni","ID_CUSIP")</f>
        <v>#NAME?</v>
      </c>
      <c r="B919" t="e">
        <f ca="1">BDP("236670BL Muni","STATE_CODE")</f>
        <v>#NAME?</v>
      </c>
      <c r="C919" t="s">
        <v>60</v>
      </c>
      <c r="D919" t="e">
        <f ca="1">BDP("236670BL Muni","YIELD_ON_ISSUE_DATE")</f>
        <v>#NAME?</v>
      </c>
      <c r="E919">
        <v>50000</v>
      </c>
      <c r="F919" t="e">
        <f ca="1">BDP("236670BL Muni","ISSUE_DT")</f>
        <v>#NAME?</v>
      </c>
      <c r="G919" t="e">
        <f ca="1">BDP("236670BL Muni","MATURITY")</f>
        <v>#NAME?</v>
      </c>
      <c r="H919" t="e">
        <f ca="1">BDP("236670BL Muni","MUNI_TAX_PROV")</f>
        <v>#NAME?</v>
      </c>
      <c r="I919" t="e">
        <f ca="1">BDP("236670BL Muni","FINANCING_TYPE")</f>
        <v>#NAME?</v>
      </c>
      <c r="J919" t="e">
        <f ca="1">BDP("236670BL Muni","BICS_LEVEL_2_INDUSTRY_GROUP_NAME")</f>
        <v>#NAME?</v>
      </c>
      <c r="K919" t="e">
        <f ca="1">BDP("236670BL Muni","SELF_REPRTD_GREEN_INSTR_INDCTR")</f>
        <v>#NAME?</v>
      </c>
      <c r="L919" t="e">
        <f ca="1">BDP("236670BL Muni","GB_MANAGEMENT_PROCEEDS")</f>
        <v>#NAME?</v>
      </c>
      <c r="M919" t="e">
        <f ca="1">BDP("236670BL Muni","GB_REPORTING")</f>
        <v>#NAME?</v>
      </c>
      <c r="N919" t="e">
        <f ca="1">BDP("236670BL Muni","GB_ASSURANCE_PROVIDERS")</f>
        <v>#NAME?</v>
      </c>
      <c r="O919" t="e">
        <f ca="1">BDP("236670BL Muni","GB_PROJECT_SELECTION_PROCESS")</f>
        <v>#NAME?</v>
      </c>
      <c r="P919" t="e">
        <f ca="1">BDP("236670BL Muni","ESG_FRAMEWORK_INDICATOR")</f>
        <v>#NAME?</v>
      </c>
      <c r="Q919" t="e">
        <f ca="1">BDP("236670BL Muni","BLOOMBERG_SECTOR_CODE")</f>
        <v>#NAME?</v>
      </c>
      <c r="R919" t="e">
        <f ca="1">BDP("236670BL Muni","ISSUER_TYPE")</f>
        <v>#NAME?</v>
      </c>
      <c r="S919" t="e">
        <f ca="1">BDS("236670BL Muni","ESG_PROJECT_CATEGORY", "aggregate=y")</f>
        <v>#NAME?</v>
      </c>
      <c r="T919" t="e">
        <f ca="1">BDS("236670BL Muni","ESG_PROJECT_SUBCATEGORY", "aggregate=y")</f>
        <v>#NAME?</v>
      </c>
    </row>
    <row r="920" spans="1:20" x14ac:dyDescent="0.25">
      <c r="A920" t="e">
        <f ca="1">BDP("613326AR Muni","ID_CUSIP")</f>
        <v>#NAME?</v>
      </c>
      <c r="B920" t="e">
        <f ca="1">BDP("613326AR Muni","STATE_CODE")</f>
        <v>#NAME?</v>
      </c>
      <c r="C920" t="s">
        <v>59</v>
      </c>
      <c r="D920" t="e">
        <f ca="1">BDP("613326AR Muni","YIELD_ON_ISSUE_DATE")</f>
        <v>#NAME?</v>
      </c>
      <c r="E920">
        <v>645000</v>
      </c>
      <c r="F920" t="e">
        <f ca="1">BDP("613326AR Muni","ISSUE_DT")</f>
        <v>#NAME?</v>
      </c>
      <c r="G920" t="e">
        <f ca="1">BDP("613326AR Muni","MATURITY")</f>
        <v>#NAME?</v>
      </c>
      <c r="H920" t="e">
        <f ca="1">BDP("613326AR Muni","MUNI_TAX_PROV")</f>
        <v>#NAME?</v>
      </c>
      <c r="I920" t="e">
        <f ca="1">BDP("613326AR Muni","FINANCING_TYPE")</f>
        <v>#NAME?</v>
      </c>
      <c r="J920" t="e">
        <f ca="1">BDP("613326AR Muni","BICS_LEVEL_2_INDUSTRY_GROUP_NAME")</f>
        <v>#NAME?</v>
      </c>
      <c r="K920" t="e">
        <f ca="1">BDP("613326AR Muni","SELF_REPRTD_GREEN_INSTR_INDCTR")</f>
        <v>#NAME?</v>
      </c>
      <c r="L920" t="e">
        <f ca="1">BDP("613326AR Muni","GB_MANAGEMENT_PROCEEDS")</f>
        <v>#NAME?</v>
      </c>
      <c r="M920" t="e">
        <f ca="1">BDP("613326AR Muni","GB_REPORTING")</f>
        <v>#NAME?</v>
      </c>
      <c r="N920" t="e">
        <f ca="1">BDP("613326AR Muni","GB_ASSURANCE_PROVIDERS")</f>
        <v>#NAME?</v>
      </c>
      <c r="O920" t="e">
        <f ca="1">BDP("613326AR Muni","GB_PROJECT_SELECTION_PROCESS")</f>
        <v>#NAME?</v>
      </c>
      <c r="P920" t="e">
        <f ca="1">BDP("613326AR Muni","ESG_FRAMEWORK_INDICATOR")</f>
        <v>#NAME?</v>
      </c>
      <c r="Q920" t="e">
        <f ca="1">BDP("613326AR Muni","BLOOMBERG_SECTOR_CODE")</f>
        <v>#NAME?</v>
      </c>
      <c r="R920" t="e">
        <f ca="1">BDP("613326AR Muni","ISSUER_TYPE")</f>
        <v>#NAME?</v>
      </c>
      <c r="S920" t="e">
        <f ca="1">BDS("613326AR Muni","ESG_PROJECT_CATEGORY", "aggregate=y")</f>
        <v>#NAME?</v>
      </c>
      <c r="T920" t="e">
        <f ca="1">BDS("613326AR Muni","ESG_PROJECT_SUBCATEGORY", "aggregate=y")</f>
        <v>#NAME?</v>
      </c>
    </row>
    <row r="921" spans="1:20" x14ac:dyDescent="0.25">
      <c r="A921" t="e">
        <f ca="1">BDP("236670BH Muni","ID_CUSIP")</f>
        <v>#NAME?</v>
      </c>
      <c r="B921" t="e">
        <f ca="1">BDP("236670BH Muni","STATE_CODE")</f>
        <v>#NAME?</v>
      </c>
      <c r="C921" t="s">
        <v>60</v>
      </c>
      <c r="D921" t="e">
        <f ca="1">BDP("236670BH Muni","YIELD_ON_ISSUE_DATE")</f>
        <v>#NAME?</v>
      </c>
      <c r="E921">
        <v>195000</v>
      </c>
      <c r="F921" t="e">
        <f ca="1">BDP("236670BH Muni","ISSUE_DT")</f>
        <v>#NAME?</v>
      </c>
      <c r="G921" t="e">
        <f ca="1">BDP("236670BH Muni","MATURITY")</f>
        <v>#NAME?</v>
      </c>
      <c r="H921" t="e">
        <f ca="1">BDP("236670BH Muni","MUNI_TAX_PROV")</f>
        <v>#NAME?</v>
      </c>
      <c r="I921" t="e">
        <f ca="1">BDP("236670BH Muni","FINANCING_TYPE")</f>
        <v>#NAME?</v>
      </c>
      <c r="J921" t="e">
        <f ca="1">BDP("236670BH Muni","BICS_LEVEL_2_INDUSTRY_GROUP_NAME")</f>
        <v>#NAME?</v>
      </c>
      <c r="K921" t="e">
        <f ca="1">BDP("236670BH Muni","SELF_REPRTD_GREEN_INSTR_INDCTR")</f>
        <v>#NAME?</v>
      </c>
      <c r="L921" t="e">
        <f ca="1">BDP("236670BH Muni","GB_MANAGEMENT_PROCEEDS")</f>
        <v>#NAME?</v>
      </c>
      <c r="M921" t="e">
        <f ca="1">BDP("236670BH Muni","GB_REPORTING")</f>
        <v>#NAME?</v>
      </c>
      <c r="N921" t="e">
        <f ca="1">BDP("236670BH Muni","GB_ASSURANCE_PROVIDERS")</f>
        <v>#NAME?</v>
      </c>
      <c r="O921" t="e">
        <f ca="1">BDP("236670BH Muni","GB_PROJECT_SELECTION_PROCESS")</f>
        <v>#NAME?</v>
      </c>
      <c r="P921" t="e">
        <f ca="1">BDP("236670BH Muni","ESG_FRAMEWORK_INDICATOR")</f>
        <v>#NAME?</v>
      </c>
      <c r="Q921" t="e">
        <f ca="1">BDP("236670BH Muni","BLOOMBERG_SECTOR_CODE")</f>
        <v>#NAME?</v>
      </c>
      <c r="R921" t="e">
        <f ca="1">BDP("236670BH Muni","ISSUER_TYPE")</f>
        <v>#NAME?</v>
      </c>
      <c r="S921" t="e">
        <f ca="1">BDS("236670BH Muni","ESG_PROJECT_CATEGORY", "aggregate=y")</f>
        <v>#NAME?</v>
      </c>
      <c r="T921" t="e">
        <f ca="1">BDS("236670BH Muni","ESG_PROJECT_SUBCATEGORY", "aggregate=y")</f>
        <v>#NAME?</v>
      </c>
    </row>
    <row r="922" spans="1:20" x14ac:dyDescent="0.25">
      <c r="A922" t="e">
        <f ca="1">BDP("236670BJ Muni","ID_CUSIP")</f>
        <v>#NAME?</v>
      </c>
      <c r="B922" t="e">
        <f ca="1">BDP("236670BJ Muni","STATE_CODE")</f>
        <v>#NAME?</v>
      </c>
      <c r="C922" t="s">
        <v>60</v>
      </c>
      <c r="D922" t="e">
        <f ca="1">BDP("236670BJ Muni","YIELD_ON_ISSUE_DATE")</f>
        <v>#NAME?</v>
      </c>
      <c r="E922">
        <v>205000</v>
      </c>
      <c r="F922" t="e">
        <f ca="1">BDP("236670BJ Muni","ISSUE_DT")</f>
        <v>#NAME?</v>
      </c>
      <c r="G922" t="e">
        <f ca="1">BDP("236670BJ Muni","MATURITY")</f>
        <v>#NAME?</v>
      </c>
      <c r="H922" t="e">
        <f ca="1">BDP("236670BJ Muni","MUNI_TAX_PROV")</f>
        <v>#NAME?</v>
      </c>
      <c r="I922" t="e">
        <f ca="1">BDP("236670BJ Muni","FINANCING_TYPE")</f>
        <v>#NAME?</v>
      </c>
      <c r="J922" t="e">
        <f ca="1">BDP("236670BJ Muni","BICS_LEVEL_2_INDUSTRY_GROUP_NAME")</f>
        <v>#NAME?</v>
      </c>
      <c r="K922" t="e">
        <f ca="1">BDP("236670BJ Muni","SELF_REPRTD_GREEN_INSTR_INDCTR")</f>
        <v>#NAME?</v>
      </c>
      <c r="L922" t="e">
        <f ca="1">BDP("236670BJ Muni","GB_MANAGEMENT_PROCEEDS")</f>
        <v>#NAME?</v>
      </c>
      <c r="M922" t="e">
        <f ca="1">BDP("236670BJ Muni","GB_REPORTING")</f>
        <v>#NAME?</v>
      </c>
      <c r="N922" t="e">
        <f ca="1">BDP("236670BJ Muni","GB_ASSURANCE_PROVIDERS")</f>
        <v>#NAME?</v>
      </c>
      <c r="O922" t="e">
        <f ca="1">BDP("236670BJ Muni","GB_PROJECT_SELECTION_PROCESS")</f>
        <v>#NAME?</v>
      </c>
      <c r="P922" t="e">
        <f ca="1">BDP("236670BJ Muni","ESG_FRAMEWORK_INDICATOR")</f>
        <v>#NAME?</v>
      </c>
      <c r="Q922" t="e">
        <f ca="1">BDP("236670BJ Muni","BLOOMBERG_SECTOR_CODE")</f>
        <v>#NAME?</v>
      </c>
      <c r="R922" t="e">
        <f ca="1">BDP("236670BJ Muni","ISSUER_TYPE")</f>
        <v>#NAME?</v>
      </c>
      <c r="S922" t="e">
        <f ca="1">BDS("236670BJ Muni","ESG_PROJECT_CATEGORY", "aggregate=y")</f>
        <v>#NAME?</v>
      </c>
      <c r="T922" t="e">
        <f ca="1">BDS("236670BJ Muni","ESG_PROJECT_SUBCATEGORY", "aggregate=y")</f>
        <v>#NAME?</v>
      </c>
    </row>
    <row r="923" spans="1:20" x14ac:dyDescent="0.25">
      <c r="A923" t="e">
        <f ca="1">BDP("236670BU Muni","ID_CUSIP")</f>
        <v>#NAME?</v>
      </c>
      <c r="B923" t="e">
        <f ca="1">BDP("236670BU Muni","STATE_CODE")</f>
        <v>#NAME?</v>
      </c>
      <c r="C923" t="s">
        <v>60</v>
      </c>
      <c r="D923" t="e">
        <f ca="1">BDP("236670BU Muni","YIELD_ON_ISSUE_DATE")</f>
        <v>#NAME?</v>
      </c>
      <c r="E923">
        <v>100000</v>
      </c>
      <c r="F923" t="e">
        <f ca="1">BDP("236670BU Muni","ISSUE_DT")</f>
        <v>#NAME?</v>
      </c>
      <c r="G923" t="e">
        <f ca="1">BDP("236670BU Muni","MATURITY")</f>
        <v>#NAME?</v>
      </c>
      <c r="H923" t="e">
        <f ca="1">BDP("236670BU Muni","MUNI_TAX_PROV")</f>
        <v>#NAME?</v>
      </c>
      <c r="I923" t="e">
        <f ca="1">BDP("236670BU Muni","FINANCING_TYPE")</f>
        <v>#NAME?</v>
      </c>
      <c r="J923" t="e">
        <f ca="1">BDP("236670BU Muni","BICS_LEVEL_2_INDUSTRY_GROUP_NAME")</f>
        <v>#NAME?</v>
      </c>
      <c r="K923" t="e">
        <f ca="1">BDP("236670BU Muni","SELF_REPRTD_GREEN_INSTR_INDCTR")</f>
        <v>#NAME?</v>
      </c>
      <c r="L923" t="e">
        <f ca="1">BDP("236670BU Muni","GB_MANAGEMENT_PROCEEDS")</f>
        <v>#NAME?</v>
      </c>
      <c r="M923" t="e">
        <f ca="1">BDP("236670BU Muni","GB_REPORTING")</f>
        <v>#NAME?</v>
      </c>
      <c r="N923" t="e">
        <f ca="1">BDP("236670BU Muni","GB_ASSURANCE_PROVIDERS")</f>
        <v>#NAME?</v>
      </c>
      <c r="O923" t="e">
        <f ca="1">BDP("236670BU Muni","GB_PROJECT_SELECTION_PROCESS")</f>
        <v>#NAME?</v>
      </c>
      <c r="P923" t="e">
        <f ca="1">BDP("236670BU Muni","ESG_FRAMEWORK_INDICATOR")</f>
        <v>#NAME?</v>
      </c>
      <c r="Q923" t="e">
        <f ca="1">BDP("236670BU Muni","BLOOMBERG_SECTOR_CODE")</f>
        <v>#NAME?</v>
      </c>
      <c r="R923" t="e">
        <f ca="1">BDP("236670BU Muni","ISSUER_TYPE")</f>
        <v>#NAME?</v>
      </c>
      <c r="S923" t="e">
        <f ca="1">BDS("236670BU Muni","ESG_PROJECT_CATEGORY", "aggregate=y")</f>
        <v>#NAME?</v>
      </c>
      <c r="T923" t="e">
        <f ca="1">BDS("236670BU Muni","ESG_PROJECT_SUBCATEGORY", "aggregate=y")</f>
        <v>#NAME?</v>
      </c>
    </row>
    <row r="924" spans="1:20" x14ac:dyDescent="0.25">
      <c r="A924" t="e">
        <f ca="1">BDP("613326AU Muni","ID_CUSIP")</f>
        <v>#NAME?</v>
      </c>
      <c r="B924" t="e">
        <f ca="1">BDP("613326AU Muni","STATE_CODE")</f>
        <v>#NAME?</v>
      </c>
      <c r="C924" t="s">
        <v>59</v>
      </c>
      <c r="D924" t="e">
        <f ca="1">BDP("613326AU Muni","YIELD_ON_ISSUE_DATE")</f>
        <v>#NAME?</v>
      </c>
      <c r="E924">
        <v>785000</v>
      </c>
      <c r="F924" t="e">
        <f ca="1">BDP("613326AU Muni","ISSUE_DT")</f>
        <v>#NAME?</v>
      </c>
      <c r="G924" t="e">
        <f ca="1">BDP("613326AU Muni","MATURITY")</f>
        <v>#NAME?</v>
      </c>
      <c r="H924" t="e">
        <f ca="1">BDP("613326AU Muni","MUNI_TAX_PROV")</f>
        <v>#NAME?</v>
      </c>
      <c r="I924" t="e">
        <f ca="1">BDP("613326AU Muni","FINANCING_TYPE")</f>
        <v>#NAME?</v>
      </c>
      <c r="J924" t="e">
        <f ca="1">BDP("613326AU Muni","BICS_LEVEL_2_INDUSTRY_GROUP_NAME")</f>
        <v>#NAME?</v>
      </c>
      <c r="K924" t="e">
        <f ca="1">BDP("613326AU Muni","SELF_REPRTD_GREEN_INSTR_INDCTR")</f>
        <v>#NAME?</v>
      </c>
      <c r="L924" t="e">
        <f ca="1">BDP("613326AU Muni","GB_MANAGEMENT_PROCEEDS")</f>
        <v>#NAME?</v>
      </c>
      <c r="M924" t="e">
        <f ca="1">BDP("613326AU Muni","GB_REPORTING")</f>
        <v>#NAME?</v>
      </c>
      <c r="N924" t="e">
        <f ca="1">BDP("613326AU Muni","GB_ASSURANCE_PROVIDERS")</f>
        <v>#NAME?</v>
      </c>
      <c r="O924" t="e">
        <f ca="1">BDP("613326AU Muni","GB_PROJECT_SELECTION_PROCESS")</f>
        <v>#NAME?</v>
      </c>
      <c r="P924" t="e">
        <f ca="1">BDP("613326AU Muni","ESG_FRAMEWORK_INDICATOR")</f>
        <v>#NAME?</v>
      </c>
      <c r="Q924" t="e">
        <f ca="1">BDP("613326AU Muni","BLOOMBERG_SECTOR_CODE")</f>
        <v>#NAME?</v>
      </c>
      <c r="R924" t="e">
        <f ca="1">BDP("613326AU Muni","ISSUER_TYPE")</f>
        <v>#NAME?</v>
      </c>
      <c r="S924" t="e">
        <f ca="1">BDS("613326AU Muni","ESG_PROJECT_CATEGORY", "aggregate=y")</f>
        <v>#NAME?</v>
      </c>
      <c r="T924" t="e">
        <f ca="1">BDS("613326AU Muni","ESG_PROJECT_SUBCATEGORY", "aggregate=y")</f>
        <v>#NAME?</v>
      </c>
    </row>
    <row r="925" spans="1:20" x14ac:dyDescent="0.25">
      <c r="A925" t="e">
        <f ca="1">BDP("575829MX Muni","ID_CUSIP")</f>
        <v>#NAME?</v>
      </c>
      <c r="B925" t="e">
        <f ca="1">BDP("575829MX Muni","STATE_CODE")</f>
        <v>#NAME?</v>
      </c>
      <c r="C925" t="s">
        <v>62</v>
      </c>
      <c r="D925" t="e">
        <f ca="1">BDP("575829MX Muni","YIELD_ON_ISSUE_DATE")</f>
        <v>#NAME?</v>
      </c>
      <c r="E925">
        <v>16695000</v>
      </c>
      <c r="F925" t="e">
        <f ca="1">BDP("575829MX Muni","ISSUE_DT")</f>
        <v>#NAME?</v>
      </c>
      <c r="G925" t="e">
        <f ca="1">BDP("575829MX Muni","MATURITY")</f>
        <v>#NAME?</v>
      </c>
      <c r="H925" t="e">
        <f ca="1">BDP("575829MX Muni","MUNI_TAX_PROV")</f>
        <v>#NAME?</v>
      </c>
      <c r="I925" t="e">
        <f ca="1">BDP("575829MX Muni","FINANCING_TYPE")</f>
        <v>#NAME?</v>
      </c>
      <c r="J925" t="e">
        <f ca="1">BDP("575829MX Muni","BICS_LEVEL_2_INDUSTRY_GROUP_NAME")</f>
        <v>#NAME?</v>
      </c>
      <c r="K925" t="e">
        <f ca="1">BDP("575829MX Muni","SELF_REPRTD_GREEN_INSTR_INDCTR")</f>
        <v>#NAME?</v>
      </c>
      <c r="L925" t="e">
        <f ca="1">BDP("575829MX Muni","GB_MANAGEMENT_PROCEEDS")</f>
        <v>#NAME?</v>
      </c>
      <c r="M925" t="e">
        <f ca="1">BDP("575829MX Muni","GB_REPORTING")</f>
        <v>#NAME?</v>
      </c>
      <c r="N925" t="e">
        <f ca="1">BDP("575829MX Muni","GB_ASSURANCE_PROVIDERS")</f>
        <v>#NAME?</v>
      </c>
      <c r="O925" t="e">
        <f ca="1">BDP("575829MX Muni","GB_PROJECT_SELECTION_PROCESS")</f>
        <v>#NAME?</v>
      </c>
      <c r="P925" t="e">
        <f ca="1">BDP("575829MX Muni","ESG_FRAMEWORK_INDICATOR")</f>
        <v>#NAME?</v>
      </c>
      <c r="Q925" t="e">
        <f ca="1">BDP("575829MX Muni","BLOOMBERG_SECTOR_CODE")</f>
        <v>#NAME?</v>
      </c>
      <c r="R925" t="e">
        <f ca="1">BDP("575829MX Muni","ISSUER_TYPE")</f>
        <v>#NAME?</v>
      </c>
      <c r="S925" t="e">
        <f ca="1">BDS("575829MX Muni","ESG_PROJECT_CATEGORY", "aggregate=y")</f>
        <v>#NAME?</v>
      </c>
      <c r="T925" t="e">
        <f ca="1">BDS("575829MX Muni","ESG_PROJECT_SUBCATEGORY", "aggregate=y")</f>
        <v>#NAME?</v>
      </c>
    </row>
    <row r="926" spans="1:20" x14ac:dyDescent="0.25">
      <c r="A926" t="e">
        <f ca="1">BDP("575829NH Muni","ID_CUSIP")</f>
        <v>#NAME?</v>
      </c>
      <c r="B926" t="e">
        <f ca="1">BDP("575829NH Muni","STATE_CODE")</f>
        <v>#NAME?</v>
      </c>
      <c r="C926" t="s">
        <v>62</v>
      </c>
      <c r="D926" t="e">
        <f ca="1">BDP("575829NH Muni","YIELD_ON_ISSUE_DATE")</f>
        <v>#NAME?</v>
      </c>
      <c r="E926">
        <v>6575000</v>
      </c>
      <c r="F926" t="e">
        <f ca="1">BDP("575829NH Muni","ISSUE_DT")</f>
        <v>#NAME?</v>
      </c>
      <c r="G926" t="e">
        <f ca="1">BDP("575829NH Muni","MATURITY")</f>
        <v>#NAME?</v>
      </c>
      <c r="H926" t="e">
        <f ca="1">BDP("575829NH Muni","MUNI_TAX_PROV")</f>
        <v>#NAME?</v>
      </c>
      <c r="I926" t="e">
        <f ca="1">BDP("575829NH Muni","FINANCING_TYPE")</f>
        <v>#NAME?</v>
      </c>
      <c r="J926" t="e">
        <f ca="1">BDP("575829NH Muni","BICS_LEVEL_2_INDUSTRY_GROUP_NAME")</f>
        <v>#NAME?</v>
      </c>
      <c r="K926" t="e">
        <f ca="1">BDP("575829NH Muni","SELF_REPRTD_GREEN_INSTR_INDCTR")</f>
        <v>#NAME?</v>
      </c>
      <c r="L926" t="e">
        <f ca="1">BDP("575829NH Muni","GB_MANAGEMENT_PROCEEDS")</f>
        <v>#NAME?</v>
      </c>
      <c r="M926" t="e">
        <f ca="1">BDP("575829NH Muni","GB_REPORTING")</f>
        <v>#NAME?</v>
      </c>
      <c r="N926" t="e">
        <f ca="1">BDP("575829NH Muni","GB_ASSURANCE_PROVIDERS")</f>
        <v>#NAME?</v>
      </c>
      <c r="O926" t="e">
        <f ca="1">BDP("575829NH Muni","GB_PROJECT_SELECTION_PROCESS")</f>
        <v>#NAME?</v>
      </c>
      <c r="P926" t="e">
        <f ca="1">BDP("575829NH Muni","ESG_FRAMEWORK_INDICATOR")</f>
        <v>#NAME?</v>
      </c>
      <c r="Q926" t="e">
        <f ca="1">BDP("575829NH Muni","BLOOMBERG_SECTOR_CODE")</f>
        <v>#NAME?</v>
      </c>
      <c r="R926" t="e">
        <f ca="1">BDP("575829NH Muni","ISSUER_TYPE")</f>
        <v>#NAME?</v>
      </c>
      <c r="S926" t="e">
        <f ca="1">BDS("575829NH Muni","ESG_PROJECT_CATEGORY", "aggregate=y")</f>
        <v>#NAME?</v>
      </c>
      <c r="T926" t="e">
        <f ca="1">BDS("575829NH Muni","ESG_PROJECT_SUBCATEGORY", "aggregate=y")</f>
        <v>#NAME?</v>
      </c>
    </row>
    <row r="927" spans="1:20" x14ac:dyDescent="0.25">
      <c r="A927" t="e">
        <f ca="1">BDP("575829NJ Muni","ID_CUSIP")</f>
        <v>#NAME?</v>
      </c>
      <c r="B927" t="e">
        <f ca="1">BDP("575829NJ Muni","STATE_CODE")</f>
        <v>#NAME?</v>
      </c>
      <c r="C927" t="s">
        <v>62</v>
      </c>
      <c r="D927" t="e">
        <f ca="1">BDP("575829NJ Muni","YIELD_ON_ISSUE_DATE")</f>
        <v>#NAME?</v>
      </c>
      <c r="E927">
        <v>6835000</v>
      </c>
      <c r="F927" t="e">
        <f ca="1">BDP("575829NJ Muni","ISSUE_DT")</f>
        <v>#NAME?</v>
      </c>
      <c r="G927" t="e">
        <f ca="1">BDP("575829NJ Muni","MATURITY")</f>
        <v>#NAME?</v>
      </c>
      <c r="H927" t="e">
        <f ca="1">BDP("575829NJ Muni","MUNI_TAX_PROV")</f>
        <v>#NAME?</v>
      </c>
      <c r="I927" t="e">
        <f ca="1">BDP("575829NJ Muni","FINANCING_TYPE")</f>
        <v>#NAME?</v>
      </c>
      <c r="J927" t="e">
        <f ca="1">BDP("575829NJ Muni","BICS_LEVEL_2_INDUSTRY_GROUP_NAME")</f>
        <v>#NAME?</v>
      </c>
      <c r="K927" t="e">
        <f ca="1">BDP("575829NJ Muni","SELF_REPRTD_GREEN_INSTR_INDCTR")</f>
        <v>#NAME?</v>
      </c>
      <c r="L927" t="e">
        <f ca="1">BDP("575829NJ Muni","GB_MANAGEMENT_PROCEEDS")</f>
        <v>#NAME?</v>
      </c>
      <c r="M927" t="e">
        <f ca="1">BDP("575829NJ Muni","GB_REPORTING")</f>
        <v>#NAME?</v>
      </c>
      <c r="N927" t="e">
        <f ca="1">BDP("575829NJ Muni","GB_ASSURANCE_PROVIDERS")</f>
        <v>#NAME?</v>
      </c>
      <c r="O927" t="e">
        <f ca="1">BDP("575829NJ Muni","GB_PROJECT_SELECTION_PROCESS")</f>
        <v>#NAME?</v>
      </c>
      <c r="P927" t="e">
        <f ca="1">BDP("575829NJ Muni","ESG_FRAMEWORK_INDICATOR")</f>
        <v>#NAME?</v>
      </c>
      <c r="Q927" t="e">
        <f ca="1">BDP("575829NJ Muni","BLOOMBERG_SECTOR_CODE")</f>
        <v>#NAME?</v>
      </c>
      <c r="R927" t="e">
        <f ca="1">BDP("575829NJ Muni","ISSUER_TYPE")</f>
        <v>#NAME?</v>
      </c>
      <c r="S927" t="e">
        <f ca="1">BDS("575829NJ Muni","ESG_PROJECT_CATEGORY", "aggregate=y")</f>
        <v>#NAME?</v>
      </c>
      <c r="T927" t="e">
        <f ca="1">BDS("575829NJ Muni","ESG_PROJECT_SUBCATEGORY", "aggregate=y")</f>
        <v>#NAME?</v>
      </c>
    </row>
    <row r="928" spans="1:20" x14ac:dyDescent="0.25">
      <c r="A928" t="e">
        <f ca="1">BDP("575829NK Muni","ID_CUSIP")</f>
        <v>#NAME?</v>
      </c>
      <c r="B928" t="e">
        <f ca="1">BDP("575829NK Muni","STATE_CODE")</f>
        <v>#NAME?</v>
      </c>
      <c r="C928" t="s">
        <v>62</v>
      </c>
      <c r="D928" t="e">
        <f ca="1">BDP("575829NK Muni","YIELD_ON_ISSUE_DATE")</f>
        <v>#NAME?</v>
      </c>
      <c r="E928">
        <v>3910000</v>
      </c>
      <c r="F928" t="e">
        <f ca="1">BDP("575829NK Muni","ISSUE_DT")</f>
        <v>#NAME?</v>
      </c>
      <c r="G928" t="e">
        <f ca="1">BDP("575829NK Muni","MATURITY")</f>
        <v>#NAME?</v>
      </c>
      <c r="H928" t="e">
        <f ca="1">BDP("575829NK Muni","MUNI_TAX_PROV")</f>
        <v>#NAME?</v>
      </c>
      <c r="I928" t="e">
        <f ca="1">BDP("575829NK Muni","FINANCING_TYPE")</f>
        <v>#NAME?</v>
      </c>
      <c r="J928" t="e">
        <f ca="1">BDP("575829NK Muni","BICS_LEVEL_2_INDUSTRY_GROUP_NAME")</f>
        <v>#NAME?</v>
      </c>
      <c r="K928" t="e">
        <f ca="1">BDP("575829NK Muni","SELF_REPRTD_GREEN_INSTR_INDCTR")</f>
        <v>#NAME?</v>
      </c>
      <c r="L928" t="e">
        <f ca="1">BDP("575829NK Muni","GB_MANAGEMENT_PROCEEDS")</f>
        <v>#NAME?</v>
      </c>
      <c r="M928" t="e">
        <f ca="1">BDP("575829NK Muni","GB_REPORTING")</f>
        <v>#NAME?</v>
      </c>
      <c r="N928" t="e">
        <f ca="1">BDP("575829NK Muni","GB_ASSURANCE_PROVIDERS")</f>
        <v>#NAME?</v>
      </c>
      <c r="O928" t="e">
        <f ca="1">BDP("575829NK Muni","GB_PROJECT_SELECTION_PROCESS")</f>
        <v>#NAME?</v>
      </c>
      <c r="P928" t="e">
        <f ca="1">BDP("575829NK Muni","ESG_FRAMEWORK_INDICATOR")</f>
        <v>#NAME?</v>
      </c>
      <c r="Q928" t="e">
        <f ca="1">BDP("575829NK Muni","BLOOMBERG_SECTOR_CODE")</f>
        <v>#NAME?</v>
      </c>
      <c r="R928" t="e">
        <f ca="1">BDP("575829NK Muni","ISSUER_TYPE")</f>
        <v>#NAME?</v>
      </c>
      <c r="S928" t="e">
        <f ca="1">BDS("575829NK Muni","ESG_PROJECT_CATEGORY", "aggregate=y")</f>
        <v>#NAME?</v>
      </c>
      <c r="T928" t="e">
        <f ca="1">BDS("575829NK Muni","ESG_PROJECT_SUBCATEGORY", "aggregate=y")</f>
        <v>#NAME?</v>
      </c>
    </row>
    <row r="929" spans="1:20" x14ac:dyDescent="0.25">
      <c r="A929" t="e">
        <f ca="1">BDP("575829NT Muni","ID_CUSIP")</f>
        <v>#NAME?</v>
      </c>
      <c r="B929" t="e">
        <f ca="1">BDP("575829NT Muni","STATE_CODE")</f>
        <v>#NAME?</v>
      </c>
      <c r="C929" t="s">
        <v>62</v>
      </c>
      <c r="D929" t="e">
        <f ca="1">BDP("575829NT Muni","YIELD_ON_ISSUE_DATE")</f>
        <v>#NAME?</v>
      </c>
      <c r="E929">
        <v>9085000</v>
      </c>
      <c r="F929" t="e">
        <f ca="1">BDP("575829NT Muni","ISSUE_DT")</f>
        <v>#NAME?</v>
      </c>
      <c r="G929" t="e">
        <f ca="1">BDP("575829NT Muni","MATURITY")</f>
        <v>#NAME?</v>
      </c>
      <c r="H929" t="e">
        <f ca="1">BDP("575829NT Muni","MUNI_TAX_PROV")</f>
        <v>#NAME?</v>
      </c>
      <c r="I929" t="e">
        <f ca="1">BDP("575829NT Muni","FINANCING_TYPE")</f>
        <v>#NAME?</v>
      </c>
      <c r="J929" t="e">
        <f ca="1">BDP("575829NT Muni","BICS_LEVEL_2_INDUSTRY_GROUP_NAME")</f>
        <v>#NAME?</v>
      </c>
      <c r="K929" t="e">
        <f ca="1">BDP("575829NT Muni","SELF_REPRTD_GREEN_INSTR_INDCTR")</f>
        <v>#NAME?</v>
      </c>
      <c r="L929" t="e">
        <f ca="1">BDP("575829NT Muni","GB_MANAGEMENT_PROCEEDS")</f>
        <v>#NAME?</v>
      </c>
      <c r="M929" t="e">
        <f ca="1">BDP("575829NT Muni","GB_REPORTING")</f>
        <v>#NAME?</v>
      </c>
      <c r="N929" t="e">
        <f ca="1">BDP("575829NT Muni","GB_ASSURANCE_PROVIDERS")</f>
        <v>#NAME?</v>
      </c>
      <c r="O929" t="e">
        <f ca="1">BDP("575829NT Muni","GB_PROJECT_SELECTION_PROCESS")</f>
        <v>#NAME?</v>
      </c>
      <c r="P929" t="e">
        <f ca="1">BDP("575829NT Muni","ESG_FRAMEWORK_INDICATOR")</f>
        <v>#NAME?</v>
      </c>
      <c r="Q929" t="e">
        <f ca="1">BDP("575829NT Muni","BLOOMBERG_SECTOR_CODE")</f>
        <v>#NAME?</v>
      </c>
      <c r="R929" t="e">
        <f ca="1">BDP("575829NT Muni","ISSUER_TYPE")</f>
        <v>#NAME?</v>
      </c>
      <c r="S929" t="e">
        <f ca="1">BDS("575829NT Muni","ESG_PROJECT_CATEGORY", "aggregate=y")</f>
        <v>#NAME?</v>
      </c>
      <c r="T929" t="e">
        <f ca="1">BDS("575829NT Muni","ESG_PROJECT_SUBCATEGORY", "aggregate=y")</f>
        <v>#NAME?</v>
      </c>
    </row>
    <row r="930" spans="1:20" x14ac:dyDescent="0.25">
      <c r="A930" t="e">
        <f ca="1">BDP("575829NU Muni","ID_CUSIP")</f>
        <v>#NAME?</v>
      </c>
      <c r="B930" t="e">
        <f ca="1">BDP("575829NU Muni","STATE_CODE")</f>
        <v>#NAME?</v>
      </c>
      <c r="C930" t="s">
        <v>62</v>
      </c>
      <c r="D930" t="e">
        <f ca="1">BDP("575829NU Muni","YIELD_ON_ISSUE_DATE")</f>
        <v>#NAME?</v>
      </c>
      <c r="E930">
        <v>9330000</v>
      </c>
      <c r="F930" t="e">
        <f ca="1">BDP("575829NU Muni","ISSUE_DT")</f>
        <v>#NAME?</v>
      </c>
      <c r="G930" t="e">
        <f ca="1">BDP("575829NU Muni","MATURITY")</f>
        <v>#NAME?</v>
      </c>
      <c r="H930" t="e">
        <f ca="1">BDP("575829NU Muni","MUNI_TAX_PROV")</f>
        <v>#NAME?</v>
      </c>
      <c r="I930" t="e">
        <f ca="1">BDP("575829NU Muni","FINANCING_TYPE")</f>
        <v>#NAME?</v>
      </c>
      <c r="J930" t="e">
        <f ca="1">BDP("575829NU Muni","BICS_LEVEL_2_INDUSTRY_GROUP_NAME")</f>
        <v>#NAME?</v>
      </c>
      <c r="K930" t="e">
        <f ca="1">BDP("575829NU Muni","SELF_REPRTD_GREEN_INSTR_INDCTR")</f>
        <v>#NAME?</v>
      </c>
      <c r="L930" t="e">
        <f ca="1">BDP("575829NU Muni","GB_MANAGEMENT_PROCEEDS")</f>
        <v>#NAME?</v>
      </c>
      <c r="M930" t="e">
        <f ca="1">BDP("575829NU Muni","GB_REPORTING")</f>
        <v>#NAME?</v>
      </c>
      <c r="N930" t="e">
        <f ca="1">BDP("575829NU Muni","GB_ASSURANCE_PROVIDERS")</f>
        <v>#NAME?</v>
      </c>
      <c r="O930" t="e">
        <f ca="1">BDP("575829NU Muni","GB_PROJECT_SELECTION_PROCESS")</f>
        <v>#NAME?</v>
      </c>
      <c r="P930" t="e">
        <f ca="1">BDP("575829NU Muni","ESG_FRAMEWORK_INDICATOR")</f>
        <v>#NAME?</v>
      </c>
      <c r="Q930" t="e">
        <f ca="1">BDP("575829NU Muni","BLOOMBERG_SECTOR_CODE")</f>
        <v>#NAME?</v>
      </c>
      <c r="R930" t="e">
        <f ca="1">BDP("575829NU Muni","ISSUER_TYPE")</f>
        <v>#NAME?</v>
      </c>
      <c r="S930" t="e">
        <f ca="1">BDS("575829NU Muni","ESG_PROJECT_CATEGORY", "aggregate=y")</f>
        <v>#NAME?</v>
      </c>
      <c r="T930" t="e">
        <f ca="1">BDS("575829NU Muni","ESG_PROJECT_SUBCATEGORY", "aggregate=y")</f>
        <v>#NAME?</v>
      </c>
    </row>
    <row r="931" spans="1:20" x14ac:dyDescent="0.25">
      <c r="A931" t="e">
        <f ca="1">BDP("575829NV Muni","ID_CUSIP")</f>
        <v>#NAME?</v>
      </c>
      <c r="B931" t="e">
        <f ca="1">BDP("575829NV Muni","STATE_CODE")</f>
        <v>#NAME?</v>
      </c>
      <c r="C931" t="s">
        <v>62</v>
      </c>
      <c r="D931" t="e">
        <f ca="1">BDP("575829NV Muni","YIELD_ON_ISSUE_DATE")</f>
        <v>#NAME?</v>
      </c>
      <c r="E931">
        <v>9605000</v>
      </c>
      <c r="F931" t="e">
        <f ca="1">BDP("575829NV Muni","ISSUE_DT")</f>
        <v>#NAME?</v>
      </c>
      <c r="G931" t="e">
        <f ca="1">BDP("575829NV Muni","MATURITY")</f>
        <v>#NAME?</v>
      </c>
      <c r="H931" t="e">
        <f ca="1">BDP("575829NV Muni","MUNI_TAX_PROV")</f>
        <v>#NAME?</v>
      </c>
      <c r="I931" t="e">
        <f ca="1">BDP("575829NV Muni","FINANCING_TYPE")</f>
        <v>#NAME?</v>
      </c>
      <c r="J931" t="e">
        <f ca="1">BDP("575829NV Muni","BICS_LEVEL_2_INDUSTRY_GROUP_NAME")</f>
        <v>#NAME?</v>
      </c>
      <c r="K931" t="e">
        <f ca="1">BDP("575829NV Muni","SELF_REPRTD_GREEN_INSTR_INDCTR")</f>
        <v>#NAME?</v>
      </c>
      <c r="L931" t="e">
        <f ca="1">BDP("575829NV Muni","GB_MANAGEMENT_PROCEEDS")</f>
        <v>#NAME?</v>
      </c>
      <c r="M931" t="e">
        <f ca="1">BDP("575829NV Muni","GB_REPORTING")</f>
        <v>#NAME?</v>
      </c>
      <c r="N931" t="e">
        <f ca="1">BDP("575829NV Muni","GB_ASSURANCE_PROVIDERS")</f>
        <v>#NAME?</v>
      </c>
      <c r="O931" t="e">
        <f ca="1">BDP("575829NV Muni","GB_PROJECT_SELECTION_PROCESS")</f>
        <v>#NAME?</v>
      </c>
      <c r="P931" t="e">
        <f ca="1">BDP("575829NV Muni","ESG_FRAMEWORK_INDICATOR")</f>
        <v>#NAME?</v>
      </c>
      <c r="Q931" t="e">
        <f ca="1">BDP("575829NV Muni","BLOOMBERG_SECTOR_CODE")</f>
        <v>#NAME?</v>
      </c>
      <c r="R931" t="e">
        <f ca="1">BDP("575829NV Muni","ISSUER_TYPE")</f>
        <v>#NAME?</v>
      </c>
      <c r="S931" t="e">
        <f ca="1">BDS("575829NV Muni","ESG_PROJECT_CATEGORY", "aggregate=y")</f>
        <v>#NAME?</v>
      </c>
      <c r="T931" t="e">
        <f ca="1">BDS("575829NV Muni","ESG_PROJECT_SUBCATEGORY", "aggregate=y")</f>
        <v>#NAME?</v>
      </c>
    </row>
    <row r="932" spans="1:20" x14ac:dyDescent="0.25">
      <c r="A932" t="e">
        <f ca="1">BDP("575829NX Muni","ID_CUSIP")</f>
        <v>#NAME?</v>
      </c>
      <c r="B932" t="e">
        <f ca="1">BDP("575829NX Muni","STATE_CODE")</f>
        <v>#NAME?</v>
      </c>
      <c r="C932" t="s">
        <v>62</v>
      </c>
      <c r="D932" t="e">
        <f ca="1">BDP("575829NX Muni","YIELD_ON_ISSUE_DATE")</f>
        <v>#NAME?</v>
      </c>
      <c r="E932">
        <v>10345000</v>
      </c>
      <c r="F932" t="e">
        <f ca="1">BDP("575829NX Muni","ISSUE_DT")</f>
        <v>#NAME?</v>
      </c>
      <c r="G932" t="e">
        <f ca="1">BDP("575829NX Muni","MATURITY")</f>
        <v>#NAME?</v>
      </c>
      <c r="H932" t="e">
        <f ca="1">BDP("575829NX Muni","MUNI_TAX_PROV")</f>
        <v>#NAME?</v>
      </c>
      <c r="I932" t="e">
        <f ca="1">BDP("575829NX Muni","FINANCING_TYPE")</f>
        <v>#NAME?</v>
      </c>
      <c r="J932" t="e">
        <f ca="1">BDP("575829NX Muni","BICS_LEVEL_2_INDUSTRY_GROUP_NAME")</f>
        <v>#NAME?</v>
      </c>
      <c r="K932" t="e">
        <f ca="1">BDP("575829NX Muni","SELF_REPRTD_GREEN_INSTR_INDCTR")</f>
        <v>#NAME?</v>
      </c>
      <c r="L932" t="e">
        <f ca="1">BDP("575829NX Muni","GB_MANAGEMENT_PROCEEDS")</f>
        <v>#NAME?</v>
      </c>
      <c r="M932" t="e">
        <f ca="1">BDP("575829NX Muni","GB_REPORTING")</f>
        <v>#NAME?</v>
      </c>
      <c r="N932" t="e">
        <f ca="1">BDP("575829NX Muni","GB_ASSURANCE_PROVIDERS")</f>
        <v>#NAME?</v>
      </c>
      <c r="O932" t="e">
        <f ca="1">BDP("575829NX Muni","GB_PROJECT_SELECTION_PROCESS")</f>
        <v>#NAME?</v>
      </c>
      <c r="P932" t="e">
        <f ca="1">BDP("575829NX Muni","ESG_FRAMEWORK_INDICATOR")</f>
        <v>#NAME?</v>
      </c>
      <c r="Q932" t="e">
        <f ca="1">BDP("575829NX Muni","BLOOMBERG_SECTOR_CODE")</f>
        <v>#NAME?</v>
      </c>
      <c r="R932" t="e">
        <f ca="1">BDP("575829NX Muni","ISSUER_TYPE")</f>
        <v>#NAME?</v>
      </c>
      <c r="S932" t="e">
        <f ca="1">BDS("575829NX Muni","ESG_PROJECT_CATEGORY", "aggregate=y")</f>
        <v>#NAME?</v>
      </c>
      <c r="T932" t="e">
        <f ca="1">BDS("575829NX Muni","ESG_PROJECT_SUBCATEGORY", "aggregate=y")</f>
        <v>#NAME?</v>
      </c>
    </row>
    <row r="933" spans="1:20" x14ac:dyDescent="0.25">
      <c r="A933" t="e">
        <f ca="1">BDP("575829NY Muni","ID_CUSIP")</f>
        <v>#NAME?</v>
      </c>
      <c r="B933" t="e">
        <f ca="1">BDP("575829NY Muni","STATE_CODE")</f>
        <v>#NAME?</v>
      </c>
      <c r="C933" t="s">
        <v>62</v>
      </c>
      <c r="D933" t="e">
        <f ca="1">BDP("575829NY Muni","YIELD_ON_ISSUE_DATE")</f>
        <v>#NAME?</v>
      </c>
      <c r="E933">
        <v>10740000</v>
      </c>
      <c r="F933" t="e">
        <f ca="1">BDP("575829NY Muni","ISSUE_DT")</f>
        <v>#NAME?</v>
      </c>
      <c r="G933" t="e">
        <f ca="1">BDP("575829NY Muni","MATURITY")</f>
        <v>#NAME?</v>
      </c>
      <c r="H933" t="e">
        <f ca="1">BDP("575829NY Muni","MUNI_TAX_PROV")</f>
        <v>#NAME?</v>
      </c>
      <c r="I933" t="e">
        <f ca="1">BDP("575829NY Muni","FINANCING_TYPE")</f>
        <v>#NAME?</v>
      </c>
      <c r="J933" t="e">
        <f ca="1">BDP("575829NY Muni","BICS_LEVEL_2_INDUSTRY_GROUP_NAME")</f>
        <v>#NAME?</v>
      </c>
      <c r="K933" t="e">
        <f ca="1">BDP("575829NY Muni","SELF_REPRTD_GREEN_INSTR_INDCTR")</f>
        <v>#NAME?</v>
      </c>
      <c r="L933" t="e">
        <f ca="1">BDP("575829NY Muni","GB_MANAGEMENT_PROCEEDS")</f>
        <v>#NAME?</v>
      </c>
      <c r="M933" t="e">
        <f ca="1">BDP("575829NY Muni","GB_REPORTING")</f>
        <v>#NAME?</v>
      </c>
      <c r="N933" t="e">
        <f ca="1">BDP("575829NY Muni","GB_ASSURANCE_PROVIDERS")</f>
        <v>#NAME?</v>
      </c>
      <c r="O933" t="e">
        <f ca="1">BDP("575829NY Muni","GB_PROJECT_SELECTION_PROCESS")</f>
        <v>#NAME?</v>
      </c>
      <c r="P933" t="e">
        <f ca="1">BDP("575829NY Muni","ESG_FRAMEWORK_INDICATOR")</f>
        <v>#NAME?</v>
      </c>
      <c r="Q933" t="e">
        <f ca="1">BDP("575829NY Muni","BLOOMBERG_SECTOR_CODE")</f>
        <v>#NAME?</v>
      </c>
      <c r="R933" t="e">
        <f ca="1">BDP("575829NY Muni","ISSUER_TYPE")</f>
        <v>#NAME?</v>
      </c>
      <c r="S933" t="e">
        <f ca="1">BDS("575829NY Muni","ESG_PROJECT_CATEGORY", "aggregate=y")</f>
        <v>#NAME?</v>
      </c>
      <c r="T933" t="e">
        <f ca="1">BDS("575829NY Muni","ESG_PROJECT_SUBCATEGORY", "aggregate=y")</f>
        <v>#NAME?</v>
      </c>
    </row>
    <row r="934" spans="1:20" x14ac:dyDescent="0.25">
      <c r="A934" t="e">
        <f ca="1">BDP("575829NZ Muni","ID_CUSIP")</f>
        <v>#NAME?</v>
      </c>
      <c r="B934" t="e">
        <f ca="1">BDP("575829NZ Muni","STATE_CODE")</f>
        <v>#NAME?</v>
      </c>
      <c r="C934" t="s">
        <v>62</v>
      </c>
      <c r="D934" t="e">
        <f ca="1">BDP("575829NZ Muni","YIELD_ON_ISSUE_DATE")</f>
        <v>#NAME?</v>
      </c>
      <c r="E934">
        <v>11160000</v>
      </c>
      <c r="F934" t="e">
        <f ca="1">BDP("575829NZ Muni","ISSUE_DT")</f>
        <v>#NAME?</v>
      </c>
      <c r="G934" t="e">
        <f ca="1">BDP("575829NZ Muni","MATURITY")</f>
        <v>#NAME?</v>
      </c>
      <c r="H934" t="e">
        <f ca="1">BDP("575829NZ Muni","MUNI_TAX_PROV")</f>
        <v>#NAME?</v>
      </c>
      <c r="I934" t="e">
        <f ca="1">BDP("575829NZ Muni","FINANCING_TYPE")</f>
        <v>#NAME?</v>
      </c>
      <c r="J934" t="e">
        <f ca="1">BDP("575829NZ Muni","BICS_LEVEL_2_INDUSTRY_GROUP_NAME")</f>
        <v>#NAME?</v>
      </c>
      <c r="K934" t="e">
        <f ca="1">BDP("575829NZ Muni","SELF_REPRTD_GREEN_INSTR_INDCTR")</f>
        <v>#NAME?</v>
      </c>
      <c r="L934" t="e">
        <f ca="1">BDP("575829NZ Muni","GB_MANAGEMENT_PROCEEDS")</f>
        <v>#NAME?</v>
      </c>
      <c r="M934" t="e">
        <f ca="1">BDP("575829NZ Muni","GB_REPORTING")</f>
        <v>#NAME?</v>
      </c>
      <c r="N934" t="e">
        <f ca="1">BDP("575829NZ Muni","GB_ASSURANCE_PROVIDERS")</f>
        <v>#NAME?</v>
      </c>
      <c r="O934" t="e">
        <f ca="1">BDP("575829NZ Muni","GB_PROJECT_SELECTION_PROCESS")</f>
        <v>#NAME?</v>
      </c>
      <c r="P934" t="e">
        <f ca="1">BDP("575829NZ Muni","ESG_FRAMEWORK_INDICATOR")</f>
        <v>#NAME?</v>
      </c>
      <c r="Q934" t="e">
        <f ca="1">BDP("575829NZ Muni","BLOOMBERG_SECTOR_CODE")</f>
        <v>#NAME?</v>
      </c>
      <c r="R934" t="e">
        <f ca="1">BDP("575829NZ Muni","ISSUER_TYPE")</f>
        <v>#NAME?</v>
      </c>
      <c r="S934" t="e">
        <f ca="1">BDS("575829NZ Muni","ESG_PROJECT_CATEGORY", "aggregate=y")</f>
        <v>#NAME?</v>
      </c>
      <c r="T934" t="e">
        <f ca="1">BDS("575829NZ Muni","ESG_PROJECT_SUBCATEGORY", "aggregate=y")</f>
        <v>#NAME?</v>
      </c>
    </row>
    <row r="935" spans="1:20" x14ac:dyDescent="0.25">
      <c r="A935" t="e">
        <f ca="1">BDP("575829PC Muni","ID_CUSIP")</f>
        <v>#NAME?</v>
      </c>
      <c r="B935" t="e">
        <f ca="1">BDP("575829PC Muni","STATE_CODE")</f>
        <v>#NAME?</v>
      </c>
      <c r="C935" t="s">
        <v>62</v>
      </c>
      <c r="D935" t="e">
        <f ca="1">BDP("575829PC Muni","YIELD_ON_ISSUE_DATE")</f>
        <v>#NAME?</v>
      </c>
      <c r="E935">
        <v>12530000</v>
      </c>
      <c r="F935" t="e">
        <f ca="1">BDP("575829PC Muni","ISSUE_DT")</f>
        <v>#NAME?</v>
      </c>
      <c r="G935" t="e">
        <f ca="1">BDP("575829PC Muni","MATURITY")</f>
        <v>#NAME?</v>
      </c>
      <c r="H935" t="e">
        <f ca="1">BDP("575829PC Muni","MUNI_TAX_PROV")</f>
        <v>#NAME?</v>
      </c>
      <c r="I935" t="e">
        <f ca="1">BDP("575829PC Muni","FINANCING_TYPE")</f>
        <v>#NAME?</v>
      </c>
      <c r="J935" t="e">
        <f ca="1">BDP("575829PC Muni","BICS_LEVEL_2_INDUSTRY_GROUP_NAME")</f>
        <v>#NAME?</v>
      </c>
      <c r="K935" t="e">
        <f ca="1">BDP("575829PC Muni","SELF_REPRTD_GREEN_INSTR_INDCTR")</f>
        <v>#NAME?</v>
      </c>
      <c r="L935" t="e">
        <f ca="1">BDP("575829PC Muni","GB_MANAGEMENT_PROCEEDS")</f>
        <v>#NAME?</v>
      </c>
      <c r="M935" t="e">
        <f ca="1">BDP("575829PC Muni","GB_REPORTING")</f>
        <v>#NAME?</v>
      </c>
      <c r="N935" t="e">
        <f ca="1">BDP("575829PC Muni","GB_ASSURANCE_PROVIDERS")</f>
        <v>#NAME?</v>
      </c>
      <c r="O935" t="e">
        <f ca="1">BDP("575829PC Muni","GB_PROJECT_SELECTION_PROCESS")</f>
        <v>#NAME?</v>
      </c>
      <c r="P935" t="e">
        <f ca="1">BDP("575829PC Muni","ESG_FRAMEWORK_INDICATOR")</f>
        <v>#NAME?</v>
      </c>
      <c r="Q935" t="e">
        <f ca="1">BDP("575829PC Muni","BLOOMBERG_SECTOR_CODE")</f>
        <v>#NAME?</v>
      </c>
      <c r="R935" t="e">
        <f ca="1">BDP("575829PC Muni","ISSUER_TYPE")</f>
        <v>#NAME?</v>
      </c>
      <c r="S935" t="e">
        <f ca="1">BDS("575829PC Muni","ESG_PROJECT_CATEGORY", "aggregate=y")</f>
        <v>#NAME?</v>
      </c>
      <c r="T935" t="e">
        <f ca="1">BDS("575829PC Muni","ESG_PROJECT_SUBCATEGORY", "aggregate=y")</f>
        <v>#NAME?</v>
      </c>
    </row>
    <row r="936" spans="1:20" x14ac:dyDescent="0.25">
      <c r="A936" t="e">
        <f ca="1">BDP("575829NE Muni","ID_CUSIP")</f>
        <v>#NAME?</v>
      </c>
      <c r="B936" t="e">
        <f ca="1">BDP("575829NE Muni","STATE_CODE")</f>
        <v>#NAME?</v>
      </c>
      <c r="C936" t="s">
        <v>62</v>
      </c>
      <c r="D936" t="e">
        <f ca="1">BDP("575829NE Muni","YIELD_ON_ISSUE_DATE")</f>
        <v>#NAME?</v>
      </c>
      <c r="E936">
        <v>20880000</v>
      </c>
      <c r="F936" t="e">
        <f ca="1">BDP("575829NE Muni","ISSUE_DT")</f>
        <v>#NAME?</v>
      </c>
      <c r="G936" t="e">
        <f ca="1">BDP("575829NE Muni","MATURITY")</f>
        <v>#NAME?</v>
      </c>
      <c r="H936" t="e">
        <f ca="1">BDP("575829NE Muni","MUNI_TAX_PROV")</f>
        <v>#NAME?</v>
      </c>
      <c r="I936" t="e">
        <f ca="1">BDP("575829NE Muni","FINANCING_TYPE")</f>
        <v>#NAME?</v>
      </c>
      <c r="J936" t="e">
        <f ca="1">BDP("575829NE Muni","BICS_LEVEL_2_INDUSTRY_GROUP_NAME")</f>
        <v>#NAME?</v>
      </c>
      <c r="K936" t="e">
        <f ca="1">BDP("575829NE Muni","SELF_REPRTD_GREEN_INSTR_INDCTR")</f>
        <v>#NAME?</v>
      </c>
      <c r="L936" t="e">
        <f ca="1">BDP("575829NE Muni","GB_MANAGEMENT_PROCEEDS")</f>
        <v>#NAME?</v>
      </c>
      <c r="M936" t="e">
        <f ca="1">BDP("575829NE Muni","GB_REPORTING")</f>
        <v>#NAME?</v>
      </c>
      <c r="N936" t="e">
        <f ca="1">BDP("575829NE Muni","GB_ASSURANCE_PROVIDERS")</f>
        <v>#NAME?</v>
      </c>
      <c r="O936" t="e">
        <f ca="1">BDP("575829NE Muni","GB_PROJECT_SELECTION_PROCESS")</f>
        <v>#NAME?</v>
      </c>
      <c r="P936" t="e">
        <f ca="1">BDP("575829NE Muni","ESG_FRAMEWORK_INDICATOR")</f>
        <v>#NAME?</v>
      </c>
      <c r="Q936" t="e">
        <f ca="1">BDP("575829NE Muni","BLOOMBERG_SECTOR_CODE")</f>
        <v>#NAME?</v>
      </c>
      <c r="R936" t="e">
        <f ca="1">BDP("575829NE Muni","ISSUER_TYPE")</f>
        <v>#NAME?</v>
      </c>
      <c r="S936" t="e">
        <f ca="1">BDS("575829NE Muni","ESG_PROJECT_CATEGORY", "aggregate=y")</f>
        <v>#NAME?</v>
      </c>
      <c r="T936" t="e">
        <f ca="1">BDS("575829NE Muni","ESG_PROJECT_SUBCATEGORY", "aggregate=y")</f>
        <v>#NAME?</v>
      </c>
    </row>
    <row r="937" spans="1:20" x14ac:dyDescent="0.25">
      <c r="A937" t="e">
        <f ca="1">BDP("575829NG Muni","ID_CUSIP")</f>
        <v>#NAME?</v>
      </c>
      <c r="B937" t="e">
        <f ca="1">BDP("575829NG Muni","STATE_CODE")</f>
        <v>#NAME?</v>
      </c>
      <c r="C937" t="s">
        <v>62</v>
      </c>
      <c r="D937" t="e">
        <f ca="1">BDP("575829NG Muni","YIELD_ON_ISSUE_DATE")</f>
        <v>#NAME?</v>
      </c>
      <c r="E937">
        <v>13355000</v>
      </c>
      <c r="F937" t="e">
        <f ca="1">BDP("575829NG Muni","ISSUE_DT")</f>
        <v>#NAME?</v>
      </c>
      <c r="G937" t="e">
        <f ca="1">BDP("575829NG Muni","MATURITY")</f>
        <v>#NAME?</v>
      </c>
      <c r="H937" t="e">
        <f ca="1">BDP("575829NG Muni","MUNI_TAX_PROV")</f>
        <v>#NAME?</v>
      </c>
      <c r="I937" t="e">
        <f ca="1">BDP("575829NG Muni","FINANCING_TYPE")</f>
        <v>#NAME?</v>
      </c>
      <c r="J937" t="e">
        <f ca="1">BDP("575829NG Muni","BICS_LEVEL_2_INDUSTRY_GROUP_NAME")</f>
        <v>#NAME?</v>
      </c>
      <c r="K937" t="e">
        <f ca="1">BDP("575829NG Muni","SELF_REPRTD_GREEN_INSTR_INDCTR")</f>
        <v>#NAME?</v>
      </c>
      <c r="L937" t="e">
        <f ca="1">BDP("575829NG Muni","GB_MANAGEMENT_PROCEEDS")</f>
        <v>#NAME?</v>
      </c>
      <c r="M937" t="e">
        <f ca="1">BDP("575829NG Muni","GB_REPORTING")</f>
        <v>#NAME?</v>
      </c>
      <c r="N937" t="e">
        <f ca="1">BDP("575829NG Muni","GB_ASSURANCE_PROVIDERS")</f>
        <v>#NAME?</v>
      </c>
      <c r="O937" t="e">
        <f ca="1">BDP("575829NG Muni","GB_PROJECT_SELECTION_PROCESS")</f>
        <v>#NAME?</v>
      </c>
      <c r="P937" t="e">
        <f ca="1">BDP("575829NG Muni","ESG_FRAMEWORK_INDICATOR")</f>
        <v>#NAME?</v>
      </c>
      <c r="Q937" t="e">
        <f ca="1">BDP("575829NG Muni","BLOOMBERG_SECTOR_CODE")</f>
        <v>#NAME?</v>
      </c>
      <c r="R937" t="e">
        <f ca="1">BDP("575829NG Muni","ISSUER_TYPE")</f>
        <v>#NAME?</v>
      </c>
      <c r="S937" t="e">
        <f ca="1">BDS("575829NG Muni","ESG_PROJECT_CATEGORY", "aggregate=y")</f>
        <v>#NAME?</v>
      </c>
      <c r="T937" t="e">
        <f ca="1">BDS("575829NG Muni","ESG_PROJECT_SUBCATEGORY", "aggregate=y")</f>
        <v>#NAME?</v>
      </c>
    </row>
    <row r="938" spans="1:20" x14ac:dyDescent="0.25">
      <c r="A938" t="e">
        <f ca="1">BDP("575829NF Muni","ID_CUSIP")</f>
        <v>#NAME?</v>
      </c>
      <c r="B938" t="e">
        <f ca="1">BDP("575829NF Muni","STATE_CODE")</f>
        <v>#NAME?</v>
      </c>
      <c r="C938" t="s">
        <v>62</v>
      </c>
      <c r="D938" t="e">
        <f ca="1">BDP("575829NF Muni","YIELD_ON_ISSUE_DATE")</f>
        <v>#NAME?</v>
      </c>
      <c r="E938">
        <v>21695000</v>
      </c>
      <c r="F938" t="e">
        <f ca="1">BDP("575829NF Muni","ISSUE_DT")</f>
        <v>#NAME?</v>
      </c>
      <c r="G938" t="e">
        <f ca="1">BDP("575829NF Muni","MATURITY")</f>
        <v>#NAME?</v>
      </c>
      <c r="H938" t="e">
        <f ca="1">BDP("575829NF Muni","MUNI_TAX_PROV")</f>
        <v>#NAME?</v>
      </c>
      <c r="I938" t="e">
        <f ca="1">BDP("575829NF Muni","FINANCING_TYPE")</f>
        <v>#NAME?</v>
      </c>
      <c r="J938" t="e">
        <f ca="1">BDP("575829NF Muni","BICS_LEVEL_2_INDUSTRY_GROUP_NAME")</f>
        <v>#NAME?</v>
      </c>
      <c r="K938" t="e">
        <f ca="1">BDP("575829NF Muni","SELF_REPRTD_GREEN_INSTR_INDCTR")</f>
        <v>#NAME?</v>
      </c>
      <c r="L938" t="e">
        <f ca="1">BDP("575829NF Muni","GB_MANAGEMENT_PROCEEDS")</f>
        <v>#NAME?</v>
      </c>
      <c r="M938" t="e">
        <f ca="1">BDP("575829NF Muni","GB_REPORTING")</f>
        <v>#NAME?</v>
      </c>
      <c r="N938" t="e">
        <f ca="1">BDP("575829NF Muni","GB_ASSURANCE_PROVIDERS")</f>
        <v>#NAME?</v>
      </c>
      <c r="O938" t="e">
        <f ca="1">BDP("575829NF Muni","GB_PROJECT_SELECTION_PROCESS")</f>
        <v>#NAME?</v>
      </c>
      <c r="P938" t="e">
        <f ca="1">BDP("575829NF Muni","ESG_FRAMEWORK_INDICATOR")</f>
        <v>#NAME?</v>
      </c>
      <c r="Q938" t="e">
        <f ca="1">BDP("575829NF Muni","BLOOMBERG_SECTOR_CODE")</f>
        <v>#NAME?</v>
      </c>
      <c r="R938" t="e">
        <f ca="1">BDP("575829NF Muni","ISSUER_TYPE")</f>
        <v>#NAME?</v>
      </c>
      <c r="S938" t="e">
        <f ca="1">BDS("575829NF Muni","ESG_PROJECT_CATEGORY", "aggregate=y")</f>
        <v>#NAME?</v>
      </c>
      <c r="T938" t="e">
        <f ca="1">BDS("575829NF Muni","ESG_PROJECT_SUBCATEGORY", "aggregate=y")</f>
        <v>#NAME?</v>
      </c>
    </row>
    <row r="939" spans="1:20" x14ac:dyDescent="0.25">
      <c r="A939" t="e">
        <f ca="1">BDP("575829ND Muni","ID_CUSIP")</f>
        <v>#NAME?</v>
      </c>
      <c r="B939" t="e">
        <f ca="1">BDP("575829ND Muni","STATE_CODE")</f>
        <v>#NAME?</v>
      </c>
      <c r="C939" t="s">
        <v>62</v>
      </c>
      <c r="D939" t="e">
        <f ca="1">BDP("575829ND Muni","YIELD_ON_ISSUE_DATE")</f>
        <v>#NAME?</v>
      </c>
      <c r="E939">
        <v>20100000</v>
      </c>
      <c r="F939" t="e">
        <f ca="1">BDP("575829ND Muni","ISSUE_DT")</f>
        <v>#NAME?</v>
      </c>
      <c r="G939" t="e">
        <f ca="1">BDP("575829ND Muni","MATURITY")</f>
        <v>#NAME?</v>
      </c>
      <c r="H939" t="e">
        <f ca="1">BDP("575829ND Muni","MUNI_TAX_PROV")</f>
        <v>#NAME?</v>
      </c>
      <c r="I939" t="e">
        <f ca="1">BDP("575829ND Muni","FINANCING_TYPE")</f>
        <v>#NAME?</v>
      </c>
      <c r="J939" t="e">
        <f ca="1">BDP("575829ND Muni","BICS_LEVEL_2_INDUSTRY_GROUP_NAME")</f>
        <v>#NAME?</v>
      </c>
      <c r="K939" t="e">
        <f ca="1">BDP("575829ND Muni","SELF_REPRTD_GREEN_INSTR_INDCTR")</f>
        <v>#NAME?</v>
      </c>
      <c r="L939" t="e">
        <f ca="1">BDP("575829ND Muni","GB_MANAGEMENT_PROCEEDS")</f>
        <v>#NAME?</v>
      </c>
      <c r="M939" t="e">
        <f ca="1">BDP("575829ND Muni","GB_REPORTING")</f>
        <v>#NAME?</v>
      </c>
      <c r="N939" t="e">
        <f ca="1">BDP("575829ND Muni","GB_ASSURANCE_PROVIDERS")</f>
        <v>#NAME?</v>
      </c>
      <c r="O939" t="e">
        <f ca="1">BDP("575829ND Muni","GB_PROJECT_SELECTION_PROCESS")</f>
        <v>#NAME?</v>
      </c>
      <c r="P939" t="e">
        <f ca="1">BDP("575829ND Muni","ESG_FRAMEWORK_INDICATOR")</f>
        <v>#NAME?</v>
      </c>
      <c r="Q939" t="e">
        <f ca="1">BDP("575829ND Muni","BLOOMBERG_SECTOR_CODE")</f>
        <v>#NAME?</v>
      </c>
      <c r="R939" t="e">
        <f ca="1">BDP("575829ND Muni","ISSUER_TYPE")</f>
        <v>#NAME?</v>
      </c>
      <c r="S939" t="e">
        <f ca="1">BDS("575829ND Muni","ESG_PROJECT_CATEGORY", "aggregate=y")</f>
        <v>#NAME?</v>
      </c>
      <c r="T939" t="e">
        <f ca="1">BDS("575829ND Muni","ESG_PROJECT_SUBCATEGORY", "aggregate=y")</f>
        <v>#NAME?</v>
      </c>
    </row>
    <row r="940" spans="1:20" x14ac:dyDescent="0.25">
      <c r="A940" t="e">
        <f ca="1">BDP("575829PD Muni","ID_CUSIP")</f>
        <v>#NAME?</v>
      </c>
      <c r="B940" t="e">
        <f ca="1">BDP("575829PD Muni","STATE_CODE")</f>
        <v>#NAME?</v>
      </c>
      <c r="C940" t="s">
        <v>62</v>
      </c>
      <c r="D940" t="e">
        <f ca="1">BDP("575829PD Muni","YIELD_ON_ISSUE_DATE")</f>
        <v>#NAME?</v>
      </c>
      <c r="E940">
        <v>13020000</v>
      </c>
      <c r="F940" t="e">
        <f ca="1">BDP("575829PD Muni","ISSUE_DT")</f>
        <v>#NAME?</v>
      </c>
      <c r="G940" t="e">
        <f ca="1">BDP("575829PD Muni","MATURITY")</f>
        <v>#NAME?</v>
      </c>
      <c r="H940" t="e">
        <f ca="1">BDP("575829PD Muni","MUNI_TAX_PROV")</f>
        <v>#NAME?</v>
      </c>
      <c r="I940" t="e">
        <f ca="1">BDP("575829PD Muni","FINANCING_TYPE")</f>
        <v>#NAME?</v>
      </c>
      <c r="J940" t="e">
        <f ca="1">BDP("575829PD Muni","BICS_LEVEL_2_INDUSTRY_GROUP_NAME")</f>
        <v>#NAME?</v>
      </c>
      <c r="K940" t="e">
        <f ca="1">BDP("575829PD Muni","SELF_REPRTD_GREEN_INSTR_INDCTR")</f>
        <v>#NAME?</v>
      </c>
      <c r="L940" t="e">
        <f ca="1">BDP("575829PD Muni","GB_MANAGEMENT_PROCEEDS")</f>
        <v>#NAME?</v>
      </c>
      <c r="M940" t="e">
        <f ca="1">BDP("575829PD Muni","GB_REPORTING")</f>
        <v>#NAME?</v>
      </c>
      <c r="N940" t="e">
        <f ca="1">BDP("575829PD Muni","GB_ASSURANCE_PROVIDERS")</f>
        <v>#NAME?</v>
      </c>
      <c r="O940" t="e">
        <f ca="1">BDP("575829PD Muni","GB_PROJECT_SELECTION_PROCESS")</f>
        <v>#NAME?</v>
      </c>
      <c r="P940" t="e">
        <f ca="1">BDP("575829PD Muni","ESG_FRAMEWORK_INDICATOR")</f>
        <v>#NAME?</v>
      </c>
      <c r="Q940" t="e">
        <f ca="1">BDP("575829PD Muni","BLOOMBERG_SECTOR_CODE")</f>
        <v>#NAME?</v>
      </c>
      <c r="R940" t="e">
        <f ca="1">BDP("575829PD Muni","ISSUER_TYPE")</f>
        <v>#NAME?</v>
      </c>
      <c r="S940" t="e">
        <f ca="1">BDS("575829PD Muni","ESG_PROJECT_CATEGORY", "aggregate=y")</f>
        <v>#NAME?</v>
      </c>
      <c r="T940" t="e">
        <f ca="1">BDS("575829PD Muni","ESG_PROJECT_SUBCATEGORY", "aggregate=y")</f>
        <v>#NAME?</v>
      </c>
    </row>
    <row r="941" spans="1:20" x14ac:dyDescent="0.25">
      <c r="A941" t="e">
        <f ca="1">BDP("575829NC Muni","ID_CUSIP")</f>
        <v>#NAME?</v>
      </c>
      <c r="B941" t="e">
        <f ca="1">BDP("575829NC Muni","STATE_CODE")</f>
        <v>#NAME?</v>
      </c>
      <c r="C941" t="s">
        <v>62</v>
      </c>
      <c r="D941" t="e">
        <f ca="1">BDP("575829NC Muni","YIELD_ON_ISSUE_DATE")</f>
        <v>#NAME?</v>
      </c>
      <c r="E941">
        <v>19635000</v>
      </c>
      <c r="F941" t="e">
        <f ca="1">BDP("575829NC Muni","ISSUE_DT")</f>
        <v>#NAME?</v>
      </c>
      <c r="G941" t="e">
        <f ca="1">BDP("575829NC Muni","MATURITY")</f>
        <v>#NAME?</v>
      </c>
      <c r="H941" t="e">
        <f ca="1">BDP("575829NC Muni","MUNI_TAX_PROV")</f>
        <v>#NAME?</v>
      </c>
      <c r="I941" t="e">
        <f ca="1">BDP("575829NC Muni","FINANCING_TYPE")</f>
        <v>#NAME?</v>
      </c>
      <c r="J941" t="e">
        <f ca="1">BDP("575829NC Muni","BICS_LEVEL_2_INDUSTRY_GROUP_NAME")</f>
        <v>#NAME?</v>
      </c>
      <c r="K941" t="e">
        <f ca="1">BDP("575829NC Muni","SELF_REPRTD_GREEN_INSTR_INDCTR")</f>
        <v>#NAME?</v>
      </c>
      <c r="L941" t="e">
        <f ca="1">BDP("575829NC Muni","GB_MANAGEMENT_PROCEEDS")</f>
        <v>#NAME?</v>
      </c>
      <c r="M941" t="e">
        <f ca="1">BDP("575829NC Muni","GB_REPORTING")</f>
        <v>#NAME?</v>
      </c>
      <c r="N941" t="e">
        <f ca="1">BDP("575829NC Muni","GB_ASSURANCE_PROVIDERS")</f>
        <v>#NAME?</v>
      </c>
      <c r="O941" t="e">
        <f ca="1">BDP("575829NC Muni","GB_PROJECT_SELECTION_PROCESS")</f>
        <v>#NAME?</v>
      </c>
      <c r="P941" t="e">
        <f ca="1">BDP("575829NC Muni","ESG_FRAMEWORK_INDICATOR")</f>
        <v>#NAME?</v>
      </c>
      <c r="Q941" t="e">
        <f ca="1">BDP("575829NC Muni","BLOOMBERG_SECTOR_CODE")</f>
        <v>#NAME?</v>
      </c>
      <c r="R941" t="e">
        <f ca="1">BDP("575829NC Muni","ISSUER_TYPE")</f>
        <v>#NAME?</v>
      </c>
      <c r="S941" t="e">
        <f ca="1">BDS("575829NC Muni","ESG_PROJECT_CATEGORY", "aggregate=y")</f>
        <v>#NAME?</v>
      </c>
      <c r="T941" t="e">
        <f ca="1">BDS("575829NC Muni","ESG_PROJECT_SUBCATEGORY", "aggregate=y")</f>
        <v>#NAME?</v>
      </c>
    </row>
    <row r="942" spans="1:20" x14ac:dyDescent="0.25">
      <c r="A942" t="e">
        <f ca="1">BDP("575829NB Muni","ID_CUSIP")</f>
        <v>#NAME?</v>
      </c>
      <c r="B942" t="e">
        <f ca="1">BDP("575829NB Muni","STATE_CODE")</f>
        <v>#NAME?</v>
      </c>
      <c r="C942" t="s">
        <v>62</v>
      </c>
      <c r="D942" t="e">
        <f ca="1">BDP("575829NB Muni","YIELD_ON_ISSUE_DATE")</f>
        <v>#NAME?</v>
      </c>
      <c r="E942">
        <v>18925000</v>
      </c>
      <c r="F942" t="e">
        <f ca="1">BDP("575829NB Muni","ISSUE_DT")</f>
        <v>#NAME?</v>
      </c>
      <c r="G942" t="e">
        <f ca="1">BDP("575829NB Muni","MATURITY")</f>
        <v>#NAME?</v>
      </c>
      <c r="H942" t="e">
        <f ca="1">BDP("575829NB Muni","MUNI_TAX_PROV")</f>
        <v>#NAME?</v>
      </c>
      <c r="I942" t="e">
        <f ca="1">BDP("575829NB Muni","FINANCING_TYPE")</f>
        <v>#NAME?</v>
      </c>
      <c r="J942" t="e">
        <f ca="1">BDP("575829NB Muni","BICS_LEVEL_2_INDUSTRY_GROUP_NAME")</f>
        <v>#NAME?</v>
      </c>
      <c r="K942" t="e">
        <f ca="1">BDP("575829NB Muni","SELF_REPRTD_GREEN_INSTR_INDCTR")</f>
        <v>#NAME?</v>
      </c>
      <c r="L942" t="e">
        <f ca="1">BDP("575829NB Muni","GB_MANAGEMENT_PROCEEDS")</f>
        <v>#NAME?</v>
      </c>
      <c r="M942" t="e">
        <f ca="1">BDP("575829NB Muni","GB_REPORTING")</f>
        <v>#NAME?</v>
      </c>
      <c r="N942" t="e">
        <f ca="1">BDP("575829NB Muni","GB_ASSURANCE_PROVIDERS")</f>
        <v>#NAME?</v>
      </c>
      <c r="O942" t="e">
        <f ca="1">BDP("575829NB Muni","GB_PROJECT_SELECTION_PROCESS")</f>
        <v>#NAME?</v>
      </c>
      <c r="P942" t="e">
        <f ca="1">BDP("575829NB Muni","ESG_FRAMEWORK_INDICATOR")</f>
        <v>#NAME?</v>
      </c>
      <c r="Q942" t="e">
        <f ca="1">BDP("575829NB Muni","BLOOMBERG_SECTOR_CODE")</f>
        <v>#NAME?</v>
      </c>
      <c r="R942" t="e">
        <f ca="1">BDP("575829NB Muni","ISSUER_TYPE")</f>
        <v>#NAME?</v>
      </c>
      <c r="S942" t="e">
        <f ca="1">BDS("575829NB Muni","ESG_PROJECT_CATEGORY", "aggregate=y")</f>
        <v>#NAME?</v>
      </c>
      <c r="T942" t="e">
        <f ca="1">BDS("575829NB Muni","ESG_PROJECT_SUBCATEGORY", "aggregate=y")</f>
        <v>#NAME?</v>
      </c>
    </row>
    <row r="943" spans="1:20" x14ac:dyDescent="0.25">
      <c r="A943" t="e">
        <f ca="1">BDP("575829PB Muni","ID_CUSIP")</f>
        <v>#NAME?</v>
      </c>
      <c r="B943" t="e">
        <f ca="1">BDP("575829PB Muni","STATE_CODE")</f>
        <v>#NAME?</v>
      </c>
      <c r="C943" t="s">
        <v>62</v>
      </c>
      <c r="D943" t="e">
        <f ca="1">BDP("575829PB Muni","YIELD_ON_ISSUE_DATE")</f>
        <v>#NAME?</v>
      </c>
      <c r="E943">
        <v>12050000</v>
      </c>
      <c r="F943" t="e">
        <f ca="1">BDP("575829PB Muni","ISSUE_DT")</f>
        <v>#NAME?</v>
      </c>
      <c r="G943" t="e">
        <f ca="1">BDP("575829PB Muni","MATURITY")</f>
        <v>#NAME?</v>
      </c>
      <c r="H943" t="e">
        <f ca="1">BDP("575829PB Muni","MUNI_TAX_PROV")</f>
        <v>#NAME?</v>
      </c>
      <c r="I943" t="e">
        <f ca="1">BDP("575829PB Muni","FINANCING_TYPE")</f>
        <v>#NAME?</v>
      </c>
      <c r="J943" t="e">
        <f ca="1">BDP("575829PB Muni","BICS_LEVEL_2_INDUSTRY_GROUP_NAME")</f>
        <v>#NAME?</v>
      </c>
      <c r="K943" t="e">
        <f ca="1">BDP("575829PB Muni","SELF_REPRTD_GREEN_INSTR_INDCTR")</f>
        <v>#NAME?</v>
      </c>
      <c r="L943" t="e">
        <f ca="1">BDP("575829PB Muni","GB_MANAGEMENT_PROCEEDS")</f>
        <v>#NAME?</v>
      </c>
      <c r="M943" t="e">
        <f ca="1">BDP("575829PB Muni","GB_REPORTING")</f>
        <v>#NAME?</v>
      </c>
      <c r="N943" t="e">
        <f ca="1">BDP("575829PB Muni","GB_ASSURANCE_PROVIDERS")</f>
        <v>#NAME?</v>
      </c>
      <c r="O943" t="e">
        <f ca="1">BDP("575829PB Muni","GB_PROJECT_SELECTION_PROCESS")</f>
        <v>#NAME?</v>
      </c>
      <c r="P943" t="e">
        <f ca="1">BDP("575829PB Muni","ESG_FRAMEWORK_INDICATOR")</f>
        <v>#NAME?</v>
      </c>
      <c r="Q943" t="e">
        <f ca="1">BDP("575829PB Muni","BLOOMBERG_SECTOR_CODE")</f>
        <v>#NAME?</v>
      </c>
      <c r="R943" t="e">
        <f ca="1">BDP("575829PB Muni","ISSUER_TYPE")</f>
        <v>#NAME?</v>
      </c>
      <c r="S943" t="e">
        <f ca="1">BDS("575829PB Muni","ESG_PROJECT_CATEGORY", "aggregate=y")</f>
        <v>#NAME?</v>
      </c>
      <c r="T943" t="e">
        <f ca="1">BDS("575829PB Muni","ESG_PROJECT_SUBCATEGORY", "aggregate=y")</f>
        <v>#NAME?</v>
      </c>
    </row>
    <row r="944" spans="1:20" x14ac:dyDescent="0.25">
      <c r="A944" t="e">
        <f ca="1">BDP("575829MV Muni","ID_CUSIP")</f>
        <v>#NAME?</v>
      </c>
      <c r="B944" t="e">
        <f ca="1">BDP("575829MV Muni","STATE_CODE")</f>
        <v>#NAME?</v>
      </c>
      <c r="C944" t="s">
        <v>62</v>
      </c>
      <c r="D944" t="e">
        <f ca="1">BDP("575829MV Muni","YIELD_ON_ISSUE_DATE")</f>
        <v>#NAME?</v>
      </c>
      <c r="E944">
        <v>15580000</v>
      </c>
      <c r="F944" t="e">
        <f ca="1">BDP("575829MV Muni","ISSUE_DT")</f>
        <v>#NAME?</v>
      </c>
      <c r="G944" t="e">
        <f ca="1">BDP("575829MV Muni","MATURITY")</f>
        <v>#NAME?</v>
      </c>
      <c r="H944" t="e">
        <f ca="1">BDP("575829MV Muni","MUNI_TAX_PROV")</f>
        <v>#NAME?</v>
      </c>
      <c r="I944" t="e">
        <f ca="1">BDP("575829MV Muni","FINANCING_TYPE")</f>
        <v>#NAME?</v>
      </c>
      <c r="J944" t="e">
        <f ca="1">BDP("575829MV Muni","BICS_LEVEL_2_INDUSTRY_GROUP_NAME")</f>
        <v>#NAME?</v>
      </c>
      <c r="K944" t="e">
        <f ca="1">BDP("575829MV Muni","SELF_REPRTD_GREEN_INSTR_INDCTR")</f>
        <v>#NAME?</v>
      </c>
      <c r="L944" t="e">
        <f ca="1">BDP("575829MV Muni","GB_MANAGEMENT_PROCEEDS")</f>
        <v>#NAME?</v>
      </c>
      <c r="M944" t="e">
        <f ca="1">BDP("575829MV Muni","GB_REPORTING")</f>
        <v>#NAME?</v>
      </c>
      <c r="N944" t="e">
        <f ca="1">BDP("575829MV Muni","GB_ASSURANCE_PROVIDERS")</f>
        <v>#NAME?</v>
      </c>
      <c r="O944" t="e">
        <f ca="1">BDP("575829MV Muni","GB_PROJECT_SELECTION_PROCESS")</f>
        <v>#NAME?</v>
      </c>
      <c r="P944" t="e">
        <f ca="1">BDP("575829MV Muni","ESG_FRAMEWORK_INDICATOR")</f>
        <v>#NAME?</v>
      </c>
      <c r="Q944" t="e">
        <f ca="1">BDP("575829MV Muni","BLOOMBERG_SECTOR_CODE")</f>
        <v>#NAME?</v>
      </c>
      <c r="R944" t="e">
        <f ca="1">BDP("575829MV Muni","ISSUER_TYPE")</f>
        <v>#NAME?</v>
      </c>
      <c r="S944" t="e">
        <f ca="1">BDS("575829MV Muni","ESG_PROJECT_CATEGORY", "aggregate=y")</f>
        <v>#NAME?</v>
      </c>
      <c r="T944" t="e">
        <f ca="1">BDS("575829MV Muni","ESG_PROJECT_SUBCATEGORY", "aggregate=y")</f>
        <v>#NAME?</v>
      </c>
    </row>
    <row r="945" spans="1:20" x14ac:dyDescent="0.25">
      <c r="A945" t="e">
        <f ca="1">BDP("575829NA Muni","ID_CUSIP")</f>
        <v>#NAME?</v>
      </c>
      <c r="B945" t="e">
        <f ca="1">BDP("575829NA Muni","STATE_CODE")</f>
        <v>#NAME?</v>
      </c>
      <c r="C945" t="s">
        <v>62</v>
      </c>
      <c r="D945" t="e">
        <f ca="1">BDP("575829NA Muni","YIELD_ON_ISSUE_DATE")</f>
        <v>#NAME?</v>
      </c>
      <c r="E945">
        <v>18250000</v>
      </c>
      <c r="F945" t="e">
        <f ca="1">BDP("575829NA Muni","ISSUE_DT")</f>
        <v>#NAME?</v>
      </c>
      <c r="G945" t="e">
        <f ca="1">BDP("575829NA Muni","MATURITY")</f>
        <v>#NAME?</v>
      </c>
      <c r="H945" t="e">
        <f ca="1">BDP("575829NA Muni","MUNI_TAX_PROV")</f>
        <v>#NAME?</v>
      </c>
      <c r="I945" t="e">
        <f ca="1">BDP("575829NA Muni","FINANCING_TYPE")</f>
        <v>#NAME?</v>
      </c>
      <c r="J945" t="e">
        <f ca="1">BDP("575829NA Muni","BICS_LEVEL_2_INDUSTRY_GROUP_NAME")</f>
        <v>#NAME?</v>
      </c>
      <c r="K945" t="e">
        <f ca="1">BDP("575829NA Muni","SELF_REPRTD_GREEN_INSTR_INDCTR")</f>
        <v>#NAME?</v>
      </c>
      <c r="L945" t="e">
        <f ca="1">BDP("575829NA Muni","GB_MANAGEMENT_PROCEEDS")</f>
        <v>#NAME?</v>
      </c>
      <c r="M945" t="e">
        <f ca="1">BDP("575829NA Muni","GB_REPORTING")</f>
        <v>#NAME?</v>
      </c>
      <c r="N945" t="e">
        <f ca="1">BDP("575829NA Muni","GB_ASSURANCE_PROVIDERS")</f>
        <v>#NAME?</v>
      </c>
      <c r="O945" t="e">
        <f ca="1">BDP("575829NA Muni","GB_PROJECT_SELECTION_PROCESS")</f>
        <v>#NAME?</v>
      </c>
      <c r="P945" t="e">
        <f ca="1">BDP("575829NA Muni","ESG_FRAMEWORK_INDICATOR")</f>
        <v>#NAME?</v>
      </c>
      <c r="Q945" t="e">
        <f ca="1">BDP("575829NA Muni","BLOOMBERG_SECTOR_CODE")</f>
        <v>#NAME?</v>
      </c>
      <c r="R945" t="e">
        <f ca="1">BDP("575829NA Muni","ISSUER_TYPE")</f>
        <v>#NAME?</v>
      </c>
      <c r="S945" t="e">
        <f ca="1">BDS("575829NA Muni","ESG_PROJECT_CATEGORY", "aggregate=y")</f>
        <v>#NAME?</v>
      </c>
      <c r="T945" t="e">
        <f ca="1">BDS("575829NA Muni","ESG_PROJECT_SUBCATEGORY", "aggregate=y")</f>
        <v>#NAME?</v>
      </c>
    </row>
    <row r="946" spans="1:20" x14ac:dyDescent="0.25">
      <c r="A946" t="e">
        <f ca="1">BDP("575829MW Muni","ID_CUSIP")</f>
        <v>#NAME?</v>
      </c>
      <c r="B946" t="e">
        <f ca="1">BDP("575829MW Muni","STATE_CODE")</f>
        <v>#NAME?</v>
      </c>
      <c r="C946" t="s">
        <v>62</v>
      </c>
      <c r="D946" t="e">
        <f ca="1">BDP("575829MW Muni","YIELD_ON_ISSUE_DATE")</f>
        <v>#NAME?</v>
      </c>
      <c r="E946">
        <v>16125000</v>
      </c>
      <c r="F946" t="e">
        <f ca="1">BDP("575829MW Muni","ISSUE_DT")</f>
        <v>#NAME?</v>
      </c>
      <c r="G946" t="e">
        <f ca="1">BDP("575829MW Muni","MATURITY")</f>
        <v>#NAME?</v>
      </c>
      <c r="H946" t="e">
        <f ca="1">BDP("575829MW Muni","MUNI_TAX_PROV")</f>
        <v>#NAME?</v>
      </c>
      <c r="I946" t="e">
        <f ca="1">BDP("575829MW Muni","FINANCING_TYPE")</f>
        <v>#NAME?</v>
      </c>
      <c r="J946" t="e">
        <f ca="1">BDP("575829MW Muni","BICS_LEVEL_2_INDUSTRY_GROUP_NAME")</f>
        <v>#NAME?</v>
      </c>
      <c r="K946" t="e">
        <f ca="1">BDP("575829MW Muni","SELF_REPRTD_GREEN_INSTR_INDCTR")</f>
        <v>#NAME?</v>
      </c>
      <c r="L946" t="e">
        <f ca="1">BDP("575829MW Muni","GB_MANAGEMENT_PROCEEDS")</f>
        <v>#NAME?</v>
      </c>
      <c r="M946" t="e">
        <f ca="1">BDP("575829MW Muni","GB_REPORTING")</f>
        <v>#NAME?</v>
      </c>
      <c r="N946" t="e">
        <f ca="1">BDP("575829MW Muni","GB_ASSURANCE_PROVIDERS")</f>
        <v>#NAME?</v>
      </c>
      <c r="O946" t="e">
        <f ca="1">BDP("575829MW Muni","GB_PROJECT_SELECTION_PROCESS")</f>
        <v>#NAME?</v>
      </c>
      <c r="P946" t="e">
        <f ca="1">BDP("575829MW Muni","ESG_FRAMEWORK_INDICATOR")</f>
        <v>#NAME?</v>
      </c>
      <c r="Q946" t="e">
        <f ca="1">BDP("575829MW Muni","BLOOMBERG_SECTOR_CODE")</f>
        <v>#NAME?</v>
      </c>
      <c r="R946" t="e">
        <f ca="1">BDP("575829MW Muni","ISSUER_TYPE")</f>
        <v>#NAME?</v>
      </c>
      <c r="S946" t="e">
        <f ca="1">BDS("575829MW Muni","ESG_PROJECT_CATEGORY", "aggregate=y")</f>
        <v>#NAME?</v>
      </c>
      <c r="T946" t="e">
        <f ca="1">BDS("575829MW Muni","ESG_PROJECT_SUBCATEGORY", "aggregate=y")</f>
        <v>#NAME?</v>
      </c>
    </row>
    <row r="947" spans="1:20" x14ac:dyDescent="0.25">
      <c r="A947" t="e">
        <f ca="1">BDP("575829MU Muni","ID_CUSIP")</f>
        <v>#NAME?</v>
      </c>
      <c r="B947" t="e">
        <f ca="1">BDP("575829MU Muni","STATE_CODE")</f>
        <v>#NAME?</v>
      </c>
      <c r="C947" t="s">
        <v>62</v>
      </c>
      <c r="D947" t="e">
        <f ca="1">BDP("575829MU Muni","YIELD_ON_ISSUE_DATE")</f>
        <v>#NAME?</v>
      </c>
      <c r="E947">
        <v>15065000</v>
      </c>
      <c r="F947" t="e">
        <f ca="1">BDP("575829MU Muni","ISSUE_DT")</f>
        <v>#NAME?</v>
      </c>
      <c r="G947" t="e">
        <f ca="1">BDP("575829MU Muni","MATURITY")</f>
        <v>#NAME?</v>
      </c>
      <c r="H947" t="e">
        <f ca="1">BDP("575829MU Muni","MUNI_TAX_PROV")</f>
        <v>#NAME?</v>
      </c>
      <c r="I947" t="e">
        <f ca="1">BDP("575829MU Muni","FINANCING_TYPE")</f>
        <v>#NAME?</v>
      </c>
      <c r="J947" t="e">
        <f ca="1">BDP("575829MU Muni","BICS_LEVEL_2_INDUSTRY_GROUP_NAME")</f>
        <v>#NAME?</v>
      </c>
      <c r="K947" t="e">
        <f ca="1">BDP("575829MU Muni","SELF_REPRTD_GREEN_INSTR_INDCTR")</f>
        <v>#NAME?</v>
      </c>
      <c r="L947" t="e">
        <f ca="1">BDP("575829MU Muni","GB_MANAGEMENT_PROCEEDS")</f>
        <v>#NAME?</v>
      </c>
      <c r="M947" t="e">
        <f ca="1">BDP("575829MU Muni","GB_REPORTING")</f>
        <v>#NAME?</v>
      </c>
      <c r="N947" t="e">
        <f ca="1">BDP("575829MU Muni","GB_ASSURANCE_PROVIDERS")</f>
        <v>#NAME?</v>
      </c>
      <c r="O947" t="e">
        <f ca="1">BDP("575829MU Muni","GB_PROJECT_SELECTION_PROCESS")</f>
        <v>#NAME?</v>
      </c>
      <c r="P947" t="e">
        <f ca="1">BDP("575829MU Muni","ESG_FRAMEWORK_INDICATOR")</f>
        <v>#NAME?</v>
      </c>
      <c r="Q947" t="e">
        <f ca="1">BDP("575829MU Muni","BLOOMBERG_SECTOR_CODE")</f>
        <v>#NAME?</v>
      </c>
      <c r="R947" t="e">
        <f ca="1">BDP("575829MU Muni","ISSUER_TYPE")</f>
        <v>#NAME?</v>
      </c>
      <c r="S947" t="e">
        <f ca="1">BDS("575829MU Muni","ESG_PROJECT_CATEGORY", "aggregate=y")</f>
        <v>#NAME?</v>
      </c>
      <c r="T947" t="e">
        <f ca="1">BDS("575829MU Muni","ESG_PROJECT_SUBCATEGORY", "aggregate=y")</f>
        <v>#NAME?</v>
      </c>
    </row>
    <row r="948" spans="1:20" x14ac:dyDescent="0.25">
      <c r="A948" t="e">
        <f ca="1">BDP("575829MZ Muni","ID_CUSIP")</f>
        <v>#NAME?</v>
      </c>
      <c r="B948" t="e">
        <f ca="1">BDP("575829MZ Muni","STATE_CODE")</f>
        <v>#NAME?</v>
      </c>
      <c r="C948" t="s">
        <v>62</v>
      </c>
      <c r="D948" t="e">
        <f ca="1">BDP("575829MZ Muni","YIELD_ON_ISSUE_DATE")</f>
        <v>#NAME?</v>
      </c>
      <c r="E948">
        <v>17610000</v>
      </c>
      <c r="F948" t="e">
        <f ca="1">BDP("575829MZ Muni","ISSUE_DT")</f>
        <v>#NAME?</v>
      </c>
      <c r="G948" t="e">
        <f ca="1">BDP("575829MZ Muni","MATURITY")</f>
        <v>#NAME?</v>
      </c>
      <c r="H948" t="e">
        <f ca="1">BDP("575829MZ Muni","MUNI_TAX_PROV")</f>
        <v>#NAME?</v>
      </c>
      <c r="I948" t="e">
        <f ca="1">BDP("575829MZ Muni","FINANCING_TYPE")</f>
        <v>#NAME?</v>
      </c>
      <c r="J948" t="e">
        <f ca="1">BDP("575829MZ Muni","BICS_LEVEL_2_INDUSTRY_GROUP_NAME")</f>
        <v>#NAME?</v>
      </c>
      <c r="K948" t="e">
        <f ca="1">BDP("575829MZ Muni","SELF_REPRTD_GREEN_INSTR_INDCTR")</f>
        <v>#NAME?</v>
      </c>
      <c r="L948" t="e">
        <f ca="1">BDP("575829MZ Muni","GB_MANAGEMENT_PROCEEDS")</f>
        <v>#NAME?</v>
      </c>
      <c r="M948" t="e">
        <f ca="1">BDP("575829MZ Muni","GB_REPORTING")</f>
        <v>#NAME?</v>
      </c>
      <c r="N948" t="e">
        <f ca="1">BDP("575829MZ Muni","GB_ASSURANCE_PROVIDERS")</f>
        <v>#NAME?</v>
      </c>
      <c r="O948" t="e">
        <f ca="1">BDP("575829MZ Muni","GB_PROJECT_SELECTION_PROCESS")</f>
        <v>#NAME?</v>
      </c>
      <c r="P948" t="e">
        <f ca="1">BDP("575829MZ Muni","ESG_FRAMEWORK_INDICATOR")</f>
        <v>#NAME?</v>
      </c>
      <c r="Q948" t="e">
        <f ca="1">BDP("575829MZ Muni","BLOOMBERG_SECTOR_CODE")</f>
        <v>#NAME?</v>
      </c>
      <c r="R948" t="e">
        <f ca="1">BDP("575829MZ Muni","ISSUER_TYPE")</f>
        <v>#NAME?</v>
      </c>
      <c r="S948" t="e">
        <f ca="1">BDS("575829MZ Muni","ESG_PROJECT_CATEGORY", "aggregate=y")</f>
        <v>#NAME?</v>
      </c>
      <c r="T948" t="e">
        <f ca="1">BDS("575829MZ Muni","ESG_PROJECT_SUBCATEGORY", "aggregate=y")</f>
        <v>#NAME?</v>
      </c>
    </row>
    <row r="949" spans="1:20" x14ac:dyDescent="0.25">
      <c r="A949" t="e">
        <f ca="1">BDP("575829PA Muni","ID_CUSIP")</f>
        <v>#NAME?</v>
      </c>
      <c r="B949" t="e">
        <f ca="1">BDP("575829PA Muni","STATE_CODE")</f>
        <v>#NAME?</v>
      </c>
      <c r="C949" t="s">
        <v>62</v>
      </c>
      <c r="D949" t="e">
        <f ca="1">BDP("575829PA Muni","YIELD_ON_ISSUE_DATE")</f>
        <v>#NAME?</v>
      </c>
      <c r="E949">
        <v>11595000</v>
      </c>
      <c r="F949" t="e">
        <f ca="1">BDP("575829PA Muni","ISSUE_DT")</f>
        <v>#NAME?</v>
      </c>
      <c r="G949" t="e">
        <f ca="1">BDP("575829PA Muni","MATURITY")</f>
        <v>#NAME?</v>
      </c>
      <c r="H949" t="e">
        <f ca="1">BDP("575829PA Muni","MUNI_TAX_PROV")</f>
        <v>#NAME?</v>
      </c>
      <c r="I949" t="e">
        <f ca="1">BDP("575829PA Muni","FINANCING_TYPE")</f>
        <v>#NAME?</v>
      </c>
      <c r="J949" t="e">
        <f ca="1">BDP("575829PA Muni","BICS_LEVEL_2_INDUSTRY_GROUP_NAME")</f>
        <v>#NAME?</v>
      </c>
      <c r="K949" t="e">
        <f ca="1">BDP("575829PA Muni","SELF_REPRTD_GREEN_INSTR_INDCTR")</f>
        <v>#NAME?</v>
      </c>
      <c r="L949" t="e">
        <f ca="1">BDP("575829PA Muni","GB_MANAGEMENT_PROCEEDS")</f>
        <v>#NAME?</v>
      </c>
      <c r="M949" t="e">
        <f ca="1">BDP("575829PA Muni","GB_REPORTING")</f>
        <v>#NAME?</v>
      </c>
      <c r="N949" t="e">
        <f ca="1">BDP("575829PA Muni","GB_ASSURANCE_PROVIDERS")</f>
        <v>#NAME?</v>
      </c>
      <c r="O949" t="e">
        <f ca="1">BDP("575829PA Muni","GB_PROJECT_SELECTION_PROCESS")</f>
        <v>#NAME?</v>
      </c>
      <c r="P949" t="e">
        <f ca="1">BDP("575829PA Muni","ESG_FRAMEWORK_INDICATOR")</f>
        <v>#NAME?</v>
      </c>
      <c r="Q949" t="e">
        <f ca="1">BDP("575829PA Muni","BLOOMBERG_SECTOR_CODE")</f>
        <v>#NAME?</v>
      </c>
      <c r="R949" t="e">
        <f ca="1">BDP("575829PA Muni","ISSUER_TYPE")</f>
        <v>#NAME?</v>
      </c>
      <c r="S949" t="e">
        <f ca="1">BDS("575829PA Muni","ESG_PROJECT_CATEGORY", "aggregate=y")</f>
        <v>#NAME?</v>
      </c>
      <c r="T949" t="e">
        <f ca="1">BDS("575829PA Muni","ESG_PROJECT_SUBCATEGORY", "aggregate=y")</f>
        <v>#NAME?</v>
      </c>
    </row>
    <row r="950" spans="1:20" x14ac:dyDescent="0.25">
      <c r="A950" t="e">
        <f ca="1">BDP("575829MT Muni","ID_CUSIP")</f>
        <v>#NAME?</v>
      </c>
      <c r="B950" t="e">
        <f ca="1">BDP("575829MT Muni","STATE_CODE")</f>
        <v>#NAME?</v>
      </c>
      <c r="C950" t="s">
        <v>62</v>
      </c>
      <c r="D950" t="e">
        <f ca="1">BDP("575829MT Muni","YIELD_ON_ISSUE_DATE")</f>
        <v>#NAME?</v>
      </c>
      <c r="E950">
        <v>14140000</v>
      </c>
      <c r="F950" t="e">
        <f ca="1">BDP("575829MT Muni","ISSUE_DT")</f>
        <v>#NAME?</v>
      </c>
      <c r="G950" t="e">
        <f ca="1">BDP("575829MT Muni","MATURITY")</f>
        <v>#NAME?</v>
      </c>
      <c r="H950" t="e">
        <f ca="1">BDP("575829MT Muni","MUNI_TAX_PROV")</f>
        <v>#NAME?</v>
      </c>
      <c r="I950" t="e">
        <f ca="1">BDP("575829MT Muni","FINANCING_TYPE")</f>
        <v>#NAME?</v>
      </c>
      <c r="J950" t="e">
        <f ca="1">BDP("575829MT Muni","BICS_LEVEL_2_INDUSTRY_GROUP_NAME")</f>
        <v>#NAME?</v>
      </c>
      <c r="K950" t="e">
        <f ca="1">BDP("575829MT Muni","SELF_REPRTD_GREEN_INSTR_INDCTR")</f>
        <v>#NAME?</v>
      </c>
      <c r="L950" t="e">
        <f ca="1">BDP("575829MT Muni","GB_MANAGEMENT_PROCEEDS")</f>
        <v>#NAME?</v>
      </c>
      <c r="M950" t="e">
        <f ca="1">BDP("575829MT Muni","GB_REPORTING")</f>
        <v>#NAME?</v>
      </c>
      <c r="N950" t="e">
        <f ca="1">BDP("575829MT Muni","GB_ASSURANCE_PROVIDERS")</f>
        <v>#NAME?</v>
      </c>
      <c r="O950" t="e">
        <f ca="1">BDP("575829MT Muni","GB_PROJECT_SELECTION_PROCESS")</f>
        <v>#NAME?</v>
      </c>
      <c r="P950" t="e">
        <f ca="1">BDP("575829MT Muni","ESG_FRAMEWORK_INDICATOR")</f>
        <v>#NAME?</v>
      </c>
      <c r="Q950" t="e">
        <f ca="1">BDP("575829MT Muni","BLOOMBERG_SECTOR_CODE")</f>
        <v>#NAME?</v>
      </c>
      <c r="R950" t="e">
        <f ca="1">BDP("575829MT Muni","ISSUER_TYPE")</f>
        <v>#NAME?</v>
      </c>
      <c r="S950" t="e">
        <f ca="1">BDS("575829MT Muni","ESG_PROJECT_CATEGORY", "aggregate=y")</f>
        <v>#NAME?</v>
      </c>
      <c r="T950" t="e">
        <f ca="1">BDS("575829MT Muni","ESG_PROJECT_SUBCATEGORY", "aggregate=y")</f>
        <v>#NAME?</v>
      </c>
    </row>
    <row r="951" spans="1:20" x14ac:dyDescent="0.25">
      <c r="A951" t="e">
        <f ca="1">BDP("575829MY Muni","ID_CUSIP")</f>
        <v>#NAME?</v>
      </c>
      <c r="B951" t="e">
        <f ca="1">BDP("575829MY Muni","STATE_CODE")</f>
        <v>#NAME?</v>
      </c>
      <c r="C951" t="s">
        <v>62</v>
      </c>
      <c r="D951" t="e">
        <f ca="1">BDP("575829MY Muni","YIELD_ON_ISSUE_DATE")</f>
        <v>#NAME?</v>
      </c>
      <c r="E951">
        <v>16995000</v>
      </c>
      <c r="F951" t="e">
        <f ca="1">BDP("575829MY Muni","ISSUE_DT")</f>
        <v>#NAME?</v>
      </c>
      <c r="G951" t="e">
        <f ca="1">BDP("575829MY Muni","MATURITY")</f>
        <v>#NAME?</v>
      </c>
      <c r="H951" t="e">
        <f ca="1">BDP("575829MY Muni","MUNI_TAX_PROV")</f>
        <v>#NAME?</v>
      </c>
      <c r="I951" t="e">
        <f ca="1">BDP("575829MY Muni","FINANCING_TYPE")</f>
        <v>#NAME?</v>
      </c>
      <c r="J951" t="e">
        <f ca="1">BDP("575829MY Muni","BICS_LEVEL_2_INDUSTRY_GROUP_NAME")</f>
        <v>#NAME?</v>
      </c>
      <c r="K951" t="e">
        <f ca="1">BDP("575829MY Muni","SELF_REPRTD_GREEN_INSTR_INDCTR")</f>
        <v>#NAME?</v>
      </c>
      <c r="L951" t="e">
        <f ca="1">BDP("575829MY Muni","GB_MANAGEMENT_PROCEEDS")</f>
        <v>#NAME?</v>
      </c>
      <c r="M951" t="e">
        <f ca="1">BDP("575829MY Muni","GB_REPORTING")</f>
        <v>#NAME?</v>
      </c>
      <c r="N951" t="e">
        <f ca="1">BDP("575829MY Muni","GB_ASSURANCE_PROVIDERS")</f>
        <v>#NAME?</v>
      </c>
      <c r="O951" t="e">
        <f ca="1">BDP("575829MY Muni","GB_PROJECT_SELECTION_PROCESS")</f>
        <v>#NAME?</v>
      </c>
      <c r="P951" t="e">
        <f ca="1">BDP("575829MY Muni","ESG_FRAMEWORK_INDICATOR")</f>
        <v>#NAME?</v>
      </c>
      <c r="Q951" t="e">
        <f ca="1">BDP("575829MY Muni","BLOOMBERG_SECTOR_CODE")</f>
        <v>#NAME?</v>
      </c>
      <c r="R951" t="e">
        <f ca="1">BDP("575829MY Muni","ISSUER_TYPE")</f>
        <v>#NAME?</v>
      </c>
      <c r="S951" t="e">
        <f ca="1">BDS("575829MY Muni","ESG_PROJECT_CATEGORY", "aggregate=y")</f>
        <v>#NAME?</v>
      </c>
      <c r="T951" t="e">
        <f ca="1">BDS("575829MY Muni","ESG_PROJECT_SUBCATEGORY", "aggregate=y")</f>
        <v>#NAME?</v>
      </c>
    </row>
    <row r="952" spans="1:20" x14ac:dyDescent="0.25">
      <c r="A952" t="e">
        <f ca="1">BDP("575829NW Muni","ID_CUSIP")</f>
        <v>#NAME?</v>
      </c>
      <c r="B952" t="e">
        <f ca="1">BDP("575829NW Muni","STATE_CODE")</f>
        <v>#NAME?</v>
      </c>
      <c r="C952" t="s">
        <v>62</v>
      </c>
      <c r="D952" t="e">
        <f ca="1">BDP("575829NW Muni","YIELD_ON_ISSUE_DATE")</f>
        <v>#NAME?</v>
      </c>
      <c r="E952">
        <v>9970000</v>
      </c>
      <c r="F952" t="e">
        <f ca="1">BDP("575829NW Muni","ISSUE_DT")</f>
        <v>#NAME?</v>
      </c>
      <c r="G952" t="e">
        <f ca="1">BDP("575829NW Muni","MATURITY")</f>
        <v>#NAME?</v>
      </c>
      <c r="H952" t="e">
        <f ca="1">BDP("575829NW Muni","MUNI_TAX_PROV")</f>
        <v>#NAME?</v>
      </c>
      <c r="I952" t="e">
        <f ca="1">BDP("575829NW Muni","FINANCING_TYPE")</f>
        <v>#NAME?</v>
      </c>
      <c r="J952" t="e">
        <f ca="1">BDP("575829NW Muni","BICS_LEVEL_2_INDUSTRY_GROUP_NAME")</f>
        <v>#NAME?</v>
      </c>
      <c r="K952" t="e">
        <f ca="1">BDP("575829NW Muni","SELF_REPRTD_GREEN_INSTR_INDCTR")</f>
        <v>#NAME?</v>
      </c>
      <c r="L952" t="e">
        <f ca="1">BDP("575829NW Muni","GB_MANAGEMENT_PROCEEDS")</f>
        <v>#NAME?</v>
      </c>
      <c r="M952" t="e">
        <f ca="1">BDP("575829NW Muni","GB_REPORTING")</f>
        <v>#NAME?</v>
      </c>
      <c r="N952" t="e">
        <f ca="1">BDP("575829NW Muni","GB_ASSURANCE_PROVIDERS")</f>
        <v>#NAME?</v>
      </c>
      <c r="O952" t="e">
        <f ca="1">BDP("575829NW Muni","GB_PROJECT_SELECTION_PROCESS")</f>
        <v>#NAME?</v>
      </c>
      <c r="P952" t="e">
        <f ca="1">BDP("575829NW Muni","ESG_FRAMEWORK_INDICATOR")</f>
        <v>#NAME?</v>
      </c>
      <c r="Q952" t="e">
        <f ca="1">BDP("575829NW Muni","BLOOMBERG_SECTOR_CODE")</f>
        <v>#NAME?</v>
      </c>
      <c r="R952" t="e">
        <f ca="1">BDP("575829NW Muni","ISSUER_TYPE")</f>
        <v>#NAME?</v>
      </c>
      <c r="S952" t="e">
        <f ca="1">BDS("575829NW Muni","ESG_PROJECT_CATEGORY", "aggregate=y")</f>
        <v>#NAME?</v>
      </c>
      <c r="T952" t="e">
        <f ca="1">BDS("575829NW Muni","ESG_PROJECT_SUBCATEGORY", "aggregate=y")</f>
        <v>#NAME?</v>
      </c>
    </row>
    <row r="953" spans="1:20" x14ac:dyDescent="0.25">
      <c r="A953" t="e">
        <f ca="1">BDP("575829PE Muni","ID_CUSIP")</f>
        <v>#NAME?</v>
      </c>
      <c r="B953" t="e">
        <f ca="1">BDP("575829PE Muni","STATE_CODE")</f>
        <v>#NAME?</v>
      </c>
      <c r="C953" t="s">
        <v>62</v>
      </c>
      <c r="D953" t="e">
        <f ca="1">BDP("575829PE Muni","YIELD_ON_ISSUE_DATE")</f>
        <v>#NAME?</v>
      </c>
      <c r="E953">
        <v>13545000</v>
      </c>
      <c r="F953" t="e">
        <f ca="1">BDP("575829PE Muni","ISSUE_DT")</f>
        <v>#NAME?</v>
      </c>
      <c r="G953" t="e">
        <f ca="1">BDP("575829PE Muni","MATURITY")</f>
        <v>#NAME?</v>
      </c>
      <c r="H953" t="e">
        <f ca="1">BDP("575829PE Muni","MUNI_TAX_PROV")</f>
        <v>#NAME?</v>
      </c>
      <c r="I953" t="e">
        <f ca="1">BDP("575829PE Muni","FINANCING_TYPE")</f>
        <v>#NAME?</v>
      </c>
      <c r="J953" t="e">
        <f ca="1">BDP("575829PE Muni","BICS_LEVEL_2_INDUSTRY_GROUP_NAME")</f>
        <v>#NAME?</v>
      </c>
      <c r="K953" t="e">
        <f ca="1">BDP("575829PE Muni","SELF_REPRTD_GREEN_INSTR_INDCTR")</f>
        <v>#NAME?</v>
      </c>
      <c r="L953" t="e">
        <f ca="1">BDP("575829PE Muni","GB_MANAGEMENT_PROCEEDS")</f>
        <v>#NAME?</v>
      </c>
      <c r="M953" t="e">
        <f ca="1">BDP("575829PE Muni","GB_REPORTING")</f>
        <v>#NAME?</v>
      </c>
      <c r="N953" t="e">
        <f ca="1">BDP("575829PE Muni","GB_ASSURANCE_PROVIDERS")</f>
        <v>#NAME?</v>
      </c>
      <c r="O953" t="e">
        <f ca="1">BDP("575829PE Muni","GB_PROJECT_SELECTION_PROCESS")</f>
        <v>#NAME?</v>
      </c>
      <c r="P953" t="e">
        <f ca="1">BDP("575829PE Muni","ESG_FRAMEWORK_INDICATOR")</f>
        <v>#NAME?</v>
      </c>
      <c r="Q953" t="e">
        <f ca="1">BDP("575829PE Muni","BLOOMBERG_SECTOR_CODE")</f>
        <v>#NAME?</v>
      </c>
      <c r="R953" t="e">
        <f ca="1">BDP("575829PE Muni","ISSUER_TYPE")</f>
        <v>#NAME?</v>
      </c>
      <c r="S953" t="e">
        <f ca="1">BDS("575829PE Muni","ESG_PROJECT_CATEGORY", "aggregate=y")</f>
        <v>#NAME?</v>
      </c>
      <c r="T953" t="e">
        <f ca="1">BDS("575829PE Muni","ESG_PROJECT_SUBCATEGORY", "aggregate=y")</f>
        <v>#NAME?</v>
      </c>
    </row>
    <row r="954" spans="1:20" x14ac:dyDescent="0.25">
      <c r="A954" t="e">
        <f ca="1">BDP("940158KB Muni","ID_CUSIP")</f>
        <v>#NAME?</v>
      </c>
      <c r="B954" t="e">
        <f ca="1">BDP("940158KB Muni","STATE_CODE")</f>
        <v>#NAME?</v>
      </c>
      <c r="C954" t="s">
        <v>63</v>
      </c>
      <c r="D954" t="e">
        <f ca="1">BDP("940158KB Muni","YIELD_ON_ISSUE_DATE")</f>
        <v>#NAME?</v>
      </c>
      <c r="E954">
        <v>265000</v>
      </c>
      <c r="F954" t="e">
        <f ca="1">BDP("940158KB Muni","ISSUE_DT")</f>
        <v>#NAME?</v>
      </c>
      <c r="G954" t="e">
        <f ca="1">BDP("940158KB Muni","MATURITY")</f>
        <v>#NAME?</v>
      </c>
      <c r="H954" t="e">
        <f ca="1">BDP("940158KB Muni","MUNI_TAX_PROV")</f>
        <v>#NAME?</v>
      </c>
      <c r="I954" t="e">
        <f ca="1">BDP("940158KB Muni","FINANCING_TYPE")</f>
        <v>#NAME?</v>
      </c>
      <c r="J954" t="e">
        <f ca="1">BDP("940158KB Muni","BICS_LEVEL_2_INDUSTRY_GROUP_NAME")</f>
        <v>#NAME?</v>
      </c>
      <c r="K954" t="e">
        <f ca="1">BDP("940158KB Muni","SELF_REPRTD_GREEN_INSTR_INDCTR")</f>
        <v>#NAME?</v>
      </c>
      <c r="L954" t="e">
        <f ca="1">BDP("940158KB Muni","GB_MANAGEMENT_PROCEEDS")</f>
        <v>#NAME?</v>
      </c>
      <c r="M954" t="e">
        <f ca="1">BDP("940158KB Muni","GB_REPORTING")</f>
        <v>#NAME?</v>
      </c>
      <c r="N954" t="e">
        <f ca="1">BDP("940158KB Muni","GB_ASSURANCE_PROVIDERS")</f>
        <v>#NAME?</v>
      </c>
      <c r="O954" t="e">
        <f ca="1">BDP("940158KB Muni","GB_PROJECT_SELECTION_PROCESS")</f>
        <v>#NAME?</v>
      </c>
      <c r="P954" t="e">
        <f ca="1">BDP("940158KB Muni","ESG_FRAMEWORK_INDICATOR")</f>
        <v>#NAME?</v>
      </c>
      <c r="Q954" t="e">
        <f ca="1">BDP("940158KB Muni","BLOOMBERG_SECTOR_CODE")</f>
        <v>#NAME?</v>
      </c>
      <c r="R954" t="e">
        <f ca="1">BDP("940158KB Muni","ISSUER_TYPE")</f>
        <v>#NAME?</v>
      </c>
      <c r="S954" t="e">
        <f ca="1">BDS("940158KB Muni","ESG_PROJECT_CATEGORY", "aggregate=y")</f>
        <v>#NAME?</v>
      </c>
      <c r="T954" t="e">
        <f ca="1">BDS("940158KB Muni","ESG_PROJECT_SUBCATEGORY", "aggregate=y")</f>
        <v>#NAME?</v>
      </c>
    </row>
    <row r="955" spans="1:20" x14ac:dyDescent="0.25">
      <c r="A955" t="e">
        <f ca="1">BDP("940158KC Muni","ID_CUSIP")</f>
        <v>#NAME?</v>
      </c>
      <c r="B955" t="e">
        <f ca="1">BDP("940158KC Muni","STATE_CODE")</f>
        <v>#NAME?</v>
      </c>
      <c r="C955" t="s">
        <v>63</v>
      </c>
      <c r="D955" t="e">
        <f ca="1">BDP("940158KC Muni","YIELD_ON_ISSUE_DATE")</f>
        <v>#NAME?</v>
      </c>
      <c r="E955">
        <v>460000</v>
      </c>
      <c r="F955" t="e">
        <f ca="1">BDP("940158KC Muni","ISSUE_DT")</f>
        <v>#NAME?</v>
      </c>
      <c r="G955" t="e">
        <f ca="1">BDP("940158KC Muni","MATURITY")</f>
        <v>#NAME?</v>
      </c>
      <c r="H955" t="e">
        <f ca="1">BDP("940158KC Muni","MUNI_TAX_PROV")</f>
        <v>#NAME?</v>
      </c>
      <c r="I955" t="e">
        <f ca="1">BDP("940158KC Muni","FINANCING_TYPE")</f>
        <v>#NAME?</v>
      </c>
      <c r="J955" t="e">
        <f ca="1">BDP("940158KC Muni","BICS_LEVEL_2_INDUSTRY_GROUP_NAME")</f>
        <v>#NAME?</v>
      </c>
      <c r="K955" t="e">
        <f ca="1">BDP("940158KC Muni","SELF_REPRTD_GREEN_INSTR_INDCTR")</f>
        <v>#NAME?</v>
      </c>
      <c r="L955" t="e">
        <f ca="1">BDP("940158KC Muni","GB_MANAGEMENT_PROCEEDS")</f>
        <v>#NAME?</v>
      </c>
      <c r="M955" t="e">
        <f ca="1">BDP("940158KC Muni","GB_REPORTING")</f>
        <v>#NAME?</v>
      </c>
      <c r="N955" t="e">
        <f ca="1">BDP("940158KC Muni","GB_ASSURANCE_PROVIDERS")</f>
        <v>#NAME?</v>
      </c>
      <c r="O955" t="e">
        <f ca="1">BDP("940158KC Muni","GB_PROJECT_SELECTION_PROCESS")</f>
        <v>#NAME?</v>
      </c>
      <c r="P955" t="e">
        <f ca="1">BDP("940158KC Muni","ESG_FRAMEWORK_INDICATOR")</f>
        <v>#NAME?</v>
      </c>
      <c r="Q955" t="e">
        <f ca="1">BDP("940158KC Muni","BLOOMBERG_SECTOR_CODE")</f>
        <v>#NAME?</v>
      </c>
      <c r="R955" t="e">
        <f ca="1">BDP("940158KC Muni","ISSUER_TYPE")</f>
        <v>#NAME?</v>
      </c>
      <c r="S955" t="e">
        <f ca="1">BDS("940158KC Muni","ESG_PROJECT_CATEGORY", "aggregate=y")</f>
        <v>#NAME?</v>
      </c>
      <c r="T955" t="e">
        <f ca="1">BDS("940158KC Muni","ESG_PROJECT_SUBCATEGORY", "aggregate=y")</f>
        <v>#NAME?</v>
      </c>
    </row>
    <row r="956" spans="1:20" x14ac:dyDescent="0.25">
      <c r="A956" t="e">
        <f ca="1">BDP("940158KE Muni","ID_CUSIP")</f>
        <v>#NAME?</v>
      </c>
      <c r="B956" t="e">
        <f ca="1">BDP("940158KE Muni","STATE_CODE")</f>
        <v>#NAME?</v>
      </c>
      <c r="C956" t="s">
        <v>63</v>
      </c>
      <c r="D956" t="e">
        <f ca="1">BDP("940158KE Muni","YIELD_ON_ISSUE_DATE")</f>
        <v>#NAME?</v>
      </c>
      <c r="E956">
        <v>505000</v>
      </c>
      <c r="F956" t="e">
        <f ca="1">BDP("940158KE Muni","ISSUE_DT")</f>
        <v>#NAME?</v>
      </c>
      <c r="G956" t="e">
        <f ca="1">BDP("940158KE Muni","MATURITY")</f>
        <v>#NAME?</v>
      </c>
      <c r="H956" t="e">
        <f ca="1">BDP("940158KE Muni","MUNI_TAX_PROV")</f>
        <v>#NAME?</v>
      </c>
      <c r="I956" t="e">
        <f ca="1">BDP("940158KE Muni","FINANCING_TYPE")</f>
        <v>#NAME?</v>
      </c>
      <c r="J956" t="e">
        <f ca="1">BDP("940158KE Muni","BICS_LEVEL_2_INDUSTRY_GROUP_NAME")</f>
        <v>#NAME?</v>
      </c>
      <c r="K956" t="e">
        <f ca="1">BDP("940158KE Muni","SELF_REPRTD_GREEN_INSTR_INDCTR")</f>
        <v>#NAME?</v>
      </c>
      <c r="L956" t="e">
        <f ca="1">BDP("940158KE Muni","GB_MANAGEMENT_PROCEEDS")</f>
        <v>#NAME?</v>
      </c>
      <c r="M956" t="e">
        <f ca="1">BDP("940158KE Muni","GB_REPORTING")</f>
        <v>#NAME?</v>
      </c>
      <c r="N956" t="e">
        <f ca="1">BDP("940158KE Muni","GB_ASSURANCE_PROVIDERS")</f>
        <v>#NAME?</v>
      </c>
      <c r="O956" t="e">
        <f ca="1">BDP("940158KE Muni","GB_PROJECT_SELECTION_PROCESS")</f>
        <v>#NAME?</v>
      </c>
      <c r="P956" t="e">
        <f ca="1">BDP("940158KE Muni","ESG_FRAMEWORK_INDICATOR")</f>
        <v>#NAME?</v>
      </c>
      <c r="Q956" t="e">
        <f ca="1">BDP("940158KE Muni","BLOOMBERG_SECTOR_CODE")</f>
        <v>#NAME?</v>
      </c>
      <c r="R956" t="e">
        <f ca="1">BDP("940158KE Muni","ISSUER_TYPE")</f>
        <v>#NAME?</v>
      </c>
      <c r="S956" t="e">
        <f ca="1">BDS("940158KE Muni","ESG_PROJECT_CATEGORY", "aggregate=y")</f>
        <v>#NAME?</v>
      </c>
      <c r="T956" t="e">
        <f ca="1">BDS("940158KE Muni","ESG_PROJECT_SUBCATEGORY", "aggregate=y")</f>
        <v>#NAME?</v>
      </c>
    </row>
    <row r="957" spans="1:20" x14ac:dyDescent="0.25">
      <c r="A957" t="e">
        <f ca="1">BDP("940158KH Muni","ID_CUSIP")</f>
        <v>#NAME?</v>
      </c>
      <c r="B957" t="e">
        <f ca="1">BDP("940158KH Muni","STATE_CODE")</f>
        <v>#NAME?</v>
      </c>
      <c r="C957" t="s">
        <v>63</v>
      </c>
      <c r="D957" t="e">
        <f ca="1">BDP("940158KH Muni","YIELD_ON_ISSUE_DATE")</f>
        <v>#NAME?</v>
      </c>
      <c r="E957">
        <v>585000</v>
      </c>
      <c r="F957" t="e">
        <f ca="1">BDP("940158KH Muni","ISSUE_DT")</f>
        <v>#NAME?</v>
      </c>
      <c r="G957" t="e">
        <f ca="1">BDP("940158KH Muni","MATURITY")</f>
        <v>#NAME?</v>
      </c>
      <c r="H957" t="e">
        <f ca="1">BDP("940158KH Muni","MUNI_TAX_PROV")</f>
        <v>#NAME?</v>
      </c>
      <c r="I957" t="e">
        <f ca="1">BDP("940158KH Muni","FINANCING_TYPE")</f>
        <v>#NAME?</v>
      </c>
      <c r="J957" t="e">
        <f ca="1">BDP("940158KH Muni","BICS_LEVEL_2_INDUSTRY_GROUP_NAME")</f>
        <v>#NAME?</v>
      </c>
      <c r="K957" t="e">
        <f ca="1">BDP("940158KH Muni","SELF_REPRTD_GREEN_INSTR_INDCTR")</f>
        <v>#NAME?</v>
      </c>
      <c r="L957" t="e">
        <f ca="1">BDP("940158KH Muni","GB_MANAGEMENT_PROCEEDS")</f>
        <v>#NAME?</v>
      </c>
      <c r="M957" t="e">
        <f ca="1">BDP("940158KH Muni","GB_REPORTING")</f>
        <v>#NAME?</v>
      </c>
      <c r="N957" t="e">
        <f ca="1">BDP("940158KH Muni","GB_ASSURANCE_PROVIDERS")</f>
        <v>#NAME?</v>
      </c>
      <c r="O957" t="e">
        <f ca="1">BDP("940158KH Muni","GB_PROJECT_SELECTION_PROCESS")</f>
        <v>#NAME?</v>
      </c>
      <c r="P957" t="e">
        <f ca="1">BDP("940158KH Muni","ESG_FRAMEWORK_INDICATOR")</f>
        <v>#NAME?</v>
      </c>
      <c r="Q957" t="e">
        <f ca="1">BDP("940158KH Muni","BLOOMBERG_SECTOR_CODE")</f>
        <v>#NAME?</v>
      </c>
      <c r="R957" t="e">
        <f ca="1">BDP("940158KH Muni","ISSUER_TYPE")</f>
        <v>#NAME?</v>
      </c>
      <c r="S957" t="e">
        <f ca="1">BDS("940158KH Muni","ESG_PROJECT_CATEGORY", "aggregate=y")</f>
        <v>#NAME?</v>
      </c>
      <c r="T957" t="e">
        <f ca="1">BDS("940158KH Muni","ESG_PROJECT_SUBCATEGORY", "aggregate=y")</f>
        <v>#NAME?</v>
      </c>
    </row>
    <row r="958" spans="1:20" x14ac:dyDescent="0.25">
      <c r="A958" t="e">
        <f ca="1">BDP("940158KJ Muni","ID_CUSIP")</f>
        <v>#NAME?</v>
      </c>
      <c r="B958" t="e">
        <f ca="1">BDP("940158KJ Muni","STATE_CODE")</f>
        <v>#NAME?</v>
      </c>
      <c r="C958" t="s">
        <v>63</v>
      </c>
      <c r="D958" t="e">
        <f ca="1">BDP("940158KJ Muni","YIELD_ON_ISSUE_DATE")</f>
        <v>#NAME?</v>
      </c>
      <c r="E958">
        <v>615000</v>
      </c>
      <c r="F958" t="e">
        <f ca="1">BDP("940158KJ Muni","ISSUE_DT")</f>
        <v>#NAME?</v>
      </c>
      <c r="G958" t="e">
        <f ca="1">BDP("940158KJ Muni","MATURITY")</f>
        <v>#NAME?</v>
      </c>
      <c r="H958" t="e">
        <f ca="1">BDP("940158KJ Muni","MUNI_TAX_PROV")</f>
        <v>#NAME?</v>
      </c>
      <c r="I958" t="e">
        <f ca="1">BDP("940158KJ Muni","FINANCING_TYPE")</f>
        <v>#NAME?</v>
      </c>
      <c r="J958" t="e">
        <f ca="1">BDP("940158KJ Muni","BICS_LEVEL_2_INDUSTRY_GROUP_NAME")</f>
        <v>#NAME?</v>
      </c>
      <c r="K958" t="e">
        <f ca="1">BDP("940158KJ Muni","SELF_REPRTD_GREEN_INSTR_INDCTR")</f>
        <v>#NAME?</v>
      </c>
      <c r="L958" t="e">
        <f ca="1">BDP("940158KJ Muni","GB_MANAGEMENT_PROCEEDS")</f>
        <v>#NAME?</v>
      </c>
      <c r="M958" t="e">
        <f ca="1">BDP("940158KJ Muni","GB_REPORTING")</f>
        <v>#NAME?</v>
      </c>
      <c r="N958" t="e">
        <f ca="1">BDP("940158KJ Muni","GB_ASSURANCE_PROVIDERS")</f>
        <v>#NAME?</v>
      </c>
      <c r="O958" t="e">
        <f ca="1">BDP("940158KJ Muni","GB_PROJECT_SELECTION_PROCESS")</f>
        <v>#NAME?</v>
      </c>
      <c r="P958" t="e">
        <f ca="1">BDP("940158KJ Muni","ESG_FRAMEWORK_INDICATOR")</f>
        <v>#NAME?</v>
      </c>
      <c r="Q958" t="e">
        <f ca="1">BDP("940158KJ Muni","BLOOMBERG_SECTOR_CODE")</f>
        <v>#NAME?</v>
      </c>
      <c r="R958" t="e">
        <f ca="1">BDP("940158KJ Muni","ISSUER_TYPE")</f>
        <v>#NAME?</v>
      </c>
      <c r="S958" t="e">
        <f ca="1">BDS("940158KJ Muni","ESG_PROJECT_CATEGORY", "aggregate=y")</f>
        <v>#NAME?</v>
      </c>
      <c r="T958" t="e">
        <f ca="1">BDS("940158KJ Muni","ESG_PROJECT_SUBCATEGORY", "aggregate=y")</f>
        <v>#NAME?</v>
      </c>
    </row>
    <row r="959" spans="1:20" x14ac:dyDescent="0.25">
      <c r="A959" t="e">
        <f ca="1">BDP("940158KK Muni","ID_CUSIP")</f>
        <v>#NAME?</v>
      </c>
      <c r="B959" t="e">
        <f ca="1">BDP("940158KK Muni","STATE_CODE")</f>
        <v>#NAME?</v>
      </c>
      <c r="C959" t="s">
        <v>63</v>
      </c>
      <c r="D959" t="e">
        <f ca="1">BDP("940158KK Muni","YIELD_ON_ISSUE_DATE")</f>
        <v>#NAME?</v>
      </c>
      <c r="E959">
        <v>645000</v>
      </c>
      <c r="F959" t="e">
        <f ca="1">BDP("940158KK Muni","ISSUE_DT")</f>
        <v>#NAME?</v>
      </c>
      <c r="G959" t="e">
        <f ca="1">BDP("940158KK Muni","MATURITY")</f>
        <v>#NAME?</v>
      </c>
      <c r="H959" t="e">
        <f ca="1">BDP("940158KK Muni","MUNI_TAX_PROV")</f>
        <v>#NAME?</v>
      </c>
      <c r="I959" t="e">
        <f ca="1">BDP("940158KK Muni","FINANCING_TYPE")</f>
        <v>#NAME?</v>
      </c>
      <c r="J959" t="e">
        <f ca="1">BDP("940158KK Muni","BICS_LEVEL_2_INDUSTRY_GROUP_NAME")</f>
        <v>#NAME?</v>
      </c>
      <c r="K959" t="e">
        <f ca="1">BDP("940158KK Muni","SELF_REPRTD_GREEN_INSTR_INDCTR")</f>
        <v>#NAME?</v>
      </c>
      <c r="L959" t="e">
        <f ca="1">BDP("940158KK Muni","GB_MANAGEMENT_PROCEEDS")</f>
        <v>#NAME?</v>
      </c>
      <c r="M959" t="e">
        <f ca="1">BDP("940158KK Muni","GB_REPORTING")</f>
        <v>#NAME?</v>
      </c>
      <c r="N959" t="e">
        <f ca="1">BDP("940158KK Muni","GB_ASSURANCE_PROVIDERS")</f>
        <v>#NAME?</v>
      </c>
      <c r="O959" t="e">
        <f ca="1">BDP("940158KK Muni","GB_PROJECT_SELECTION_PROCESS")</f>
        <v>#NAME?</v>
      </c>
      <c r="P959" t="e">
        <f ca="1">BDP("940158KK Muni","ESG_FRAMEWORK_INDICATOR")</f>
        <v>#NAME?</v>
      </c>
      <c r="Q959" t="e">
        <f ca="1">BDP("940158KK Muni","BLOOMBERG_SECTOR_CODE")</f>
        <v>#NAME?</v>
      </c>
      <c r="R959" t="e">
        <f ca="1">BDP("940158KK Muni","ISSUER_TYPE")</f>
        <v>#NAME?</v>
      </c>
      <c r="S959" t="e">
        <f ca="1">BDS("940158KK Muni","ESG_PROJECT_CATEGORY", "aggregate=y")</f>
        <v>#NAME?</v>
      </c>
      <c r="T959" t="e">
        <f ca="1">BDS("940158KK Muni","ESG_PROJECT_SUBCATEGORY", "aggregate=y")</f>
        <v>#NAME?</v>
      </c>
    </row>
    <row r="960" spans="1:20" x14ac:dyDescent="0.25">
      <c r="A960" t="e">
        <f ca="1">BDP("940158KL Muni","ID_CUSIP")</f>
        <v>#NAME?</v>
      </c>
      <c r="B960" t="e">
        <f ca="1">BDP("940158KL Muni","STATE_CODE")</f>
        <v>#NAME?</v>
      </c>
      <c r="C960" t="s">
        <v>63</v>
      </c>
      <c r="D960" t="e">
        <f ca="1">BDP("940158KL Muni","YIELD_ON_ISSUE_DATE")</f>
        <v>#NAME?</v>
      </c>
      <c r="E960">
        <v>680000</v>
      </c>
      <c r="F960" t="e">
        <f ca="1">BDP("940158KL Muni","ISSUE_DT")</f>
        <v>#NAME?</v>
      </c>
      <c r="G960" t="e">
        <f ca="1">BDP("940158KL Muni","MATURITY")</f>
        <v>#NAME?</v>
      </c>
      <c r="H960" t="e">
        <f ca="1">BDP("940158KL Muni","MUNI_TAX_PROV")</f>
        <v>#NAME?</v>
      </c>
      <c r="I960" t="e">
        <f ca="1">BDP("940158KL Muni","FINANCING_TYPE")</f>
        <v>#NAME?</v>
      </c>
      <c r="J960" t="e">
        <f ca="1">BDP("940158KL Muni","BICS_LEVEL_2_INDUSTRY_GROUP_NAME")</f>
        <v>#NAME?</v>
      </c>
      <c r="K960" t="e">
        <f ca="1">BDP("940158KL Muni","SELF_REPRTD_GREEN_INSTR_INDCTR")</f>
        <v>#NAME?</v>
      </c>
      <c r="L960" t="e">
        <f ca="1">BDP("940158KL Muni","GB_MANAGEMENT_PROCEEDS")</f>
        <v>#NAME?</v>
      </c>
      <c r="M960" t="e">
        <f ca="1">BDP("940158KL Muni","GB_REPORTING")</f>
        <v>#NAME?</v>
      </c>
      <c r="N960" t="e">
        <f ca="1">BDP("940158KL Muni","GB_ASSURANCE_PROVIDERS")</f>
        <v>#NAME?</v>
      </c>
      <c r="O960" t="e">
        <f ca="1">BDP("940158KL Muni","GB_PROJECT_SELECTION_PROCESS")</f>
        <v>#NAME?</v>
      </c>
      <c r="P960" t="e">
        <f ca="1">BDP("940158KL Muni","ESG_FRAMEWORK_INDICATOR")</f>
        <v>#NAME?</v>
      </c>
      <c r="Q960" t="e">
        <f ca="1">BDP("940158KL Muni","BLOOMBERG_SECTOR_CODE")</f>
        <v>#NAME?</v>
      </c>
      <c r="R960" t="e">
        <f ca="1">BDP("940158KL Muni","ISSUER_TYPE")</f>
        <v>#NAME?</v>
      </c>
      <c r="S960" t="e">
        <f ca="1">BDS("940158KL Muni","ESG_PROJECT_CATEGORY", "aggregate=y")</f>
        <v>#NAME?</v>
      </c>
      <c r="T960" t="e">
        <f ca="1">BDS("940158KL Muni","ESG_PROJECT_SUBCATEGORY", "aggregate=y")</f>
        <v>#NAME?</v>
      </c>
    </row>
    <row r="961" spans="1:20" x14ac:dyDescent="0.25">
      <c r="A961" t="e">
        <f ca="1">BDP("940158KM Muni","ID_CUSIP")</f>
        <v>#NAME?</v>
      </c>
      <c r="B961" t="e">
        <f ca="1">BDP("940158KM Muni","STATE_CODE")</f>
        <v>#NAME?</v>
      </c>
      <c r="C961" t="s">
        <v>63</v>
      </c>
      <c r="D961" t="e">
        <f ca="1">BDP("940158KM Muni","YIELD_ON_ISSUE_DATE")</f>
        <v>#NAME?</v>
      </c>
      <c r="E961">
        <v>710000</v>
      </c>
      <c r="F961" t="e">
        <f ca="1">BDP("940158KM Muni","ISSUE_DT")</f>
        <v>#NAME?</v>
      </c>
      <c r="G961" t="e">
        <f ca="1">BDP("940158KM Muni","MATURITY")</f>
        <v>#NAME?</v>
      </c>
      <c r="H961" t="e">
        <f ca="1">BDP("940158KM Muni","MUNI_TAX_PROV")</f>
        <v>#NAME?</v>
      </c>
      <c r="I961" t="e">
        <f ca="1">BDP("940158KM Muni","FINANCING_TYPE")</f>
        <v>#NAME?</v>
      </c>
      <c r="J961" t="e">
        <f ca="1">BDP("940158KM Muni","BICS_LEVEL_2_INDUSTRY_GROUP_NAME")</f>
        <v>#NAME?</v>
      </c>
      <c r="K961" t="e">
        <f ca="1">BDP("940158KM Muni","SELF_REPRTD_GREEN_INSTR_INDCTR")</f>
        <v>#NAME?</v>
      </c>
      <c r="L961" t="e">
        <f ca="1">BDP("940158KM Muni","GB_MANAGEMENT_PROCEEDS")</f>
        <v>#NAME?</v>
      </c>
      <c r="M961" t="e">
        <f ca="1">BDP("940158KM Muni","GB_REPORTING")</f>
        <v>#NAME?</v>
      </c>
      <c r="N961" t="e">
        <f ca="1">BDP("940158KM Muni","GB_ASSURANCE_PROVIDERS")</f>
        <v>#NAME?</v>
      </c>
      <c r="O961" t="e">
        <f ca="1">BDP("940158KM Muni","GB_PROJECT_SELECTION_PROCESS")</f>
        <v>#NAME?</v>
      </c>
      <c r="P961" t="e">
        <f ca="1">BDP("940158KM Muni","ESG_FRAMEWORK_INDICATOR")</f>
        <v>#NAME?</v>
      </c>
      <c r="Q961" t="e">
        <f ca="1">BDP("940158KM Muni","BLOOMBERG_SECTOR_CODE")</f>
        <v>#NAME?</v>
      </c>
      <c r="R961" t="e">
        <f ca="1">BDP("940158KM Muni","ISSUER_TYPE")</f>
        <v>#NAME?</v>
      </c>
      <c r="S961" t="e">
        <f ca="1">BDS("940158KM Muni","ESG_PROJECT_CATEGORY", "aggregate=y")</f>
        <v>#NAME?</v>
      </c>
      <c r="T961" t="e">
        <f ca="1">BDS("940158KM Muni","ESG_PROJECT_SUBCATEGORY", "aggregate=y")</f>
        <v>#NAME?</v>
      </c>
    </row>
    <row r="962" spans="1:20" x14ac:dyDescent="0.25">
      <c r="A962" t="e">
        <f ca="1">BDP("940158KN Muni","ID_CUSIP")</f>
        <v>#NAME?</v>
      </c>
      <c r="B962" t="e">
        <f ca="1">BDP("940158KN Muni","STATE_CODE")</f>
        <v>#NAME?</v>
      </c>
      <c r="C962" t="s">
        <v>63</v>
      </c>
      <c r="D962" t="e">
        <f ca="1">BDP("940158KN Muni","YIELD_ON_ISSUE_DATE")</f>
        <v>#NAME?</v>
      </c>
      <c r="E962">
        <v>750000</v>
      </c>
      <c r="F962" t="e">
        <f ca="1">BDP("940158KN Muni","ISSUE_DT")</f>
        <v>#NAME?</v>
      </c>
      <c r="G962" t="e">
        <f ca="1">BDP("940158KN Muni","MATURITY")</f>
        <v>#NAME?</v>
      </c>
      <c r="H962" t="e">
        <f ca="1">BDP("940158KN Muni","MUNI_TAX_PROV")</f>
        <v>#NAME?</v>
      </c>
      <c r="I962" t="e">
        <f ca="1">BDP("940158KN Muni","FINANCING_TYPE")</f>
        <v>#NAME?</v>
      </c>
      <c r="J962" t="e">
        <f ca="1">BDP("940158KN Muni","BICS_LEVEL_2_INDUSTRY_GROUP_NAME")</f>
        <v>#NAME?</v>
      </c>
      <c r="K962" t="e">
        <f ca="1">BDP("940158KN Muni","SELF_REPRTD_GREEN_INSTR_INDCTR")</f>
        <v>#NAME?</v>
      </c>
      <c r="L962" t="e">
        <f ca="1">BDP("940158KN Muni","GB_MANAGEMENT_PROCEEDS")</f>
        <v>#NAME?</v>
      </c>
      <c r="M962" t="e">
        <f ca="1">BDP("940158KN Muni","GB_REPORTING")</f>
        <v>#NAME?</v>
      </c>
      <c r="N962" t="e">
        <f ca="1">BDP("940158KN Muni","GB_ASSURANCE_PROVIDERS")</f>
        <v>#NAME?</v>
      </c>
      <c r="O962" t="e">
        <f ca="1">BDP("940158KN Muni","GB_PROJECT_SELECTION_PROCESS")</f>
        <v>#NAME?</v>
      </c>
      <c r="P962" t="e">
        <f ca="1">BDP("940158KN Muni","ESG_FRAMEWORK_INDICATOR")</f>
        <v>#NAME?</v>
      </c>
      <c r="Q962" t="e">
        <f ca="1">BDP("940158KN Muni","BLOOMBERG_SECTOR_CODE")</f>
        <v>#NAME?</v>
      </c>
      <c r="R962" t="e">
        <f ca="1">BDP("940158KN Muni","ISSUER_TYPE")</f>
        <v>#NAME?</v>
      </c>
      <c r="S962" t="e">
        <f ca="1">BDS("940158KN Muni","ESG_PROJECT_CATEGORY", "aggregate=y")</f>
        <v>#NAME?</v>
      </c>
      <c r="T962" t="e">
        <f ca="1">BDS("940158KN Muni","ESG_PROJECT_SUBCATEGORY", "aggregate=y")</f>
        <v>#NAME?</v>
      </c>
    </row>
    <row r="963" spans="1:20" x14ac:dyDescent="0.25">
      <c r="A963" t="e">
        <f ca="1">BDP("940158KP Muni","ID_CUSIP")</f>
        <v>#NAME?</v>
      </c>
      <c r="B963" t="e">
        <f ca="1">BDP("940158KP Muni","STATE_CODE")</f>
        <v>#NAME?</v>
      </c>
      <c r="C963" t="s">
        <v>63</v>
      </c>
      <c r="D963" t="e">
        <f ca="1">BDP("940158KP Muni","YIELD_ON_ISSUE_DATE")</f>
        <v>#NAME?</v>
      </c>
      <c r="E963">
        <v>785000</v>
      </c>
      <c r="F963" t="e">
        <f ca="1">BDP("940158KP Muni","ISSUE_DT")</f>
        <v>#NAME?</v>
      </c>
      <c r="G963" t="e">
        <f ca="1">BDP("940158KP Muni","MATURITY")</f>
        <v>#NAME?</v>
      </c>
      <c r="H963" t="e">
        <f ca="1">BDP("940158KP Muni","MUNI_TAX_PROV")</f>
        <v>#NAME?</v>
      </c>
      <c r="I963" t="e">
        <f ca="1">BDP("940158KP Muni","FINANCING_TYPE")</f>
        <v>#NAME?</v>
      </c>
      <c r="J963" t="e">
        <f ca="1">BDP("940158KP Muni","BICS_LEVEL_2_INDUSTRY_GROUP_NAME")</f>
        <v>#NAME?</v>
      </c>
      <c r="K963" t="e">
        <f ca="1">BDP("940158KP Muni","SELF_REPRTD_GREEN_INSTR_INDCTR")</f>
        <v>#NAME?</v>
      </c>
      <c r="L963" t="e">
        <f ca="1">BDP("940158KP Muni","GB_MANAGEMENT_PROCEEDS")</f>
        <v>#NAME?</v>
      </c>
      <c r="M963" t="e">
        <f ca="1">BDP("940158KP Muni","GB_REPORTING")</f>
        <v>#NAME?</v>
      </c>
      <c r="N963" t="e">
        <f ca="1">BDP("940158KP Muni","GB_ASSURANCE_PROVIDERS")</f>
        <v>#NAME?</v>
      </c>
      <c r="O963" t="e">
        <f ca="1">BDP("940158KP Muni","GB_PROJECT_SELECTION_PROCESS")</f>
        <v>#NAME?</v>
      </c>
      <c r="P963" t="e">
        <f ca="1">BDP("940158KP Muni","ESG_FRAMEWORK_INDICATOR")</f>
        <v>#NAME?</v>
      </c>
      <c r="Q963" t="e">
        <f ca="1">BDP("940158KP Muni","BLOOMBERG_SECTOR_CODE")</f>
        <v>#NAME?</v>
      </c>
      <c r="R963" t="e">
        <f ca="1">BDP("940158KP Muni","ISSUER_TYPE")</f>
        <v>#NAME?</v>
      </c>
      <c r="S963" t="e">
        <f ca="1">BDS("940158KP Muni","ESG_PROJECT_CATEGORY", "aggregate=y")</f>
        <v>#NAME?</v>
      </c>
      <c r="T963" t="e">
        <f ca="1">BDS("940158KP Muni","ESG_PROJECT_SUBCATEGORY", "aggregate=y")</f>
        <v>#NAME?</v>
      </c>
    </row>
    <row r="964" spans="1:20" x14ac:dyDescent="0.25">
      <c r="A964" t="e">
        <f ca="1">BDP("940158KQ Muni","ID_CUSIP")</f>
        <v>#NAME?</v>
      </c>
      <c r="B964" t="e">
        <f ca="1">BDP("940158KQ Muni","STATE_CODE")</f>
        <v>#NAME?</v>
      </c>
      <c r="C964" t="s">
        <v>63</v>
      </c>
      <c r="D964" t="e">
        <f ca="1">BDP("940158KQ Muni","YIELD_ON_ISSUE_DATE")</f>
        <v>#NAME?</v>
      </c>
      <c r="E964">
        <v>825000</v>
      </c>
      <c r="F964" t="e">
        <f ca="1">BDP("940158KQ Muni","ISSUE_DT")</f>
        <v>#NAME?</v>
      </c>
      <c r="G964" t="e">
        <f ca="1">BDP("940158KQ Muni","MATURITY")</f>
        <v>#NAME?</v>
      </c>
      <c r="H964" t="e">
        <f ca="1">BDP("940158KQ Muni","MUNI_TAX_PROV")</f>
        <v>#NAME?</v>
      </c>
      <c r="I964" t="e">
        <f ca="1">BDP("940158KQ Muni","FINANCING_TYPE")</f>
        <v>#NAME?</v>
      </c>
      <c r="J964" t="e">
        <f ca="1">BDP("940158KQ Muni","BICS_LEVEL_2_INDUSTRY_GROUP_NAME")</f>
        <v>#NAME?</v>
      </c>
      <c r="K964" t="e">
        <f ca="1">BDP("940158KQ Muni","SELF_REPRTD_GREEN_INSTR_INDCTR")</f>
        <v>#NAME?</v>
      </c>
      <c r="L964" t="e">
        <f ca="1">BDP("940158KQ Muni","GB_MANAGEMENT_PROCEEDS")</f>
        <v>#NAME?</v>
      </c>
      <c r="M964" t="e">
        <f ca="1">BDP("940158KQ Muni","GB_REPORTING")</f>
        <v>#NAME?</v>
      </c>
      <c r="N964" t="e">
        <f ca="1">BDP("940158KQ Muni","GB_ASSURANCE_PROVIDERS")</f>
        <v>#NAME?</v>
      </c>
      <c r="O964" t="e">
        <f ca="1">BDP("940158KQ Muni","GB_PROJECT_SELECTION_PROCESS")</f>
        <v>#NAME?</v>
      </c>
      <c r="P964" t="e">
        <f ca="1">BDP("940158KQ Muni","ESG_FRAMEWORK_INDICATOR")</f>
        <v>#NAME?</v>
      </c>
      <c r="Q964" t="e">
        <f ca="1">BDP("940158KQ Muni","BLOOMBERG_SECTOR_CODE")</f>
        <v>#NAME?</v>
      </c>
      <c r="R964" t="e">
        <f ca="1">BDP("940158KQ Muni","ISSUER_TYPE")</f>
        <v>#NAME?</v>
      </c>
      <c r="S964" t="e">
        <f ca="1">BDS("940158KQ Muni","ESG_PROJECT_CATEGORY", "aggregate=y")</f>
        <v>#NAME?</v>
      </c>
      <c r="T964" t="e">
        <f ca="1">BDS("940158KQ Muni","ESG_PROJECT_SUBCATEGORY", "aggregate=y")</f>
        <v>#NAME?</v>
      </c>
    </row>
    <row r="965" spans="1:20" x14ac:dyDescent="0.25">
      <c r="A965" t="e">
        <f ca="1">BDP("940158KS Muni","ID_CUSIP")</f>
        <v>#NAME?</v>
      </c>
      <c r="B965" t="e">
        <f ca="1">BDP("940158KS Muni","STATE_CODE")</f>
        <v>#NAME?</v>
      </c>
      <c r="C965" t="s">
        <v>63</v>
      </c>
      <c r="D965" t="e">
        <f ca="1">BDP("940158KS Muni","YIELD_ON_ISSUE_DATE")</f>
        <v>#NAME?</v>
      </c>
      <c r="E965">
        <v>910000</v>
      </c>
      <c r="F965" t="e">
        <f ca="1">BDP("940158KS Muni","ISSUE_DT")</f>
        <v>#NAME?</v>
      </c>
      <c r="G965" t="e">
        <f ca="1">BDP("940158KS Muni","MATURITY")</f>
        <v>#NAME?</v>
      </c>
      <c r="H965" t="e">
        <f ca="1">BDP("940158KS Muni","MUNI_TAX_PROV")</f>
        <v>#NAME?</v>
      </c>
      <c r="I965" t="e">
        <f ca="1">BDP("940158KS Muni","FINANCING_TYPE")</f>
        <v>#NAME?</v>
      </c>
      <c r="J965" t="e">
        <f ca="1">BDP("940158KS Muni","BICS_LEVEL_2_INDUSTRY_GROUP_NAME")</f>
        <v>#NAME?</v>
      </c>
      <c r="K965" t="e">
        <f ca="1">BDP("940158KS Muni","SELF_REPRTD_GREEN_INSTR_INDCTR")</f>
        <v>#NAME?</v>
      </c>
      <c r="L965" t="e">
        <f ca="1">BDP("940158KS Muni","GB_MANAGEMENT_PROCEEDS")</f>
        <v>#NAME?</v>
      </c>
      <c r="M965" t="e">
        <f ca="1">BDP("940158KS Muni","GB_REPORTING")</f>
        <v>#NAME?</v>
      </c>
      <c r="N965" t="e">
        <f ca="1">BDP("940158KS Muni","GB_ASSURANCE_PROVIDERS")</f>
        <v>#NAME?</v>
      </c>
      <c r="O965" t="e">
        <f ca="1">BDP("940158KS Muni","GB_PROJECT_SELECTION_PROCESS")</f>
        <v>#NAME?</v>
      </c>
      <c r="P965" t="e">
        <f ca="1">BDP("940158KS Muni","ESG_FRAMEWORK_INDICATOR")</f>
        <v>#NAME?</v>
      </c>
      <c r="Q965" t="e">
        <f ca="1">BDP("940158KS Muni","BLOOMBERG_SECTOR_CODE")</f>
        <v>#NAME?</v>
      </c>
      <c r="R965" t="e">
        <f ca="1">BDP("940158KS Muni","ISSUER_TYPE")</f>
        <v>#NAME?</v>
      </c>
      <c r="S965" t="e">
        <f ca="1">BDS("940158KS Muni","ESG_PROJECT_CATEGORY", "aggregate=y")</f>
        <v>#NAME?</v>
      </c>
      <c r="T965" t="e">
        <f ca="1">BDS("940158KS Muni","ESG_PROJECT_SUBCATEGORY", "aggregate=y")</f>
        <v>#NAME?</v>
      </c>
    </row>
    <row r="966" spans="1:20" x14ac:dyDescent="0.25">
      <c r="A966" t="e">
        <f ca="1">BDP("940158KU Muni","ID_CUSIP")</f>
        <v>#NAME?</v>
      </c>
      <c r="B966" t="e">
        <f ca="1">BDP("940158KU Muni","STATE_CODE")</f>
        <v>#NAME?</v>
      </c>
      <c r="C966" t="s">
        <v>63</v>
      </c>
      <c r="D966" t="e">
        <f ca="1">BDP("940158KU Muni","YIELD_ON_ISSUE_DATE")</f>
        <v>#NAME?</v>
      </c>
      <c r="E966">
        <v>1000000</v>
      </c>
      <c r="F966" t="e">
        <f ca="1">BDP("940158KU Muni","ISSUE_DT")</f>
        <v>#NAME?</v>
      </c>
      <c r="G966" t="e">
        <f ca="1">BDP("940158KU Muni","MATURITY")</f>
        <v>#NAME?</v>
      </c>
      <c r="H966" t="e">
        <f ca="1">BDP("940158KU Muni","MUNI_TAX_PROV")</f>
        <v>#NAME?</v>
      </c>
      <c r="I966" t="e">
        <f ca="1">BDP("940158KU Muni","FINANCING_TYPE")</f>
        <v>#NAME?</v>
      </c>
      <c r="J966" t="e">
        <f ca="1">BDP("940158KU Muni","BICS_LEVEL_2_INDUSTRY_GROUP_NAME")</f>
        <v>#NAME?</v>
      </c>
      <c r="K966" t="e">
        <f ca="1">BDP("940158KU Muni","SELF_REPRTD_GREEN_INSTR_INDCTR")</f>
        <v>#NAME?</v>
      </c>
      <c r="L966" t="e">
        <f ca="1">BDP("940158KU Muni","GB_MANAGEMENT_PROCEEDS")</f>
        <v>#NAME?</v>
      </c>
      <c r="M966" t="e">
        <f ca="1">BDP("940158KU Muni","GB_REPORTING")</f>
        <v>#NAME?</v>
      </c>
      <c r="N966" t="e">
        <f ca="1">BDP("940158KU Muni","GB_ASSURANCE_PROVIDERS")</f>
        <v>#NAME?</v>
      </c>
      <c r="O966" t="e">
        <f ca="1">BDP("940158KU Muni","GB_PROJECT_SELECTION_PROCESS")</f>
        <v>#NAME?</v>
      </c>
      <c r="P966" t="e">
        <f ca="1">BDP("940158KU Muni","ESG_FRAMEWORK_INDICATOR")</f>
        <v>#NAME?</v>
      </c>
      <c r="Q966" t="e">
        <f ca="1">BDP("940158KU Muni","BLOOMBERG_SECTOR_CODE")</f>
        <v>#NAME?</v>
      </c>
      <c r="R966" t="e">
        <f ca="1">BDP("940158KU Muni","ISSUER_TYPE")</f>
        <v>#NAME?</v>
      </c>
      <c r="S966" t="e">
        <f ca="1">BDS("940158KU Muni","ESG_PROJECT_CATEGORY", "aggregate=y")</f>
        <v>#NAME?</v>
      </c>
      <c r="T966" t="e">
        <f ca="1">BDS("940158KU Muni","ESG_PROJECT_SUBCATEGORY", "aggregate=y")</f>
        <v>#NAME?</v>
      </c>
    </row>
    <row r="967" spans="1:20" x14ac:dyDescent="0.25">
      <c r="A967" t="e">
        <f ca="1">BDP("940158KV Muni","ID_CUSIP")</f>
        <v>#NAME?</v>
      </c>
      <c r="B967" t="e">
        <f ca="1">BDP("940158KV Muni","STATE_CODE")</f>
        <v>#NAME?</v>
      </c>
      <c r="C967" t="s">
        <v>63</v>
      </c>
      <c r="D967" t="e">
        <f ca="1">BDP("940158KV Muni","YIELD_ON_ISSUE_DATE")</f>
        <v>#NAME?</v>
      </c>
      <c r="E967">
        <v>1055000</v>
      </c>
      <c r="F967" t="e">
        <f ca="1">BDP("940158KV Muni","ISSUE_DT")</f>
        <v>#NAME?</v>
      </c>
      <c r="G967" t="e">
        <f ca="1">BDP("940158KV Muni","MATURITY")</f>
        <v>#NAME?</v>
      </c>
      <c r="H967" t="e">
        <f ca="1">BDP("940158KV Muni","MUNI_TAX_PROV")</f>
        <v>#NAME?</v>
      </c>
      <c r="I967" t="e">
        <f ca="1">BDP("940158KV Muni","FINANCING_TYPE")</f>
        <v>#NAME?</v>
      </c>
      <c r="J967" t="e">
        <f ca="1">BDP("940158KV Muni","BICS_LEVEL_2_INDUSTRY_GROUP_NAME")</f>
        <v>#NAME?</v>
      </c>
      <c r="K967" t="e">
        <f ca="1">BDP("940158KV Muni","SELF_REPRTD_GREEN_INSTR_INDCTR")</f>
        <v>#NAME?</v>
      </c>
      <c r="L967" t="e">
        <f ca="1">BDP("940158KV Muni","GB_MANAGEMENT_PROCEEDS")</f>
        <v>#NAME?</v>
      </c>
      <c r="M967" t="e">
        <f ca="1">BDP("940158KV Muni","GB_REPORTING")</f>
        <v>#NAME?</v>
      </c>
      <c r="N967" t="e">
        <f ca="1">BDP("940158KV Muni","GB_ASSURANCE_PROVIDERS")</f>
        <v>#NAME?</v>
      </c>
      <c r="O967" t="e">
        <f ca="1">BDP("940158KV Muni","GB_PROJECT_SELECTION_PROCESS")</f>
        <v>#NAME?</v>
      </c>
      <c r="P967" t="e">
        <f ca="1">BDP("940158KV Muni","ESG_FRAMEWORK_INDICATOR")</f>
        <v>#NAME?</v>
      </c>
      <c r="Q967" t="e">
        <f ca="1">BDP("940158KV Muni","BLOOMBERG_SECTOR_CODE")</f>
        <v>#NAME?</v>
      </c>
      <c r="R967" t="e">
        <f ca="1">BDP("940158KV Muni","ISSUER_TYPE")</f>
        <v>#NAME?</v>
      </c>
      <c r="S967" t="e">
        <f ca="1">BDS("940158KV Muni","ESG_PROJECT_CATEGORY", "aggregate=y")</f>
        <v>#NAME?</v>
      </c>
      <c r="T967" t="e">
        <f ca="1">BDS("940158KV Muni","ESG_PROJECT_SUBCATEGORY", "aggregate=y")</f>
        <v>#NAME?</v>
      </c>
    </row>
    <row r="968" spans="1:20" x14ac:dyDescent="0.25">
      <c r="A968" t="e">
        <f ca="1">BDP("940158KW Muni","ID_CUSIP")</f>
        <v>#NAME?</v>
      </c>
      <c r="B968" t="e">
        <f ca="1">BDP("940158KW Muni","STATE_CODE")</f>
        <v>#NAME?</v>
      </c>
      <c r="C968" t="s">
        <v>63</v>
      </c>
      <c r="D968" t="e">
        <f ca="1">BDP("940158KW Muni","YIELD_ON_ISSUE_DATE")</f>
        <v>#NAME?</v>
      </c>
      <c r="E968">
        <v>1105000</v>
      </c>
      <c r="F968" t="e">
        <f ca="1">BDP("940158KW Muni","ISSUE_DT")</f>
        <v>#NAME?</v>
      </c>
      <c r="G968" t="e">
        <f ca="1">BDP("940158KW Muni","MATURITY")</f>
        <v>#NAME?</v>
      </c>
      <c r="H968" t="e">
        <f ca="1">BDP("940158KW Muni","MUNI_TAX_PROV")</f>
        <v>#NAME?</v>
      </c>
      <c r="I968" t="e">
        <f ca="1">BDP("940158KW Muni","FINANCING_TYPE")</f>
        <v>#NAME?</v>
      </c>
      <c r="J968" t="e">
        <f ca="1">BDP("940158KW Muni","BICS_LEVEL_2_INDUSTRY_GROUP_NAME")</f>
        <v>#NAME?</v>
      </c>
      <c r="K968" t="e">
        <f ca="1">BDP("940158KW Muni","SELF_REPRTD_GREEN_INSTR_INDCTR")</f>
        <v>#NAME?</v>
      </c>
      <c r="L968" t="e">
        <f ca="1">BDP("940158KW Muni","GB_MANAGEMENT_PROCEEDS")</f>
        <v>#NAME?</v>
      </c>
      <c r="M968" t="e">
        <f ca="1">BDP("940158KW Muni","GB_REPORTING")</f>
        <v>#NAME?</v>
      </c>
      <c r="N968" t="e">
        <f ca="1">BDP("940158KW Muni","GB_ASSURANCE_PROVIDERS")</f>
        <v>#NAME?</v>
      </c>
      <c r="O968" t="e">
        <f ca="1">BDP("940158KW Muni","GB_PROJECT_SELECTION_PROCESS")</f>
        <v>#NAME?</v>
      </c>
      <c r="P968" t="e">
        <f ca="1">BDP("940158KW Muni","ESG_FRAMEWORK_INDICATOR")</f>
        <v>#NAME?</v>
      </c>
      <c r="Q968" t="e">
        <f ca="1">BDP("940158KW Muni","BLOOMBERG_SECTOR_CODE")</f>
        <v>#NAME?</v>
      </c>
      <c r="R968" t="e">
        <f ca="1">BDP("940158KW Muni","ISSUER_TYPE")</f>
        <v>#NAME?</v>
      </c>
      <c r="S968" t="e">
        <f ca="1">BDS("940158KW Muni","ESG_PROJECT_CATEGORY", "aggregate=y")</f>
        <v>#NAME?</v>
      </c>
      <c r="T968" t="e">
        <f ca="1">BDS("940158KW Muni","ESG_PROJECT_SUBCATEGORY", "aggregate=y")</f>
        <v>#NAME?</v>
      </c>
    </row>
    <row r="969" spans="1:20" x14ac:dyDescent="0.25">
      <c r="A969" t="e">
        <f ca="1">BDP("940158KY Muni","ID_CUSIP")</f>
        <v>#NAME?</v>
      </c>
      <c r="B969" t="e">
        <f ca="1">BDP("940158KY Muni","STATE_CODE")</f>
        <v>#NAME?</v>
      </c>
      <c r="C969" t="s">
        <v>63</v>
      </c>
      <c r="D969" t="e">
        <f ca="1">BDP("940158KY Muni","YIELD_ON_ISSUE_DATE")</f>
        <v>#NAME?</v>
      </c>
      <c r="E969">
        <v>1205000</v>
      </c>
      <c r="F969" t="e">
        <f ca="1">BDP("940158KY Muni","ISSUE_DT")</f>
        <v>#NAME?</v>
      </c>
      <c r="G969" t="e">
        <f ca="1">BDP("940158KY Muni","MATURITY")</f>
        <v>#NAME?</v>
      </c>
      <c r="H969" t="e">
        <f ca="1">BDP("940158KY Muni","MUNI_TAX_PROV")</f>
        <v>#NAME?</v>
      </c>
      <c r="I969" t="e">
        <f ca="1">BDP("940158KY Muni","FINANCING_TYPE")</f>
        <v>#NAME?</v>
      </c>
      <c r="J969" t="e">
        <f ca="1">BDP("940158KY Muni","BICS_LEVEL_2_INDUSTRY_GROUP_NAME")</f>
        <v>#NAME?</v>
      </c>
      <c r="K969" t="e">
        <f ca="1">BDP("940158KY Muni","SELF_REPRTD_GREEN_INSTR_INDCTR")</f>
        <v>#NAME?</v>
      </c>
      <c r="L969" t="e">
        <f ca="1">BDP("940158KY Muni","GB_MANAGEMENT_PROCEEDS")</f>
        <v>#NAME?</v>
      </c>
      <c r="M969" t="e">
        <f ca="1">BDP("940158KY Muni","GB_REPORTING")</f>
        <v>#NAME?</v>
      </c>
      <c r="N969" t="e">
        <f ca="1">BDP("940158KY Muni","GB_ASSURANCE_PROVIDERS")</f>
        <v>#NAME?</v>
      </c>
      <c r="O969" t="e">
        <f ca="1">BDP("940158KY Muni","GB_PROJECT_SELECTION_PROCESS")</f>
        <v>#NAME?</v>
      </c>
      <c r="P969" t="e">
        <f ca="1">BDP("940158KY Muni","ESG_FRAMEWORK_INDICATOR")</f>
        <v>#NAME?</v>
      </c>
      <c r="Q969" t="e">
        <f ca="1">BDP("940158KY Muni","BLOOMBERG_SECTOR_CODE")</f>
        <v>#NAME?</v>
      </c>
      <c r="R969" t="e">
        <f ca="1">BDP("940158KY Muni","ISSUER_TYPE")</f>
        <v>#NAME?</v>
      </c>
      <c r="S969" t="e">
        <f ca="1">BDS("940158KY Muni","ESG_PROJECT_CATEGORY", "aggregate=y")</f>
        <v>#NAME?</v>
      </c>
      <c r="T969" t="e">
        <f ca="1">BDS("940158KY Muni","ESG_PROJECT_SUBCATEGORY", "aggregate=y")</f>
        <v>#NAME?</v>
      </c>
    </row>
    <row r="970" spans="1:20" x14ac:dyDescent="0.25">
      <c r="A970" t="e">
        <f ca="1">BDP("940158LB Muni","ID_CUSIP")</f>
        <v>#NAME?</v>
      </c>
      <c r="B970" t="e">
        <f ca="1">BDP("940158LB Muni","STATE_CODE")</f>
        <v>#NAME?</v>
      </c>
      <c r="C970" t="s">
        <v>63</v>
      </c>
      <c r="D970" t="e">
        <f ca="1">BDP("940158LB Muni","YIELD_ON_ISSUE_DATE")</f>
        <v>#NAME?</v>
      </c>
      <c r="E970">
        <v>1370000</v>
      </c>
      <c r="F970" t="e">
        <f ca="1">BDP("940158LB Muni","ISSUE_DT")</f>
        <v>#NAME?</v>
      </c>
      <c r="G970" t="e">
        <f ca="1">BDP("940158LB Muni","MATURITY")</f>
        <v>#NAME?</v>
      </c>
      <c r="H970" t="e">
        <f ca="1">BDP("940158LB Muni","MUNI_TAX_PROV")</f>
        <v>#NAME?</v>
      </c>
      <c r="I970" t="e">
        <f ca="1">BDP("940158LB Muni","FINANCING_TYPE")</f>
        <v>#NAME?</v>
      </c>
      <c r="J970" t="e">
        <f ca="1">BDP("940158LB Muni","BICS_LEVEL_2_INDUSTRY_GROUP_NAME")</f>
        <v>#NAME?</v>
      </c>
      <c r="K970" t="e">
        <f ca="1">BDP("940158LB Muni","SELF_REPRTD_GREEN_INSTR_INDCTR")</f>
        <v>#NAME?</v>
      </c>
      <c r="L970" t="e">
        <f ca="1">BDP("940158LB Muni","GB_MANAGEMENT_PROCEEDS")</f>
        <v>#NAME?</v>
      </c>
      <c r="M970" t="e">
        <f ca="1">BDP("940158LB Muni","GB_REPORTING")</f>
        <v>#NAME?</v>
      </c>
      <c r="N970" t="e">
        <f ca="1">BDP("940158LB Muni","GB_ASSURANCE_PROVIDERS")</f>
        <v>#NAME?</v>
      </c>
      <c r="O970" t="e">
        <f ca="1">BDP("940158LB Muni","GB_PROJECT_SELECTION_PROCESS")</f>
        <v>#NAME?</v>
      </c>
      <c r="P970" t="e">
        <f ca="1">BDP("940158LB Muni","ESG_FRAMEWORK_INDICATOR")</f>
        <v>#NAME?</v>
      </c>
      <c r="Q970" t="e">
        <f ca="1">BDP("940158LB Muni","BLOOMBERG_SECTOR_CODE")</f>
        <v>#NAME?</v>
      </c>
      <c r="R970" t="e">
        <f ca="1">BDP("940158LB Muni","ISSUER_TYPE")</f>
        <v>#NAME?</v>
      </c>
      <c r="S970" t="e">
        <f ca="1">BDS("940158LB Muni","ESG_PROJECT_CATEGORY", "aggregate=y")</f>
        <v>#NAME?</v>
      </c>
      <c r="T970" t="e">
        <f ca="1">BDS("940158LB Muni","ESG_PROJECT_SUBCATEGORY", "aggregate=y")</f>
        <v>#NAME?</v>
      </c>
    </row>
    <row r="971" spans="1:20" x14ac:dyDescent="0.25">
      <c r="A971" t="e">
        <f ca="1">BDP("940158LC Muni","ID_CUSIP")</f>
        <v>#NAME?</v>
      </c>
      <c r="B971" t="e">
        <f ca="1">BDP("940158LC Muni","STATE_CODE")</f>
        <v>#NAME?</v>
      </c>
      <c r="C971" t="s">
        <v>63</v>
      </c>
      <c r="D971" t="e">
        <f ca="1">BDP("940158LC Muni","YIELD_ON_ISSUE_DATE")</f>
        <v>#NAME?</v>
      </c>
      <c r="E971">
        <v>1425000</v>
      </c>
      <c r="F971" t="e">
        <f ca="1">BDP("940158LC Muni","ISSUE_DT")</f>
        <v>#NAME?</v>
      </c>
      <c r="G971" t="e">
        <f ca="1">BDP("940158LC Muni","MATURITY")</f>
        <v>#NAME?</v>
      </c>
      <c r="H971" t="e">
        <f ca="1">BDP("940158LC Muni","MUNI_TAX_PROV")</f>
        <v>#NAME?</v>
      </c>
      <c r="I971" t="e">
        <f ca="1">BDP("940158LC Muni","FINANCING_TYPE")</f>
        <v>#NAME?</v>
      </c>
      <c r="J971" t="e">
        <f ca="1">BDP("940158LC Muni","BICS_LEVEL_2_INDUSTRY_GROUP_NAME")</f>
        <v>#NAME?</v>
      </c>
      <c r="K971" t="e">
        <f ca="1">BDP("940158LC Muni","SELF_REPRTD_GREEN_INSTR_INDCTR")</f>
        <v>#NAME?</v>
      </c>
      <c r="L971" t="e">
        <f ca="1">BDP("940158LC Muni","GB_MANAGEMENT_PROCEEDS")</f>
        <v>#NAME?</v>
      </c>
      <c r="M971" t="e">
        <f ca="1">BDP("940158LC Muni","GB_REPORTING")</f>
        <v>#NAME?</v>
      </c>
      <c r="N971" t="e">
        <f ca="1">BDP("940158LC Muni","GB_ASSURANCE_PROVIDERS")</f>
        <v>#NAME?</v>
      </c>
      <c r="O971" t="e">
        <f ca="1">BDP("940158LC Muni","GB_PROJECT_SELECTION_PROCESS")</f>
        <v>#NAME?</v>
      </c>
      <c r="P971" t="e">
        <f ca="1">BDP("940158LC Muni","ESG_FRAMEWORK_INDICATOR")</f>
        <v>#NAME?</v>
      </c>
      <c r="Q971" t="e">
        <f ca="1">BDP("940158LC Muni","BLOOMBERG_SECTOR_CODE")</f>
        <v>#NAME?</v>
      </c>
      <c r="R971" t="e">
        <f ca="1">BDP("940158LC Muni","ISSUER_TYPE")</f>
        <v>#NAME?</v>
      </c>
      <c r="S971" t="e">
        <f ca="1">BDS("940158LC Muni","ESG_PROJECT_CATEGORY", "aggregate=y")</f>
        <v>#NAME?</v>
      </c>
      <c r="T971" t="e">
        <f ca="1">BDS("940158LC Muni","ESG_PROJECT_SUBCATEGORY", "aggregate=y")</f>
        <v>#NAME?</v>
      </c>
    </row>
    <row r="972" spans="1:20" x14ac:dyDescent="0.25">
      <c r="A972" t="e">
        <f ca="1">BDP("940158LD Muni","ID_CUSIP")</f>
        <v>#NAME?</v>
      </c>
      <c r="B972" t="e">
        <f ca="1">BDP("940158LD Muni","STATE_CODE")</f>
        <v>#NAME?</v>
      </c>
      <c r="C972" t="s">
        <v>63</v>
      </c>
      <c r="D972" t="e">
        <f ca="1">BDP("940158LD Muni","YIELD_ON_ISSUE_DATE")</f>
        <v>#NAME?</v>
      </c>
      <c r="E972">
        <v>1480000</v>
      </c>
      <c r="F972" t="e">
        <f ca="1">BDP("940158LD Muni","ISSUE_DT")</f>
        <v>#NAME?</v>
      </c>
      <c r="G972" t="e">
        <f ca="1">BDP("940158LD Muni","MATURITY")</f>
        <v>#NAME?</v>
      </c>
      <c r="H972" t="e">
        <f ca="1">BDP("940158LD Muni","MUNI_TAX_PROV")</f>
        <v>#NAME?</v>
      </c>
      <c r="I972" t="e">
        <f ca="1">BDP("940158LD Muni","FINANCING_TYPE")</f>
        <v>#NAME?</v>
      </c>
      <c r="J972" t="e">
        <f ca="1">BDP("940158LD Muni","BICS_LEVEL_2_INDUSTRY_GROUP_NAME")</f>
        <v>#NAME?</v>
      </c>
      <c r="K972" t="e">
        <f ca="1">BDP("940158LD Muni","SELF_REPRTD_GREEN_INSTR_INDCTR")</f>
        <v>#NAME?</v>
      </c>
      <c r="L972" t="e">
        <f ca="1">BDP("940158LD Muni","GB_MANAGEMENT_PROCEEDS")</f>
        <v>#NAME?</v>
      </c>
      <c r="M972" t="e">
        <f ca="1">BDP("940158LD Muni","GB_REPORTING")</f>
        <v>#NAME?</v>
      </c>
      <c r="N972" t="e">
        <f ca="1">BDP("940158LD Muni","GB_ASSURANCE_PROVIDERS")</f>
        <v>#NAME?</v>
      </c>
      <c r="O972" t="e">
        <f ca="1">BDP("940158LD Muni","GB_PROJECT_SELECTION_PROCESS")</f>
        <v>#NAME?</v>
      </c>
      <c r="P972" t="e">
        <f ca="1">BDP("940158LD Muni","ESG_FRAMEWORK_INDICATOR")</f>
        <v>#NAME?</v>
      </c>
      <c r="Q972" t="e">
        <f ca="1">BDP("940158LD Muni","BLOOMBERG_SECTOR_CODE")</f>
        <v>#NAME?</v>
      </c>
      <c r="R972" t="e">
        <f ca="1">BDP("940158LD Muni","ISSUER_TYPE")</f>
        <v>#NAME?</v>
      </c>
      <c r="S972" t="e">
        <f ca="1">BDS("940158LD Muni","ESG_PROJECT_CATEGORY", "aggregate=y")</f>
        <v>#NAME?</v>
      </c>
      <c r="T972" t="e">
        <f ca="1">BDS("940158LD Muni","ESG_PROJECT_SUBCATEGORY", "aggregate=y")</f>
        <v>#NAME?</v>
      </c>
    </row>
    <row r="973" spans="1:20" x14ac:dyDescent="0.25">
      <c r="A973" t="e">
        <f ca="1">BDP("940158LE Muni","ID_CUSIP")</f>
        <v>#NAME?</v>
      </c>
      <c r="B973" t="e">
        <f ca="1">BDP("940158LE Muni","STATE_CODE")</f>
        <v>#NAME?</v>
      </c>
      <c r="C973" t="s">
        <v>63</v>
      </c>
      <c r="D973" t="e">
        <f ca="1">BDP("940158LE Muni","YIELD_ON_ISSUE_DATE")</f>
        <v>#NAME?</v>
      </c>
      <c r="E973">
        <v>1540000</v>
      </c>
      <c r="F973" t="e">
        <f ca="1">BDP("940158LE Muni","ISSUE_DT")</f>
        <v>#NAME?</v>
      </c>
      <c r="G973" t="e">
        <f ca="1">BDP("940158LE Muni","MATURITY")</f>
        <v>#NAME?</v>
      </c>
      <c r="H973" t="e">
        <f ca="1">BDP("940158LE Muni","MUNI_TAX_PROV")</f>
        <v>#NAME?</v>
      </c>
      <c r="I973" t="e">
        <f ca="1">BDP("940158LE Muni","FINANCING_TYPE")</f>
        <v>#NAME?</v>
      </c>
      <c r="J973" t="e">
        <f ca="1">BDP("940158LE Muni","BICS_LEVEL_2_INDUSTRY_GROUP_NAME")</f>
        <v>#NAME?</v>
      </c>
      <c r="K973" t="e">
        <f ca="1">BDP("940158LE Muni","SELF_REPRTD_GREEN_INSTR_INDCTR")</f>
        <v>#NAME?</v>
      </c>
      <c r="L973" t="e">
        <f ca="1">BDP("940158LE Muni","GB_MANAGEMENT_PROCEEDS")</f>
        <v>#NAME?</v>
      </c>
      <c r="M973" t="e">
        <f ca="1">BDP("940158LE Muni","GB_REPORTING")</f>
        <v>#NAME?</v>
      </c>
      <c r="N973" t="e">
        <f ca="1">BDP("940158LE Muni","GB_ASSURANCE_PROVIDERS")</f>
        <v>#NAME?</v>
      </c>
      <c r="O973" t="e">
        <f ca="1">BDP("940158LE Muni","GB_PROJECT_SELECTION_PROCESS")</f>
        <v>#NAME?</v>
      </c>
      <c r="P973" t="e">
        <f ca="1">BDP("940158LE Muni","ESG_FRAMEWORK_INDICATOR")</f>
        <v>#NAME?</v>
      </c>
      <c r="Q973" t="e">
        <f ca="1">BDP("940158LE Muni","BLOOMBERG_SECTOR_CODE")</f>
        <v>#NAME?</v>
      </c>
      <c r="R973" t="e">
        <f ca="1">BDP("940158LE Muni","ISSUER_TYPE")</f>
        <v>#NAME?</v>
      </c>
      <c r="S973" t="e">
        <f ca="1">BDS("940158LE Muni","ESG_PROJECT_CATEGORY", "aggregate=y")</f>
        <v>#NAME?</v>
      </c>
      <c r="T973" t="e">
        <f ca="1">BDS("940158LE Muni","ESG_PROJECT_SUBCATEGORY", "aggregate=y")</f>
        <v>#NAME?</v>
      </c>
    </row>
    <row r="974" spans="1:20" x14ac:dyDescent="0.25">
      <c r="A974" t="e">
        <f ca="1">BDP("940158LF Muni","ID_CUSIP")</f>
        <v>#NAME?</v>
      </c>
      <c r="B974" t="e">
        <f ca="1">BDP("940158LF Muni","STATE_CODE")</f>
        <v>#NAME?</v>
      </c>
      <c r="C974" t="s">
        <v>63</v>
      </c>
      <c r="D974" t="e">
        <f ca="1">BDP("940158LF Muni","YIELD_ON_ISSUE_DATE")</f>
        <v>#NAME?</v>
      </c>
      <c r="E974">
        <v>1605000</v>
      </c>
      <c r="F974" t="e">
        <f ca="1">BDP("940158LF Muni","ISSUE_DT")</f>
        <v>#NAME?</v>
      </c>
      <c r="G974" t="e">
        <f ca="1">BDP("940158LF Muni","MATURITY")</f>
        <v>#NAME?</v>
      </c>
      <c r="H974" t="e">
        <f ca="1">BDP("940158LF Muni","MUNI_TAX_PROV")</f>
        <v>#NAME?</v>
      </c>
      <c r="I974" t="e">
        <f ca="1">BDP("940158LF Muni","FINANCING_TYPE")</f>
        <v>#NAME?</v>
      </c>
      <c r="J974" t="e">
        <f ca="1">BDP("940158LF Muni","BICS_LEVEL_2_INDUSTRY_GROUP_NAME")</f>
        <v>#NAME?</v>
      </c>
      <c r="K974" t="e">
        <f ca="1">BDP("940158LF Muni","SELF_REPRTD_GREEN_INSTR_INDCTR")</f>
        <v>#NAME?</v>
      </c>
      <c r="L974" t="e">
        <f ca="1">BDP("940158LF Muni","GB_MANAGEMENT_PROCEEDS")</f>
        <v>#NAME?</v>
      </c>
      <c r="M974" t="e">
        <f ca="1">BDP("940158LF Muni","GB_REPORTING")</f>
        <v>#NAME?</v>
      </c>
      <c r="N974" t="e">
        <f ca="1">BDP("940158LF Muni","GB_ASSURANCE_PROVIDERS")</f>
        <v>#NAME?</v>
      </c>
      <c r="O974" t="e">
        <f ca="1">BDP("940158LF Muni","GB_PROJECT_SELECTION_PROCESS")</f>
        <v>#NAME?</v>
      </c>
      <c r="P974" t="e">
        <f ca="1">BDP("940158LF Muni","ESG_FRAMEWORK_INDICATOR")</f>
        <v>#NAME?</v>
      </c>
      <c r="Q974" t="e">
        <f ca="1">BDP("940158LF Muni","BLOOMBERG_SECTOR_CODE")</f>
        <v>#NAME?</v>
      </c>
      <c r="R974" t="e">
        <f ca="1">BDP("940158LF Muni","ISSUER_TYPE")</f>
        <v>#NAME?</v>
      </c>
      <c r="S974" t="e">
        <f ca="1">BDS("940158LF Muni","ESG_PROJECT_CATEGORY", "aggregate=y")</f>
        <v>#NAME?</v>
      </c>
      <c r="T974" t="e">
        <f ca="1">BDS("940158LF Muni","ESG_PROJECT_SUBCATEGORY", "aggregate=y")</f>
        <v>#NAME?</v>
      </c>
    </row>
    <row r="975" spans="1:20" x14ac:dyDescent="0.25">
      <c r="A975" t="e">
        <f ca="1">BDP("940158LG Muni","ID_CUSIP")</f>
        <v>#NAME?</v>
      </c>
      <c r="B975" t="e">
        <f ca="1">BDP("940158LG Muni","STATE_CODE")</f>
        <v>#NAME?</v>
      </c>
      <c r="C975" t="s">
        <v>63</v>
      </c>
      <c r="D975" t="e">
        <f ca="1">BDP("940158LG Muni","YIELD_ON_ISSUE_DATE")</f>
        <v>#NAME?</v>
      </c>
      <c r="E975">
        <v>1665000</v>
      </c>
      <c r="F975" t="e">
        <f ca="1">BDP("940158LG Muni","ISSUE_DT")</f>
        <v>#NAME?</v>
      </c>
      <c r="G975" t="e">
        <f ca="1">BDP("940158LG Muni","MATURITY")</f>
        <v>#NAME?</v>
      </c>
      <c r="H975" t="e">
        <f ca="1">BDP("940158LG Muni","MUNI_TAX_PROV")</f>
        <v>#NAME?</v>
      </c>
      <c r="I975" t="e">
        <f ca="1">BDP("940158LG Muni","FINANCING_TYPE")</f>
        <v>#NAME?</v>
      </c>
      <c r="J975" t="e">
        <f ca="1">BDP("940158LG Muni","BICS_LEVEL_2_INDUSTRY_GROUP_NAME")</f>
        <v>#NAME?</v>
      </c>
      <c r="K975" t="e">
        <f ca="1">BDP("940158LG Muni","SELF_REPRTD_GREEN_INSTR_INDCTR")</f>
        <v>#NAME?</v>
      </c>
      <c r="L975" t="e">
        <f ca="1">BDP("940158LG Muni","GB_MANAGEMENT_PROCEEDS")</f>
        <v>#NAME?</v>
      </c>
      <c r="M975" t="e">
        <f ca="1">BDP("940158LG Muni","GB_REPORTING")</f>
        <v>#NAME?</v>
      </c>
      <c r="N975" t="e">
        <f ca="1">BDP("940158LG Muni","GB_ASSURANCE_PROVIDERS")</f>
        <v>#NAME?</v>
      </c>
      <c r="O975" t="e">
        <f ca="1">BDP("940158LG Muni","GB_PROJECT_SELECTION_PROCESS")</f>
        <v>#NAME?</v>
      </c>
      <c r="P975" t="e">
        <f ca="1">BDP("940158LG Muni","ESG_FRAMEWORK_INDICATOR")</f>
        <v>#NAME?</v>
      </c>
      <c r="Q975" t="e">
        <f ca="1">BDP("940158LG Muni","BLOOMBERG_SECTOR_CODE")</f>
        <v>#NAME?</v>
      </c>
      <c r="R975" t="e">
        <f ca="1">BDP("940158LG Muni","ISSUER_TYPE")</f>
        <v>#NAME?</v>
      </c>
      <c r="S975" t="e">
        <f ca="1">BDS("940158LG Muni","ESG_PROJECT_CATEGORY", "aggregate=y")</f>
        <v>#NAME?</v>
      </c>
      <c r="T975" t="e">
        <f ca="1">BDS("940158LG Muni","ESG_PROJECT_SUBCATEGORY", "aggregate=y")</f>
        <v>#NAME?</v>
      </c>
    </row>
    <row r="976" spans="1:20" x14ac:dyDescent="0.25">
      <c r="A976" t="e">
        <f ca="1">BDP("940158KD Muni","ID_CUSIP")</f>
        <v>#NAME?</v>
      </c>
      <c r="B976" t="e">
        <f ca="1">BDP("940158KD Muni","STATE_CODE")</f>
        <v>#NAME?</v>
      </c>
      <c r="C976" t="s">
        <v>63</v>
      </c>
      <c r="D976" t="e">
        <f ca="1">BDP("940158KD Muni","YIELD_ON_ISSUE_DATE")</f>
        <v>#NAME?</v>
      </c>
      <c r="E976">
        <v>480000</v>
      </c>
      <c r="F976" t="e">
        <f ca="1">BDP("940158KD Muni","ISSUE_DT")</f>
        <v>#NAME?</v>
      </c>
      <c r="G976" t="e">
        <f ca="1">BDP("940158KD Muni","MATURITY")</f>
        <v>#NAME?</v>
      </c>
      <c r="H976" t="e">
        <f ca="1">BDP("940158KD Muni","MUNI_TAX_PROV")</f>
        <v>#NAME?</v>
      </c>
      <c r="I976" t="e">
        <f ca="1">BDP("940158KD Muni","FINANCING_TYPE")</f>
        <v>#NAME?</v>
      </c>
      <c r="J976" t="e">
        <f ca="1">BDP("940158KD Muni","BICS_LEVEL_2_INDUSTRY_GROUP_NAME")</f>
        <v>#NAME?</v>
      </c>
      <c r="K976" t="e">
        <f ca="1">BDP("940158KD Muni","SELF_REPRTD_GREEN_INSTR_INDCTR")</f>
        <v>#NAME?</v>
      </c>
      <c r="L976" t="e">
        <f ca="1">BDP("940158KD Muni","GB_MANAGEMENT_PROCEEDS")</f>
        <v>#NAME?</v>
      </c>
      <c r="M976" t="e">
        <f ca="1">BDP("940158KD Muni","GB_REPORTING")</f>
        <v>#NAME?</v>
      </c>
      <c r="N976" t="e">
        <f ca="1">BDP("940158KD Muni","GB_ASSURANCE_PROVIDERS")</f>
        <v>#NAME?</v>
      </c>
      <c r="O976" t="e">
        <f ca="1">BDP("940158KD Muni","GB_PROJECT_SELECTION_PROCESS")</f>
        <v>#NAME?</v>
      </c>
      <c r="P976" t="e">
        <f ca="1">BDP("940158KD Muni","ESG_FRAMEWORK_INDICATOR")</f>
        <v>#NAME?</v>
      </c>
      <c r="Q976" t="e">
        <f ca="1">BDP("940158KD Muni","BLOOMBERG_SECTOR_CODE")</f>
        <v>#NAME?</v>
      </c>
      <c r="R976" t="e">
        <f ca="1">BDP("940158KD Muni","ISSUER_TYPE")</f>
        <v>#NAME?</v>
      </c>
      <c r="S976" t="e">
        <f ca="1">BDS("940158KD Muni","ESG_PROJECT_CATEGORY", "aggregate=y")</f>
        <v>#NAME?</v>
      </c>
      <c r="T976" t="e">
        <f ca="1">BDS("940158KD Muni","ESG_PROJECT_SUBCATEGORY", "aggregate=y")</f>
        <v>#NAME?</v>
      </c>
    </row>
    <row r="977" spans="1:20" x14ac:dyDescent="0.25">
      <c r="A977" t="e">
        <f ca="1">BDP("940158KR Muni","ID_CUSIP")</f>
        <v>#NAME?</v>
      </c>
      <c r="B977" t="e">
        <f ca="1">BDP("940158KR Muni","STATE_CODE")</f>
        <v>#NAME?</v>
      </c>
      <c r="C977" t="s">
        <v>63</v>
      </c>
      <c r="D977" t="e">
        <f ca="1">BDP("940158KR Muni","YIELD_ON_ISSUE_DATE")</f>
        <v>#NAME?</v>
      </c>
      <c r="E977">
        <v>865000</v>
      </c>
      <c r="F977" t="e">
        <f ca="1">BDP("940158KR Muni","ISSUE_DT")</f>
        <v>#NAME?</v>
      </c>
      <c r="G977" t="e">
        <f ca="1">BDP("940158KR Muni","MATURITY")</f>
        <v>#NAME?</v>
      </c>
      <c r="H977" t="e">
        <f ca="1">BDP("940158KR Muni","MUNI_TAX_PROV")</f>
        <v>#NAME?</v>
      </c>
      <c r="I977" t="e">
        <f ca="1">BDP("940158KR Muni","FINANCING_TYPE")</f>
        <v>#NAME?</v>
      </c>
      <c r="J977" t="e">
        <f ca="1">BDP("940158KR Muni","BICS_LEVEL_2_INDUSTRY_GROUP_NAME")</f>
        <v>#NAME?</v>
      </c>
      <c r="K977" t="e">
        <f ca="1">BDP("940158KR Muni","SELF_REPRTD_GREEN_INSTR_INDCTR")</f>
        <v>#NAME?</v>
      </c>
      <c r="L977" t="e">
        <f ca="1">BDP("940158KR Muni","GB_MANAGEMENT_PROCEEDS")</f>
        <v>#NAME?</v>
      </c>
      <c r="M977" t="e">
        <f ca="1">BDP("940158KR Muni","GB_REPORTING")</f>
        <v>#NAME?</v>
      </c>
      <c r="N977" t="e">
        <f ca="1">BDP("940158KR Muni","GB_ASSURANCE_PROVIDERS")</f>
        <v>#NAME?</v>
      </c>
      <c r="O977" t="e">
        <f ca="1">BDP("940158KR Muni","GB_PROJECT_SELECTION_PROCESS")</f>
        <v>#NAME?</v>
      </c>
      <c r="P977" t="e">
        <f ca="1">BDP("940158KR Muni","ESG_FRAMEWORK_INDICATOR")</f>
        <v>#NAME?</v>
      </c>
      <c r="Q977" t="e">
        <f ca="1">BDP("940158KR Muni","BLOOMBERG_SECTOR_CODE")</f>
        <v>#NAME?</v>
      </c>
      <c r="R977" t="e">
        <f ca="1">BDP("940158KR Muni","ISSUER_TYPE")</f>
        <v>#NAME?</v>
      </c>
      <c r="S977" t="e">
        <f ca="1">BDS("940158KR Muni","ESG_PROJECT_CATEGORY", "aggregate=y")</f>
        <v>#NAME?</v>
      </c>
      <c r="T977" t="e">
        <f ca="1">BDS("940158KR Muni","ESG_PROJECT_SUBCATEGORY", "aggregate=y")</f>
        <v>#NAME?</v>
      </c>
    </row>
    <row r="978" spans="1:20" x14ac:dyDescent="0.25">
      <c r="A978" t="e">
        <f ca="1">BDP("940158KZ Muni","ID_CUSIP")</f>
        <v>#NAME?</v>
      </c>
      <c r="B978" t="e">
        <f ca="1">BDP("940158KZ Muni","STATE_CODE")</f>
        <v>#NAME?</v>
      </c>
      <c r="C978" t="s">
        <v>63</v>
      </c>
      <c r="D978" t="e">
        <f ca="1">BDP("940158KZ Muni","YIELD_ON_ISSUE_DATE")</f>
        <v>#NAME?</v>
      </c>
      <c r="E978">
        <v>1260000</v>
      </c>
      <c r="F978" t="e">
        <f ca="1">BDP("940158KZ Muni","ISSUE_DT")</f>
        <v>#NAME?</v>
      </c>
      <c r="G978" t="e">
        <f ca="1">BDP("940158KZ Muni","MATURITY")</f>
        <v>#NAME?</v>
      </c>
      <c r="H978" t="e">
        <f ca="1">BDP("940158KZ Muni","MUNI_TAX_PROV")</f>
        <v>#NAME?</v>
      </c>
      <c r="I978" t="e">
        <f ca="1">BDP("940158KZ Muni","FINANCING_TYPE")</f>
        <v>#NAME?</v>
      </c>
      <c r="J978" t="e">
        <f ca="1">BDP("940158KZ Muni","BICS_LEVEL_2_INDUSTRY_GROUP_NAME")</f>
        <v>#NAME?</v>
      </c>
      <c r="K978" t="e">
        <f ca="1">BDP("940158KZ Muni","SELF_REPRTD_GREEN_INSTR_INDCTR")</f>
        <v>#NAME?</v>
      </c>
      <c r="L978" t="e">
        <f ca="1">BDP("940158KZ Muni","GB_MANAGEMENT_PROCEEDS")</f>
        <v>#NAME?</v>
      </c>
      <c r="M978" t="e">
        <f ca="1">BDP("940158KZ Muni","GB_REPORTING")</f>
        <v>#NAME?</v>
      </c>
      <c r="N978" t="e">
        <f ca="1">BDP("940158KZ Muni","GB_ASSURANCE_PROVIDERS")</f>
        <v>#NAME?</v>
      </c>
      <c r="O978" t="e">
        <f ca="1">BDP("940158KZ Muni","GB_PROJECT_SELECTION_PROCESS")</f>
        <v>#NAME?</v>
      </c>
      <c r="P978" t="e">
        <f ca="1">BDP("940158KZ Muni","ESG_FRAMEWORK_INDICATOR")</f>
        <v>#NAME?</v>
      </c>
      <c r="Q978" t="e">
        <f ca="1">BDP("940158KZ Muni","BLOOMBERG_SECTOR_CODE")</f>
        <v>#NAME?</v>
      </c>
      <c r="R978" t="e">
        <f ca="1">BDP("940158KZ Muni","ISSUER_TYPE")</f>
        <v>#NAME?</v>
      </c>
      <c r="S978" t="e">
        <f ca="1">BDS("940158KZ Muni","ESG_PROJECT_CATEGORY", "aggregate=y")</f>
        <v>#NAME?</v>
      </c>
      <c r="T978" t="e">
        <f ca="1">BDS("940158KZ Muni","ESG_PROJECT_SUBCATEGORY", "aggregate=y")</f>
        <v>#NAME?</v>
      </c>
    </row>
    <row r="979" spans="1:20" x14ac:dyDescent="0.25">
      <c r="A979" t="e">
        <f ca="1">BDP("940158LA Muni","ID_CUSIP")</f>
        <v>#NAME?</v>
      </c>
      <c r="B979" t="e">
        <f ca="1">BDP("940158LA Muni","STATE_CODE")</f>
        <v>#NAME?</v>
      </c>
      <c r="C979" t="s">
        <v>63</v>
      </c>
      <c r="D979" t="e">
        <f ca="1">BDP("940158LA Muni","YIELD_ON_ISSUE_DATE")</f>
        <v>#NAME?</v>
      </c>
      <c r="E979">
        <v>1320000</v>
      </c>
      <c r="F979" t="e">
        <f ca="1">BDP("940158LA Muni","ISSUE_DT")</f>
        <v>#NAME?</v>
      </c>
      <c r="G979" t="e">
        <f ca="1">BDP("940158LA Muni","MATURITY")</f>
        <v>#NAME?</v>
      </c>
      <c r="H979" t="e">
        <f ca="1">BDP("940158LA Muni","MUNI_TAX_PROV")</f>
        <v>#NAME?</v>
      </c>
      <c r="I979" t="e">
        <f ca="1">BDP("940158LA Muni","FINANCING_TYPE")</f>
        <v>#NAME?</v>
      </c>
      <c r="J979" t="e">
        <f ca="1">BDP("940158LA Muni","BICS_LEVEL_2_INDUSTRY_GROUP_NAME")</f>
        <v>#NAME?</v>
      </c>
      <c r="K979" t="e">
        <f ca="1">BDP("940158LA Muni","SELF_REPRTD_GREEN_INSTR_INDCTR")</f>
        <v>#NAME?</v>
      </c>
      <c r="L979" t="e">
        <f ca="1">BDP("940158LA Muni","GB_MANAGEMENT_PROCEEDS")</f>
        <v>#NAME?</v>
      </c>
      <c r="M979" t="e">
        <f ca="1">BDP("940158LA Muni","GB_REPORTING")</f>
        <v>#NAME?</v>
      </c>
      <c r="N979" t="e">
        <f ca="1">BDP("940158LA Muni","GB_ASSURANCE_PROVIDERS")</f>
        <v>#NAME?</v>
      </c>
      <c r="O979" t="e">
        <f ca="1">BDP("940158LA Muni","GB_PROJECT_SELECTION_PROCESS")</f>
        <v>#NAME?</v>
      </c>
      <c r="P979" t="e">
        <f ca="1">BDP("940158LA Muni","ESG_FRAMEWORK_INDICATOR")</f>
        <v>#NAME?</v>
      </c>
      <c r="Q979" t="e">
        <f ca="1">BDP("940158LA Muni","BLOOMBERG_SECTOR_CODE")</f>
        <v>#NAME?</v>
      </c>
      <c r="R979" t="e">
        <f ca="1">BDP("940158LA Muni","ISSUER_TYPE")</f>
        <v>#NAME?</v>
      </c>
      <c r="S979" t="e">
        <f ca="1">BDS("940158LA Muni","ESG_PROJECT_CATEGORY", "aggregate=y")</f>
        <v>#NAME?</v>
      </c>
      <c r="T979" t="e">
        <f ca="1">BDS("940158LA Muni","ESG_PROJECT_SUBCATEGORY", "aggregate=y")</f>
        <v>#NAME?</v>
      </c>
    </row>
    <row r="980" spans="1:20" x14ac:dyDescent="0.25">
      <c r="A980" t="e">
        <f ca="1">BDP("940158KT Muni","ID_CUSIP")</f>
        <v>#NAME?</v>
      </c>
      <c r="B980" t="e">
        <f ca="1">BDP("940158KT Muni","STATE_CODE")</f>
        <v>#NAME?</v>
      </c>
      <c r="C980" t="s">
        <v>63</v>
      </c>
      <c r="D980" t="e">
        <f ca="1">BDP("940158KT Muni","YIELD_ON_ISSUE_DATE")</f>
        <v>#NAME?</v>
      </c>
      <c r="E980">
        <v>955000</v>
      </c>
      <c r="F980" t="e">
        <f ca="1">BDP("940158KT Muni","ISSUE_DT")</f>
        <v>#NAME?</v>
      </c>
      <c r="G980" t="e">
        <f ca="1">BDP("940158KT Muni","MATURITY")</f>
        <v>#NAME?</v>
      </c>
      <c r="H980" t="e">
        <f ca="1">BDP("940158KT Muni","MUNI_TAX_PROV")</f>
        <v>#NAME?</v>
      </c>
      <c r="I980" t="e">
        <f ca="1">BDP("940158KT Muni","FINANCING_TYPE")</f>
        <v>#NAME?</v>
      </c>
      <c r="J980" t="e">
        <f ca="1">BDP("940158KT Muni","BICS_LEVEL_2_INDUSTRY_GROUP_NAME")</f>
        <v>#NAME?</v>
      </c>
      <c r="K980" t="e">
        <f ca="1">BDP("940158KT Muni","SELF_REPRTD_GREEN_INSTR_INDCTR")</f>
        <v>#NAME?</v>
      </c>
      <c r="L980" t="e">
        <f ca="1">BDP("940158KT Muni","GB_MANAGEMENT_PROCEEDS")</f>
        <v>#NAME?</v>
      </c>
      <c r="M980" t="e">
        <f ca="1">BDP("940158KT Muni","GB_REPORTING")</f>
        <v>#NAME?</v>
      </c>
      <c r="N980" t="e">
        <f ca="1">BDP("940158KT Muni","GB_ASSURANCE_PROVIDERS")</f>
        <v>#NAME?</v>
      </c>
      <c r="O980" t="e">
        <f ca="1">BDP("940158KT Muni","GB_PROJECT_SELECTION_PROCESS")</f>
        <v>#NAME?</v>
      </c>
      <c r="P980" t="e">
        <f ca="1">BDP("940158KT Muni","ESG_FRAMEWORK_INDICATOR")</f>
        <v>#NAME?</v>
      </c>
      <c r="Q980" t="e">
        <f ca="1">BDP("940158KT Muni","BLOOMBERG_SECTOR_CODE")</f>
        <v>#NAME?</v>
      </c>
      <c r="R980" t="e">
        <f ca="1">BDP("940158KT Muni","ISSUER_TYPE")</f>
        <v>#NAME?</v>
      </c>
      <c r="S980" t="e">
        <f ca="1">BDS("940158KT Muni","ESG_PROJECT_CATEGORY", "aggregate=y")</f>
        <v>#NAME?</v>
      </c>
      <c r="T980" t="e">
        <f ca="1">BDS("940158KT Muni","ESG_PROJECT_SUBCATEGORY", "aggregate=y")</f>
        <v>#NAME?</v>
      </c>
    </row>
    <row r="981" spans="1:20" x14ac:dyDescent="0.25">
      <c r="A981" t="e">
        <f ca="1">BDP("940158KF Muni","ID_CUSIP")</f>
        <v>#NAME?</v>
      </c>
      <c r="B981" t="e">
        <f ca="1">BDP("940158KF Muni","STATE_CODE")</f>
        <v>#NAME?</v>
      </c>
      <c r="C981" t="s">
        <v>63</v>
      </c>
      <c r="D981" t="e">
        <f ca="1">BDP("940158KF Muni","YIELD_ON_ISSUE_DATE")</f>
        <v>#NAME?</v>
      </c>
      <c r="E981">
        <v>530000</v>
      </c>
      <c r="F981" t="e">
        <f ca="1">BDP("940158KF Muni","ISSUE_DT")</f>
        <v>#NAME?</v>
      </c>
      <c r="G981" t="e">
        <f ca="1">BDP("940158KF Muni","MATURITY")</f>
        <v>#NAME?</v>
      </c>
      <c r="H981" t="e">
        <f ca="1">BDP("940158KF Muni","MUNI_TAX_PROV")</f>
        <v>#NAME?</v>
      </c>
      <c r="I981" t="e">
        <f ca="1">BDP("940158KF Muni","FINANCING_TYPE")</f>
        <v>#NAME?</v>
      </c>
      <c r="J981" t="e">
        <f ca="1">BDP("940158KF Muni","BICS_LEVEL_2_INDUSTRY_GROUP_NAME")</f>
        <v>#NAME?</v>
      </c>
      <c r="K981" t="e">
        <f ca="1">BDP("940158KF Muni","SELF_REPRTD_GREEN_INSTR_INDCTR")</f>
        <v>#NAME?</v>
      </c>
      <c r="L981" t="e">
        <f ca="1">BDP("940158KF Muni","GB_MANAGEMENT_PROCEEDS")</f>
        <v>#NAME?</v>
      </c>
      <c r="M981" t="e">
        <f ca="1">BDP("940158KF Muni","GB_REPORTING")</f>
        <v>#NAME?</v>
      </c>
      <c r="N981" t="e">
        <f ca="1">BDP("940158KF Muni","GB_ASSURANCE_PROVIDERS")</f>
        <v>#NAME?</v>
      </c>
      <c r="O981" t="e">
        <f ca="1">BDP("940158KF Muni","GB_PROJECT_SELECTION_PROCESS")</f>
        <v>#NAME?</v>
      </c>
      <c r="P981" t="e">
        <f ca="1">BDP("940158KF Muni","ESG_FRAMEWORK_INDICATOR")</f>
        <v>#NAME?</v>
      </c>
      <c r="Q981" t="e">
        <f ca="1">BDP("940158KF Muni","BLOOMBERG_SECTOR_CODE")</f>
        <v>#NAME?</v>
      </c>
      <c r="R981" t="e">
        <f ca="1">BDP("940158KF Muni","ISSUER_TYPE")</f>
        <v>#NAME?</v>
      </c>
      <c r="S981" t="e">
        <f ca="1">BDS("940158KF Muni","ESG_PROJECT_CATEGORY", "aggregate=y")</f>
        <v>#NAME?</v>
      </c>
      <c r="T981" t="e">
        <f ca="1">BDS("940158KF Muni","ESG_PROJECT_SUBCATEGORY", "aggregate=y")</f>
        <v>#NAME?</v>
      </c>
    </row>
    <row r="982" spans="1:20" x14ac:dyDescent="0.25">
      <c r="A982" t="e">
        <f ca="1">BDP("940158KG Muni","ID_CUSIP")</f>
        <v>#NAME?</v>
      </c>
      <c r="B982" t="e">
        <f ca="1">BDP("940158KG Muni","STATE_CODE")</f>
        <v>#NAME?</v>
      </c>
      <c r="C982" t="s">
        <v>63</v>
      </c>
      <c r="D982" t="e">
        <f ca="1">BDP("940158KG Muni","YIELD_ON_ISSUE_DATE")</f>
        <v>#NAME?</v>
      </c>
      <c r="E982">
        <v>560000</v>
      </c>
      <c r="F982" t="e">
        <f ca="1">BDP("940158KG Muni","ISSUE_DT")</f>
        <v>#NAME?</v>
      </c>
      <c r="G982" t="e">
        <f ca="1">BDP("940158KG Muni","MATURITY")</f>
        <v>#NAME?</v>
      </c>
      <c r="H982" t="e">
        <f ca="1">BDP("940158KG Muni","MUNI_TAX_PROV")</f>
        <v>#NAME?</v>
      </c>
      <c r="I982" t="e">
        <f ca="1">BDP("940158KG Muni","FINANCING_TYPE")</f>
        <v>#NAME?</v>
      </c>
      <c r="J982" t="e">
        <f ca="1">BDP("940158KG Muni","BICS_LEVEL_2_INDUSTRY_GROUP_NAME")</f>
        <v>#NAME?</v>
      </c>
      <c r="K982" t="e">
        <f ca="1">BDP("940158KG Muni","SELF_REPRTD_GREEN_INSTR_INDCTR")</f>
        <v>#NAME?</v>
      </c>
      <c r="L982" t="e">
        <f ca="1">BDP("940158KG Muni","GB_MANAGEMENT_PROCEEDS")</f>
        <v>#NAME?</v>
      </c>
      <c r="M982" t="e">
        <f ca="1">BDP("940158KG Muni","GB_REPORTING")</f>
        <v>#NAME?</v>
      </c>
      <c r="N982" t="e">
        <f ca="1">BDP("940158KG Muni","GB_ASSURANCE_PROVIDERS")</f>
        <v>#NAME?</v>
      </c>
      <c r="O982" t="e">
        <f ca="1">BDP("940158KG Muni","GB_PROJECT_SELECTION_PROCESS")</f>
        <v>#NAME?</v>
      </c>
      <c r="P982" t="e">
        <f ca="1">BDP("940158KG Muni","ESG_FRAMEWORK_INDICATOR")</f>
        <v>#NAME?</v>
      </c>
      <c r="Q982" t="e">
        <f ca="1">BDP("940158KG Muni","BLOOMBERG_SECTOR_CODE")</f>
        <v>#NAME?</v>
      </c>
      <c r="R982" t="e">
        <f ca="1">BDP("940158KG Muni","ISSUER_TYPE")</f>
        <v>#NAME?</v>
      </c>
      <c r="S982" t="e">
        <f ca="1">BDS("940158KG Muni","ESG_PROJECT_CATEGORY", "aggregate=y")</f>
        <v>#NAME?</v>
      </c>
      <c r="T982" t="e">
        <f ca="1">BDS("940158KG Muni","ESG_PROJECT_SUBCATEGORY", "aggregate=y")</f>
        <v>#NAME?</v>
      </c>
    </row>
    <row r="983" spans="1:20" x14ac:dyDescent="0.25">
      <c r="A983" t="e">
        <f ca="1">BDP("940158KX Muni","ID_CUSIP")</f>
        <v>#NAME?</v>
      </c>
      <c r="B983" t="e">
        <f ca="1">BDP("940158KX Muni","STATE_CODE")</f>
        <v>#NAME?</v>
      </c>
      <c r="C983" t="s">
        <v>63</v>
      </c>
      <c r="D983" t="e">
        <f ca="1">BDP("940158KX Muni","YIELD_ON_ISSUE_DATE")</f>
        <v>#NAME?</v>
      </c>
      <c r="E983">
        <v>1160000</v>
      </c>
      <c r="F983" t="e">
        <f ca="1">BDP("940158KX Muni","ISSUE_DT")</f>
        <v>#NAME?</v>
      </c>
      <c r="G983" t="e">
        <f ca="1">BDP("940158KX Muni","MATURITY")</f>
        <v>#NAME?</v>
      </c>
      <c r="H983" t="e">
        <f ca="1">BDP("940158KX Muni","MUNI_TAX_PROV")</f>
        <v>#NAME?</v>
      </c>
      <c r="I983" t="e">
        <f ca="1">BDP("940158KX Muni","FINANCING_TYPE")</f>
        <v>#NAME?</v>
      </c>
      <c r="J983" t="e">
        <f ca="1">BDP("940158KX Muni","BICS_LEVEL_2_INDUSTRY_GROUP_NAME")</f>
        <v>#NAME?</v>
      </c>
      <c r="K983" t="e">
        <f ca="1">BDP("940158KX Muni","SELF_REPRTD_GREEN_INSTR_INDCTR")</f>
        <v>#NAME?</v>
      </c>
      <c r="L983" t="e">
        <f ca="1">BDP("940158KX Muni","GB_MANAGEMENT_PROCEEDS")</f>
        <v>#NAME?</v>
      </c>
      <c r="M983" t="e">
        <f ca="1">BDP("940158KX Muni","GB_REPORTING")</f>
        <v>#NAME?</v>
      </c>
      <c r="N983" t="e">
        <f ca="1">BDP("940158KX Muni","GB_ASSURANCE_PROVIDERS")</f>
        <v>#NAME?</v>
      </c>
      <c r="O983" t="e">
        <f ca="1">BDP("940158KX Muni","GB_PROJECT_SELECTION_PROCESS")</f>
        <v>#NAME?</v>
      </c>
      <c r="P983" t="e">
        <f ca="1">BDP("940158KX Muni","ESG_FRAMEWORK_INDICATOR")</f>
        <v>#NAME?</v>
      </c>
      <c r="Q983" t="e">
        <f ca="1">BDP("940158KX Muni","BLOOMBERG_SECTOR_CODE")</f>
        <v>#NAME?</v>
      </c>
      <c r="R983" t="e">
        <f ca="1">BDP("940158KX Muni","ISSUER_TYPE")</f>
        <v>#NAME?</v>
      </c>
      <c r="S983" t="e">
        <f ca="1">BDS("940158KX Muni","ESG_PROJECT_CATEGORY", "aggregate=y")</f>
        <v>#NAME?</v>
      </c>
      <c r="T983" t="e">
        <f ca="1">BDS("940158KX Muni","ESG_PROJECT_SUBCATEGORY", "aggregate=y")</f>
        <v>#NAME?</v>
      </c>
    </row>
    <row r="984" spans="1:20" x14ac:dyDescent="0.25">
      <c r="A984" t="e">
        <f ca="1">BDP("27888WAB Muni","ID_CUSIP")</f>
        <v>#NAME?</v>
      </c>
      <c r="B984" t="e">
        <f ca="1">BDP("27888WAB Muni","STATE_CODE")</f>
        <v>#NAME?</v>
      </c>
      <c r="C984" t="s">
        <v>64</v>
      </c>
      <c r="D984" t="e">
        <f ca="1">BDP("27888WAB Muni","YIELD_ON_ISSUE_DATE")</f>
        <v>#NAME?</v>
      </c>
      <c r="E984">
        <v>2100000</v>
      </c>
      <c r="F984" t="e">
        <f ca="1">BDP("27888WAB Muni","ISSUE_DT")</f>
        <v>#NAME?</v>
      </c>
      <c r="G984" t="e">
        <f ca="1">BDP("27888WAB Muni","MATURITY")</f>
        <v>#NAME?</v>
      </c>
      <c r="H984" t="e">
        <f ca="1">BDP("27888WAB Muni","MUNI_TAX_PROV")</f>
        <v>#NAME?</v>
      </c>
      <c r="I984" t="e">
        <f ca="1">BDP("27888WAB Muni","FINANCING_TYPE")</f>
        <v>#NAME?</v>
      </c>
      <c r="J984" t="e">
        <f ca="1">BDP("27888WAB Muni","BICS_LEVEL_2_INDUSTRY_GROUP_NAME")</f>
        <v>#NAME?</v>
      </c>
      <c r="K984" t="e">
        <f ca="1">BDP("27888WAB Muni","SELF_REPRTD_GREEN_INSTR_INDCTR")</f>
        <v>#NAME?</v>
      </c>
      <c r="L984" t="e">
        <f ca="1">BDP("27888WAB Muni","GB_MANAGEMENT_PROCEEDS")</f>
        <v>#NAME?</v>
      </c>
      <c r="M984" t="e">
        <f ca="1">BDP("27888WAB Muni","GB_REPORTING")</f>
        <v>#NAME?</v>
      </c>
      <c r="N984" t="e">
        <f ca="1">BDP("27888WAB Muni","GB_ASSURANCE_PROVIDERS")</f>
        <v>#NAME?</v>
      </c>
      <c r="O984" t="e">
        <f ca="1">BDP("27888WAB Muni","GB_PROJECT_SELECTION_PROCESS")</f>
        <v>#NAME?</v>
      </c>
      <c r="P984" t="e">
        <f ca="1">BDP("27888WAB Muni","ESG_FRAMEWORK_INDICATOR")</f>
        <v>#NAME?</v>
      </c>
      <c r="Q984" t="e">
        <f ca="1">BDP("27888WAB Muni","BLOOMBERG_SECTOR_CODE")</f>
        <v>#NAME?</v>
      </c>
      <c r="R984" t="e">
        <f ca="1">BDP("27888WAB Muni","ISSUER_TYPE")</f>
        <v>#NAME?</v>
      </c>
      <c r="S984" t="e">
        <f ca="1">BDS("27888WAB Muni","ESG_PROJECT_CATEGORY", "aggregate=y")</f>
        <v>#NAME?</v>
      </c>
      <c r="T984" t="e">
        <f ca="1">BDS("27888WAB Muni","ESG_PROJECT_SUBCATEGORY", "aggregate=y")</f>
        <v>#NAME?</v>
      </c>
    </row>
    <row r="985" spans="1:20" x14ac:dyDescent="0.25">
      <c r="A985" t="e">
        <f ca="1">BDP("27888WAC Muni","ID_CUSIP")</f>
        <v>#NAME?</v>
      </c>
      <c r="B985" t="e">
        <f ca="1">BDP("27888WAC Muni","STATE_CODE")</f>
        <v>#NAME?</v>
      </c>
      <c r="C985" t="s">
        <v>64</v>
      </c>
      <c r="D985" t="e">
        <f ca="1">BDP("27888WAC Muni","YIELD_ON_ISSUE_DATE")</f>
        <v>#NAME?</v>
      </c>
      <c r="E985">
        <v>2210000</v>
      </c>
      <c r="F985" t="e">
        <f ca="1">BDP("27888WAC Muni","ISSUE_DT")</f>
        <v>#NAME?</v>
      </c>
      <c r="G985" t="e">
        <f ca="1">BDP("27888WAC Muni","MATURITY")</f>
        <v>#NAME?</v>
      </c>
      <c r="H985" t="e">
        <f ca="1">BDP("27888WAC Muni","MUNI_TAX_PROV")</f>
        <v>#NAME?</v>
      </c>
      <c r="I985" t="e">
        <f ca="1">BDP("27888WAC Muni","FINANCING_TYPE")</f>
        <v>#NAME?</v>
      </c>
      <c r="J985" t="e">
        <f ca="1">BDP("27888WAC Muni","BICS_LEVEL_2_INDUSTRY_GROUP_NAME")</f>
        <v>#NAME?</v>
      </c>
      <c r="K985" t="e">
        <f ca="1">BDP("27888WAC Muni","SELF_REPRTD_GREEN_INSTR_INDCTR")</f>
        <v>#NAME?</v>
      </c>
      <c r="L985" t="e">
        <f ca="1">BDP("27888WAC Muni","GB_MANAGEMENT_PROCEEDS")</f>
        <v>#NAME?</v>
      </c>
      <c r="M985" t="e">
        <f ca="1">BDP("27888WAC Muni","GB_REPORTING")</f>
        <v>#NAME?</v>
      </c>
      <c r="N985" t="e">
        <f ca="1">BDP("27888WAC Muni","GB_ASSURANCE_PROVIDERS")</f>
        <v>#NAME?</v>
      </c>
      <c r="O985" t="e">
        <f ca="1">BDP("27888WAC Muni","GB_PROJECT_SELECTION_PROCESS")</f>
        <v>#NAME?</v>
      </c>
      <c r="P985" t="e">
        <f ca="1">BDP("27888WAC Muni","ESG_FRAMEWORK_INDICATOR")</f>
        <v>#NAME?</v>
      </c>
      <c r="Q985" t="e">
        <f ca="1">BDP("27888WAC Muni","BLOOMBERG_SECTOR_CODE")</f>
        <v>#NAME?</v>
      </c>
      <c r="R985" t="e">
        <f ca="1">BDP("27888WAC Muni","ISSUER_TYPE")</f>
        <v>#NAME?</v>
      </c>
      <c r="S985" t="e">
        <f ca="1">BDS("27888WAC Muni","ESG_PROJECT_CATEGORY", "aggregate=y")</f>
        <v>#NAME?</v>
      </c>
      <c r="T985" t="e">
        <f ca="1">BDS("27888WAC Muni","ESG_PROJECT_SUBCATEGORY", "aggregate=y")</f>
        <v>#NAME?</v>
      </c>
    </row>
    <row r="986" spans="1:20" x14ac:dyDescent="0.25">
      <c r="A986" t="e">
        <f ca="1">BDP("27888WAE Muni","ID_CUSIP")</f>
        <v>#NAME?</v>
      </c>
      <c r="B986" t="e">
        <f ca="1">BDP("27888WAE Muni","STATE_CODE")</f>
        <v>#NAME?</v>
      </c>
      <c r="C986" t="s">
        <v>64</v>
      </c>
      <c r="D986" t="e">
        <f ca="1">BDP("27888WAE Muni","YIELD_ON_ISSUE_DATE")</f>
        <v>#NAME?</v>
      </c>
      <c r="E986">
        <v>2435000</v>
      </c>
      <c r="F986" t="e">
        <f ca="1">BDP("27888WAE Muni","ISSUE_DT")</f>
        <v>#NAME?</v>
      </c>
      <c r="G986" t="e">
        <f ca="1">BDP("27888WAE Muni","MATURITY")</f>
        <v>#NAME?</v>
      </c>
      <c r="H986" t="e">
        <f ca="1">BDP("27888WAE Muni","MUNI_TAX_PROV")</f>
        <v>#NAME?</v>
      </c>
      <c r="I986" t="e">
        <f ca="1">BDP("27888WAE Muni","FINANCING_TYPE")</f>
        <v>#NAME?</v>
      </c>
      <c r="J986" t="e">
        <f ca="1">BDP("27888WAE Muni","BICS_LEVEL_2_INDUSTRY_GROUP_NAME")</f>
        <v>#NAME?</v>
      </c>
      <c r="K986" t="e">
        <f ca="1">BDP("27888WAE Muni","SELF_REPRTD_GREEN_INSTR_INDCTR")</f>
        <v>#NAME?</v>
      </c>
      <c r="L986" t="e">
        <f ca="1">BDP("27888WAE Muni","GB_MANAGEMENT_PROCEEDS")</f>
        <v>#NAME?</v>
      </c>
      <c r="M986" t="e">
        <f ca="1">BDP("27888WAE Muni","GB_REPORTING")</f>
        <v>#NAME?</v>
      </c>
      <c r="N986" t="e">
        <f ca="1">BDP("27888WAE Muni","GB_ASSURANCE_PROVIDERS")</f>
        <v>#NAME?</v>
      </c>
      <c r="O986" t="e">
        <f ca="1">BDP("27888WAE Muni","GB_PROJECT_SELECTION_PROCESS")</f>
        <v>#NAME?</v>
      </c>
      <c r="P986" t="e">
        <f ca="1">BDP("27888WAE Muni","ESG_FRAMEWORK_INDICATOR")</f>
        <v>#NAME?</v>
      </c>
      <c r="Q986" t="e">
        <f ca="1">BDP("27888WAE Muni","BLOOMBERG_SECTOR_CODE")</f>
        <v>#NAME?</v>
      </c>
      <c r="R986" t="e">
        <f ca="1">BDP("27888WAE Muni","ISSUER_TYPE")</f>
        <v>#NAME?</v>
      </c>
      <c r="S986" t="e">
        <f ca="1">BDS("27888WAE Muni","ESG_PROJECT_CATEGORY", "aggregate=y")</f>
        <v>#NAME?</v>
      </c>
      <c r="T986" t="e">
        <f ca="1">BDS("27888WAE Muni","ESG_PROJECT_SUBCATEGORY", "aggregate=y")</f>
        <v>#NAME?</v>
      </c>
    </row>
    <row r="987" spans="1:20" x14ac:dyDescent="0.25">
      <c r="A987" t="e">
        <f ca="1">BDP("27888WAH Muni","ID_CUSIP")</f>
        <v>#NAME?</v>
      </c>
      <c r="B987" t="e">
        <f ca="1">BDP("27888WAH Muni","STATE_CODE")</f>
        <v>#NAME?</v>
      </c>
      <c r="C987" t="s">
        <v>64</v>
      </c>
      <c r="D987" t="e">
        <f ca="1">BDP("27888WAH Muni","YIELD_ON_ISSUE_DATE")</f>
        <v>#NAME?</v>
      </c>
      <c r="E987">
        <v>1420000</v>
      </c>
      <c r="F987" t="e">
        <f ca="1">BDP("27888WAH Muni","ISSUE_DT")</f>
        <v>#NAME?</v>
      </c>
      <c r="G987" t="e">
        <f ca="1">BDP("27888WAH Muni","MATURITY")</f>
        <v>#NAME?</v>
      </c>
      <c r="H987" t="e">
        <f ca="1">BDP("27888WAH Muni","MUNI_TAX_PROV")</f>
        <v>#NAME?</v>
      </c>
      <c r="I987" t="e">
        <f ca="1">BDP("27888WAH Muni","FINANCING_TYPE")</f>
        <v>#NAME?</v>
      </c>
      <c r="J987" t="e">
        <f ca="1">BDP("27888WAH Muni","BICS_LEVEL_2_INDUSTRY_GROUP_NAME")</f>
        <v>#NAME?</v>
      </c>
      <c r="K987" t="e">
        <f ca="1">BDP("27888WAH Muni","SELF_REPRTD_GREEN_INSTR_INDCTR")</f>
        <v>#NAME?</v>
      </c>
      <c r="L987" t="e">
        <f ca="1">BDP("27888WAH Muni","GB_MANAGEMENT_PROCEEDS")</f>
        <v>#NAME?</v>
      </c>
      <c r="M987" t="e">
        <f ca="1">BDP("27888WAH Muni","GB_REPORTING")</f>
        <v>#NAME?</v>
      </c>
      <c r="N987" t="e">
        <f ca="1">BDP("27888WAH Muni","GB_ASSURANCE_PROVIDERS")</f>
        <v>#NAME?</v>
      </c>
      <c r="O987" t="e">
        <f ca="1">BDP("27888WAH Muni","GB_PROJECT_SELECTION_PROCESS")</f>
        <v>#NAME?</v>
      </c>
      <c r="P987" t="e">
        <f ca="1">BDP("27888WAH Muni","ESG_FRAMEWORK_INDICATOR")</f>
        <v>#NAME?</v>
      </c>
      <c r="Q987" t="e">
        <f ca="1">BDP("27888WAH Muni","BLOOMBERG_SECTOR_CODE")</f>
        <v>#NAME?</v>
      </c>
      <c r="R987" t="e">
        <f ca="1">BDP("27888WAH Muni","ISSUER_TYPE")</f>
        <v>#NAME?</v>
      </c>
      <c r="S987" t="e">
        <f ca="1">BDS("27888WAH Muni","ESG_PROJECT_CATEGORY", "aggregate=y")</f>
        <v>#NAME?</v>
      </c>
      <c r="T987" t="e">
        <f ca="1">BDS("27888WAH Muni","ESG_PROJECT_SUBCATEGORY", "aggregate=y")</f>
        <v>#NAME?</v>
      </c>
    </row>
    <row r="988" spans="1:20" x14ac:dyDescent="0.25">
      <c r="A988" t="e">
        <f ca="1">BDP("27888WAN Muni","ID_CUSIP")</f>
        <v>#NAME?</v>
      </c>
      <c r="B988" t="e">
        <f ca="1">BDP("27888WAN Muni","STATE_CODE")</f>
        <v>#NAME?</v>
      </c>
      <c r="C988" t="s">
        <v>64</v>
      </c>
      <c r="D988" t="e">
        <f ca="1">BDP("27888WAN Muni","YIELD_ON_ISSUE_DATE")</f>
        <v>#NAME?</v>
      </c>
      <c r="E988">
        <v>1815000</v>
      </c>
      <c r="F988" t="e">
        <f ca="1">BDP("27888WAN Muni","ISSUE_DT")</f>
        <v>#NAME?</v>
      </c>
      <c r="G988" t="e">
        <f ca="1">BDP("27888WAN Muni","MATURITY")</f>
        <v>#NAME?</v>
      </c>
      <c r="H988" t="e">
        <f ca="1">BDP("27888WAN Muni","MUNI_TAX_PROV")</f>
        <v>#NAME?</v>
      </c>
      <c r="I988" t="e">
        <f ca="1">BDP("27888WAN Muni","FINANCING_TYPE")</f>
        <v>#NAME?</v>
      </c>
      <c r="J988" t="e">
        <f ca="1">BDP("27888WAN Muni","BICS_LEVEL_2_INDUSTRY_GROUP_NAME")</f>
        <v>#NAME?</v>
      </c>
      <c r="K988" t="e">
        <f ca="1">BDP("27888WAN Muni","SELF_REPRTD_GREEN_INSTR_INDCTR")</f>
        <v>#NAME?</v>
      </c>
      <c r="L988" t="e">
        <f ca="1">BDP("27888WAN Muni","GB_MANAGEMENT_PROCEEDS")</f>
        <v>#NAME?</v>
      </c>
      <c r="M988" t="e">
        <f ca="1">BDP("27888WAN Muni","GB_REPORTING")</f>
        <v>#NAME?</v>
      </c>
      <c r="N988" t="e">
        <f ca="1">BDP("27888WAN Muni","GB_ASSURANCE_PROVIDERS")</f>
        <v>#NAME?</v>
      </c>
      <c r="O988" t="e">
        <f ca="1">BDP("27888WAN Muni","GB_PROJECT_SELECTION_PROCESS")</f>
        <v>#NAME?</v>
      </c>
      <c r="P988" t="e">
        <f ca="1">BDP("27888WAN Muni","ESG_FRAMEWORK_INDICATOR")</f>
        <v>#NAME?</v>
      </c>
      <c r="Q988" t="e">
        <f ca="1">BDP("27888WAN Muni","BLOOMBERG_SECTOR_CODE")</f>
        <v>#NAME?</v>
      </c>
      <c r="R988" t="e">
        <f ca="1">BDP("27888WAN Muni","ISSUER_TYPE")</f>
        <v>#NAME?</v>
      </c>
      <c r="S988" t="e">
        <f ca="1">BDS("27888WAN Muni","ESG_PROJECT_CATEGORY", "aggregate=y")</f>
        <v>#NAME?</v>
      </c>
      <c r="T988" t="e">
        <f ca="1">BDS("27888WAN Muni","ESG_PROJECT_SUBCATEGORY", "aggregate=y")</f>
        <v>#NAME?</v>
      </c>
    </row>
    <row r="989" spans="1:20" x14ac:dyDescent="0.25">
      <c r="A989" t="e">
        <f ca="1">BDP("27888WAS Muni","ID_CUSIP")</f>
        <v>#NAME?</v>
      </c>
      <c r="B989" t="e">
        <f ca="1">BDP("27888WAS Muni","STATE_CODE")</f>
        <v>#NAME?</v>
      </c>
      <c r="C989" t="s">
        <v>64</v>
      </c>
      <c r="D989" t="e">
        <f ca="1">BDP("27888WAS Muni","YIELD_ON_ISSUE_DATE")</f>
        <v>#NAME?</v>
      </c>
      <c r="E989">
        <v>1975000</v>
      </c>
      <c r="F989" t="e">
        <f ca="1">BDP("27888WAS Muni","ISSUE_DT")</f>
        <v>#NAME?</v>
      </c>
      <c r="G989" t="e">
        <f ca="1">BDP("27888WAS Muni","MATURITY")</f>
        <v>#NAME?</v>
      </c>
      <c r="H989" t="e">
        <f ca="1">BDP("27888WAS Muni","MUNI_TAX_PROV")</f>
        <v>#NAME?</v>
      </c>
      <c r="I989" t="e">
        <f ca="1">BDP("27888WAS Muni","FINANCING_TYPE")</f>
        <v>#NAME?</v>
      </c>
      <c r="J989" t="e">
        <f ca="1">BDP("27888WAS Muni","BICS_LEVEL_2_INDUSTRY_GROUP_NAME")</f>
        <v>#NAME?</v>
      </c>
      <c r="K989" t="e">
        <f ca="1">BDP("27888WAS Muni","SELF_REPRTD_GREEN_INSTR_INDCTR")</f>
        <v>#NAME?</v>
      </c>
      <c r="L989" t="e">
        <f ca="1">BDP("27888WAS Muni","GB_MANAGEMENT_PROCEEDS")</f>
        <v>#NAME?</v>
      </c>
      <c r="M989" t="e">
        <f ca="1">BDP("27888WAS Muni","GB_REPORTING")</f>
        <v>#NAME?</v>
      </c>
      <c r="N989" t="e">
        <f ca="1">BDP("27888WAS Muni","GB_ASSURANCE_PROVIDERS")</f>
        <v>#NAME?</v>
      </c>
      <c r="O989" t="e">
        <f ca="1">BDP("27888WAS Muni","GB_PROJECT_SELECTION_PROCESS")</f>
        <v>#NAME?</v>
      </c>
      <c r="P989" t="e">
        <f ca="1">BDP("27888WAS Muni","ESG_FRAMEWORK_INDICATOR")</f>
        <v>#NAME?</v>
      </c>
      <c r="Q989" t="e">
        <f ca="1">BDP("27888WAS Muni","BLOOMBERG_SECTOR_CODE")</f>
        <v>#NAME?</v>
      </c>
      <c r="R989" t="e">
        <f ca="1">BDP("27888WAS Muni","ISSUER_TYPE")</f>
        <v>#NAME?</v>
      </c>
      <c r="S989" t="e">
        <f ca="1">BDS("27888WAS Muni","ESG_PROJECT_CATEGORY", "aggregate=y")</f>
        <v>#NAME?</v>
      </c>
      <c r="T989" t="e">
        <f ca="1">BDS("27888WAS Muni","ESG_PROJECT_SUBCATEGORY", "aggregate=y")</f>
        <v>#NAME?</v>
      </c>
    </row>
    <row r="990" spans="1:20" x14ac:dyDescent="0.25">
      <c r="A990" t="e">
        <f ca="1">BDP("27888WAT Muni","ID_CUSIP")</f>
        <v>#NAME?</v>
      </c>
      <c r="B990" t="e">
        <f ca="1">BDP("27888WAT Muni","STATE_CODE")</f>
        <v>#NAME?</v>
      </c>
      <c r="C990" t="s">
        <v>64</v>
      </c>
      <c r="D990" t="e">
        <f ca="1">BDP("27888WAT Muni","YIELD_ON_ISSUE_DATE")</f>
        <v>#NAME?</v>
      </c>
      <c r="E990">
        <v>2080000</v>
      </c>
      <c r="F990" t="e">
        <f ca="1">BDP("27888WAT Muni","ISSUE_DT")</f>
        <v>#NAME?</v>
      </c>
      <c r="G990" t="e">
        <f ca="1">BDP("27888WAT Muni","MATURITY")</f>
        <v>#NAME?</v>
      </c>
      <c r="H990" t="e">
        <f ca="1">BDP("27888WAT Muni","MUNI_TAX_PROV")</f>
        <v>#NAME?</v>
      </c>
      <c r="I990" t="e">
        <f ca="1">BDP("27888WAT Muni","FINANCING_TYPE")</f>
        <v>#NAME?</v>
      </c>
      <c r="J990" t="e">
        <f ca="1">BDP("27888WAT Muni","BICS_LEVEL_2_INDUSTRY_GROUP_NAME")</f>
        <v>#NAME?</v>
      </c>
      <c r="K990" t="e">
        <f ca="1">BDP("27888WAT Muni","SELF_REPRTD_GREEN_INSTR_INDCTR")</f>
        <v>#NAME?</v>
      </c>
      <c r="L990" t="e">
        <f ca="1">BDP("27888WAT Muni","GB_MANAGEMENT_PROCEEDS")</f>
        <v>#NAME?</v>
      </c>
      <c r="M990" t="e">
        <f ca="1">BDP("27888WAT Muni","GB_REPORTING")</f>
        <v>#NAME?</v>
      </c>
      <c r="N990" t="e">
        <f ca="1">BDP("27888WAT Muni","GB_ASSURANCE_PROVIDERS")</f>
        <v>#NAME?</v>
      </c>
      <c r="O990" t="e">
        <f ca="1">BDP("27888WAT Muni","GB_PROJECT_SELECTION_PROCESS")</f>
        <v>#NAME?</v>
      </c>
      <c r="P990" t="e">
        <f ca="1">BDP("27888WAT Muni","ESG_FRAMEWORK_INDICATOR")</f>
        <v>#NAME?</v>
      </c>
      <c r="Q990" t="e">
        <f ca="1">BDP("27888WAT Muni","BLOOMBERG_SECTOR_CODE")</f>
        <v>#NAME?</v>
      </c>
      <c r="R990" t="e">
        <f ca="1">BDP("27888WAT Muni","ISSUER_TYPE")</f>
        <v>#NAME?</v>
      </c>
      <c r="S990" t="e">
        <f ca="1">BDS("27888WAT Muni","ESG_PROJECT_CATEGORY", "aggregate=y")</f>
        <v>#NAME?</v>
      </c>
      <c r="T990" t="e">
        <f ca="1">BDS("27888WAT Muni","ESG_PROJECT_SUBCATEGORY", "aggregate=y")</f>
        <v>#NAME?</v>
      </c>
    </row>
    <row r="991" spans="1:20" x14ac:dyDescent="0.25">
      <c r="A991" t="e">
        <f ca="1">BDP("27888WAU Muni","ID_CUSIP")</f>
        <v>#NAME?</v>
      </c>
      <c r="B991" t="e">
        <f ca="1">BDP("27888WAU Muni","STATE_CODE")</f>
        <v>#NAME?</v>
      </c>
      <c r="C991" t="s">
        <v>64</v>
      </c>
      <c r="D991" t="e">
        <f ca="1">BDP("27888WAU Muni","YIELD_ON_ISSUE_DATE")</f>
        <v>#NAME?</v>
      </c>
      <c r="E991">
        <v>2185000</v>
      </c>
      <c r="F991" t="e">
        <f ca="1">BDP("27888WAU Muni","ISSUE_DT")</f>
        <v>#NAME?</v>
      </c>
      <c r="G991" t="e">
        <f ca="1">BDP("27888WAU Muni","MATURITY")</f>
        <v>#NAME?</v>
      </c>
      <c r="H991" t="e">
        <f ca="1">BDP("27888WAU Muni","MUNI_TAX_PROV")</f>
        <v>#NAME?</v>
      </c>
      <c r="I991" t="e">
        <f ca="1">BDP("27888WAU Muni","FINANCING_TYPE")</f>
        <v>#NAME?</v>
      </c>
      <c r="J991" t="e">
        <f ca="1">BDP("27888WAU Muni","BICS_LEVEL_2_INDUSTRY_GROUP_NAME")</f>
        <v>#NAME?</v>
      </c>
      <c r="K991" t="e">
        <f ca="1">BDP("27888WAU Muni","SELF_REPRTD_GREEN_INSTR_INDCTR")</f>
        <v>#NAME?</v>
      </c>
      <c r="L991" t="e">
        <f ca="1">BDP("27888WAU Muni","GB_MANAGEMENT_PROCEEDS")</f>
        <v>#NAME?</v>
      </c>
      <c r="M991" t="e">
        <f ca="1">BDP("27888WAU Muni","GB_REPORTING")</f>
        <v>#NAME?</v>
      </c>
      <c r="N991" t="e">
        <f ca="1">BDP("27888WAU Muni","GB_ASSURANCE_PROVIDERS")</f>
        <v>#NAME?</v>
      </c>
      <c r="O991" t="e">
        <f ca="1">BDP("27888WAU Muni","GB_PROJECT_SELECTION_PROCESS")</f>
        <v>#NAME?</v>
      </c>
      <c r="P991" t="e">
        <f ca="1">BDP("27888WAU Muni","ESG_FRAMEWORK_INDICATOR")</f>
        <v>#NAME?</v>
      </c>
      <c r="Q991" t="e">
        <f ca="1">BDP("27888WAU Muni","BLOOMBERG_SECTOR_CODE")</f>
        <v>#NAME?</v>
      </c>
      <c r="R991" t="e">
        <f ca="1">BDP("27888WAU Muni","ISSUER_TYPE")</f>
        <v>#NAME?</v>
      </c>
      <c r="S991" t="e">
        <f ca="1">BDS("27888WAU Muni","ESG_PROJECT_CATEGORY", "aggregate=y")</f>
        <v>#NAME?</v>
      </c>
      <c r="T991" t="e">
        <f ca="1">BDS("27888WAU Muni","ESG_PROJECT_SUBCATEGORY", "aggregate=y")</f>
        <v>#NAME?</v>
      </c>
    </row>
    <row r="992" spans="1:20" x14ac:dyDescent="0.25">
      <c r="A992" t="e">
        <f ca="1">BDP("27888WAV Muni","ID_CUSIP")</f>
        <v>#NAME?</v>
      </c>
      <c r="B992" t="e">
        <f ca="1">BDP("27888WAV Muni","STATE_CODE")</f>
        <v>#NAME?</v>
      </c>
      <c r="C992" t="s">
        <v>64</v>
      </c>
      <c r="D992" t="e">
        <f ca="1">BDP("27888WAV Muni","YIELD_ON_ISSUE_DATE")</f>
        <v>#NAME?</v>
      </c>
      <c r="E992">
        <v>2300000</v>
      </c>
      <c r="F992" t="e">
        <f ca="1">BDP("27888WAV Muni","ISSUE_DT")</f>
        <v>#NAME?</v>
      </c>
      <c r="G992" t="e">
        <f ca="1">BDP("27888WAV Muni","MATURITY")</f>
        <v>#NAME?</v>
      </c>
      <c r="H992" t="e">
        <f ca="1">BDP("27888WAV Muni","MUNI_TAX_PROV")</f>
        <v>#NAME?</v>
      </c>
      <c r="I992" t="e">
        <f ca="1">BDP("27888WAV Muni","FINANCING_TYPE")</f>
        <v>#NAME?</v>
      </c>
      <c r="J992" t="e">
        <f ca="1">BDP("27888WAV Muni","BICS_LEVEL_2_INDUSTRY_GROUP_NAME")</f>
        <v>#NAME?</v>
      </c>
      <c r="K992" t="e">
        <f ca="1">BDP("27888WAV Muni","SELF_REPRTD_GREEN_INSTR_INDCTR")</f>
        <v>#NAME?</v>
      </c>
      <c r="L992" t="e">
        <f ca="1">BDP("27888WAV Muni","GB_MANAGEMENT_PROCEEDS")</f>
        <v>#NAME?</v>
      </c>
      <c r="M992" t="e">
        <f ca="1">BDP("27888WAV Muni","GB_REPORTING")</f>
        <v>#NAME?</v>
      </c>
      <c r="N992" t="e">
        <f ca="1">BDP("27888WAV Muni","GB_ASSURANCE_PROVIDERS")</f>
        <v>#NAME?</v>
      </c>
      <c r="O992" t="e">
        <f ca="1">BDP("27888WAV Muni","GB_PROJECT_SELECTION_PROCESS")</f>
        <v>#NAME?</v>
      </c>
      <c r="P992" t="e">
        <f ca="1">BDP("27888WAV Muni","ESG_FRAMEWORK_INDICATOR")</f>
        <v>#NAME?</v>
      </c>
      <c r="Q992" t="e">
        <f ca="1">BDP("27888WAV Muni","BLOOMBERG_SECTOR_CODE")</f>
        <v>#NAME?</v>
      </c>
      <c r="R992" t="e">
        <f ca="1">BDP("27888WAV Muni","ISSUER_TYPE")</f>
        <v>#NAME?</v>
      </c>
      <c r="S992" t="e">
        <f ca="1">BDS("27888WAV Muni","ESG_PROJECT_CATEGORY", "aggregate=y")</f>
        <v>#NAME?</v>
      </c>
      <c r="T992" t="e">
        <f ca="1">BDS("27888WAV Muni","ESG_PROJECT_SUBCATEGORY", "aggregate=y")</f>
        <v>#NAME?</v>
      </c>
    </row>
    <row r="993" spans="1:20" x14ac:dyDescent="0.25">
      <c r="A993" t="e">
        <f ca="1">BDP("736606HM Muni","ID_CUSIP")</f>
        <v>#NAME?</v>
      </c>
      <c r="B993" t="e">
        <f ca="1">BDP("736606HM Muni","STATE_CODE")</f>
        <v>#NAME?</v>
      </c>
      <c r="C993" t="s">
        <v>65</v>
      </c>
      <c r="D993" t="e">
        <f ca="1">BDP("736606HM Muni","YIELD_ON_ISSUE_DATE")</f>
        <v>#NAME?</v>
      </c>
      <c r="E993">
        <v>1050000</v>
      </c>
      <c r="F993" t="e">
        <f ca="1">BDP("736606HM Muni","ISSUE_DT")</f>
        <v>#NAME?</v>
      </c>
      <c r="G993" t="e">
        <f ca="1">BDP("736606HM Muni","MATURITY")</f>
        <v>#NAME?</v>
      </c>
      <c r="H993" t="e">
        <f ca="1">BDP("736606HM Muni","MUNI_TAX_PROV")</f>
        <v>#NAME?</v>
      </c>
      <c r="I993" t="e">
        <f ca="1">BDP("736606HM Muni","FINANCING_TYPE")</f>
        <v>#NAME?</v>
      </c>
      <c r="J993" t="e">
        <f ca="1">BDP("736606HM Muni","BICS_LEVEL_2_INDUSTRY_GROUP_NAME")</f>
        <v>#NAME?</v>
      </c>
      <c r="K993" t="e">
        <f ca="1">BDP("736606HM Muni","SELF_REPRTD_GREEN_INSTR_INDCTR")</f>
        <v>#NAME?</v>
      </c>
      <c r="L993" t="e">
        <f ca="1">BDP("736606HM Muni","GB_MANAGEMENT_PROCEEDS")</f>
        <v>#NAME?</v>
      </c>
      <c r="M993" t="e">
        <f ca="1">BDP("736606HM Muni","GB_REPORTING")</f>
        <v>#NAME?</v>
      </c>
      <c r="N993" t="e">
        <f ca="1">BDP("736606HM Muni","GB_ASSURANCE_PROVIDERS")</f>
        <v>#NAME?</v>
      </c>
      <c r="O993" t="e">
        <f ca="1">BDP("736606HM Muni","GB_PROJECT_SELECTION_PROCESS")</f>
        <v>#NAME?</v>
      </c>
      <c r="P993" t="e">
        <f ca="1">BDP("736606HM Muni","ESG_FRAMEWORK_INDICATOR")</f>
        <v>#NAME?</v>
      </c>
      <c r="Q993" t="e">
        <f ca="1">BDP("736606HM Muni","BLOOMBERG_SECTOR_CODE")</f>
        <v>#NAME?</v>
      </c>
      <c r="R993" t="e">
        <f ca="1">BDP("736606HM Muni","ISSUER_TYPE")</f>
        <v>#NAME?</v>
      </c>
      <c r="S993" t="e">
        <f ca="1">BDS("736606HM Muni","ESG_PROJECT_CATEGORY", "aggregate=y")</f>
        <v>#NAME?</v>
      </c>
      <c r="T993" t="e">
        <f ca="1">BDS("736606HM Muni","ESG_PROJECT_SUBCATEGORY", "aggregate=y")</f>
        <v>#NAME?</v>
      </c>
    </row>
    <row r="994" spans="1:20" x14ac:dyDescent="0.25">
      <c r="A994" t="e">
        <f ca="1">BDP("736606HQ Muni","ID_CUSIP")</f>
        <v>#NAME?</v>
      </c>
      <c r="B994" t="e">
        <f ca="1">BDP("736606HQ Muni","STATE_CODE")</f>
        <v>#NAME?</v>
      </c>
      <c r="C994" t="s">
        <v>65</v>
      </c>
      <c r="D994" t="e">
        <f ca="1">BDP("736606HQ Muni","YIELD_ON_ISSUE_DATE")</f>
        <v>#NAME?</v>
      </c>
      <c r="E994">
        <v>1045000</v>
      </c>
      <c r="F994" t="e">
        <f ca="1">BDP("736606HQ Muni","ISSUE_DT")</f>
        <v>#NAME?</v>
      </c>
      <c r="G994" t="e">
        <f ca="1">BDP("736606HQ Muni","MATURITY")</f>
        <v>#NAME?</v>
      </c>
      <c r="H994" t="e">
        <f ca="1">BDP("736606HQ Muni","MUNI_TAX_PROV")</f>
        <v>#NAME?</v>
      </c>
      <c r="I994" t="e">
        <f ca="1">BDP("736606HQ Muni","FINANCING_TYPE")</f>
        <v>#NAME?</v>
      </c>
      <c r="J994" t="e">
        <f ca="1">BDP("736606HQ Muni","BICS_LEVEL_2_INDUSTRY_GROUP_NAME")</f>
        <v>#NAME?</v>
      </c>
      <c r="K994" t="e">
        <f ca="1">BDP("736606HQ Muni","SELF_REPRTD_GREEN_INSTR_INDCTR")</f>
        <v>#NAME?</v>
      </c>
      <c r="L994" t="e">
        <f ca="1">BDP("736606HQ Muni","GB_MANAGEMENT_PROCEEDS")</f>
        <v>#NAME?</v>
      </c>
      <c r="M994" t="e">
        <f ca="1">BDP("736606HQ Muni","GB_REPORTING")</f>
        <v>#NAME?</v>
      </c>
      <c r="N994" t="e">
        <f ca="1">BDP("736606HQ Muni","GB_ASSURANCE_PROVIDERS")</f>
        <v>#NAME?</v>
      </c>
      <c r="O994" t="e">
        <f ca="1">BDP("736606HQ Muni","GB_PROJECT_SELECTION_PROCESS")</f>
        <v>#NAME?</v>
      </c>
      <c r="P994" t="e">
        <f ca="1">BDP("736606HQ Muni","ESG_FRAMEWORK_INDICATOR")</f>
        <v>#NAME?</v>
      </c>
      <c r="Q994" t="e">
        <f ca="1">BDP("736606HQ Muni","BLOOMBERG_SECTOR_CODE")</f>
        <v>#NAME?</v>
      </c>
      <c r="R994" t="e">
        <f ca="1">BDP("736606HQ Muni","ISSUER_TYPE")</f>
        <v>#NAME?</v>
      </c>
      <c r="S994" t="e">
        <f ca="1">BDS("736606HQ Muni","ESG_PROJECT_CATEGORY", "aggregate=y")</f>
        <v>#NAME?</v>
      </c>
      <c r="T994" t="e">
        <f ca="1">BDS("736606HQ Muni","ESG_PROJECT_SUBCATEGORY", "aggregate=y")</f>
        <v>#NAME?</v>
      </c>
    </row>
    <row r="995" spans="1:20" x14ac:dyDescent="0.25">
      <c r="A995" t="e">
        <f ca="1">BDP("736606HR Muni","ID_CUSIP")</f>
        <v>#NAME?</v>
      </c>
      <c r="B995" t="e">
        <f ca="1">BDP("736606HR Muni","STATE_CODE")</f>
        <v>#NAME?</v>
      </c>
      <c r="C995" t="s">
        <v>65</v>
      </c>
      <c r="D995" t="e">
        <f ca="1">BDP("736606HR Muni","YIELD_ON_ISSUE_DATE")</f>
        <v>#NAME?</v>
      </c>
      <c r="E995">
        <v>1045000</v>
      </c>
      <c r="F995" t="e">
        <f ca="1">BDP("736606HR Muni","ISSUE_DT")</f>
        <v>#NAME?</v>
      </c>
      <c r="G995" t="e">
        <f ca="1">BDP("736606HR Muni","MATURITY")</f>
        <v>#NAME?</v>
      </c>
      <c r="H995" t="e">
        <f ca="1">BDP("736606HR Muni","MUNI_TAX_PROV")</f>
        <v>#NAME?</v>
      </c>
      <c r="I995" t="e">
        <f ca="1">BDP("736606HR Muni","FINANCING_TYPE")</f>
        <v>#NAME?</v>
      </c>
      <c r="J995" t="e">
        <f ca="1">BDP("736606HR Muni","BICS_LEVEL_2_INDUSTRY_GROUP_NAME")</f>
        <v>#NAME?</v>
      </c>
      <c r="K995" t="e">
        <f ca="1">BDP("736606HR Muni","SELF_REPRTD_GREEN_INSTR_INDCTR")</f>
        <v>#NAME?</v>
      </c>
      <c r="L995" t="e">
        <f ca="1">BDP("736606HR Muni","GB_MANAGEMENT_PROCEEDS")</f>
        <v>#NAME?</v>
      </c>
      <c r="M995" t="e">
        <f ca="1">BDP("736606HR Muni","GB_REPORTING")</f>
        <v>#NAME?</v>
      </c>
      <c r="N995" t="e">
        <f ca="1">BDP("736606HR Muni","GB_ASSURANCE_PROVIDERS")</f>
        <v>#NAME?</v>
      </c>
      <c r="O995" t="e">
        <f ca="1">BDP("736606HR Muni","GB_PROJECT_SELECTION_PROCESS")</f>
        <v>#NAME?</v>
      </c>
      <c r="P995" t="e">
        <f ca="1">BDP("736606HR Muni","ESG_FRAMEWORK_INDICATOR")</f>
        <v>#NAME?</v>
      </c>
      <c r="Q995" t="e">
        <f ca="1">BDP("736606HR Muni","BLOOMBERG_SECTOR_CODE")</f>
        <v>#NAME?</v>
      </c>
      <c r="R995" t="e">
        <f ca="1">BDP("736606HR Muni","ISSUER_TYPE")</f>
        <v>#NAME?</v>
      </c>
      <c r="S995" t="e">
        <f ca="1">BDS("736606HR Muni","ESG_PROJECT_CATEGORY", "aggregate=y")</f>
        <v>#NAME?</v>
      </c>
      <c r="T995" t="e">
        <f ca="1">BDS("736606HR Muni","ESG_PROJECT_SUBCATEGORY", "aggregate=y")</f>
        <v>#NAME?</v>
      </c>
    </row>
    <row r="996" spans="1:20" x14ac:dyDescent="0.25">
      <c r="A996" t="e">
        <f ca="1">BDP("736606HP Muni","ID_CUSIP")</f>
        <v>#NAME?</v>
      </c>
      <c r="B996" t="e">
        <f ca="1">BDP("736606HP Muni","STATE_CODE")</f>
        <v>#NAME?</v>
      </c>
      <c r="C996" t="s">
        <v>65</v>
      </c>
      <c r="D996" t="e">
        <f ca="1">BDP("736606HP Muni","YIELD_ON_ISSUE_DATE")</f>
        <v>#NAME?</v>
      </c>
      <c r="E996">
        <v>1045000</v>
      </c>
      <c r="F996" t="e">
        <f ca="1">BDP("736606HP Muni","ISSUE_DT")</f>
        <v>#NAME?</v>
      </c>
      <c r="G996" t="e">
        <f ca="1">BDP("736606HP Muni","MATURITY")</f>
        <v>#NAME?</v>
      </c>
      <c r="H996" t="e">
        <f ca="1">BDP("736606HP Muni","MUNI_TAX_PROV")</f>
        <v>#NAME?</v>
      </c>
      <c r="I996" t="e">
        <f ca="1">BDP("736606HP Muni","FINANCING_TYPE")</f>
        <v>#NAME?</v>
      </c>
      <c r="J996" t="e">
        <f ca="1">BDP("736606HP Muni","BICS_LEVEL_2_INDUSTRY_GROUP_NAME")</f>
        <v>#NAME?</v>
      </c>
      <c r="K996" t="e">
        <f ca="1">BDP("736606HP Muni","SELF_REPRTD_GREEN_INSTR_INDCTR")</f>
        <v>#NAME?</v>
      </c>
      <c r="L996" t="e">
        <f ca="1">BDP("736606HP Muni","GB_MANAGEMENT_PROCEEDS")</f>
        <v>#NAME?</v>
      </c>
      <c r="M996" t="e">
        <f ca="1">BDP("736606HP Muni","GB_REPORTING")</f>
        <v>#NAME?</v>
      </c>
      <c r="N996" t="e">
        <f ca="1">BDP("736606HP Muni","GB_ASSURANCE_PROVIDERS")</f>
        <v>#NAME?</v>
      </c>
      <c r="O996" t="e">
        <f ca="1">BDP("736606HP Muni","GB_PROJECT_SELECTION_PROCESS")</f>
        <v>#NAME?</v>
      </c>
      <c r="P996" t="e">
        <f ca="1">BDP("736606HP Muni","ESG_FRAMEWORK_INDICATOR")</f>
        <v>#NAME?</v>
      </c>
      <c r="Q996" t="e">
        <f ca="1">BDP("736606HP Muni","BLOOMBERG_SECTOR_CODE")</f>
        <v>#NAME?</v>
      </c>
      <c r="R996" t="e">
        <f ca="1">BDP("736606HP Muni","ISSUER_TYPE")</f>
        <v>#NAME?</v>
      </c>
      <c r="S996" t="e">
        <f ca="1">BDS("736606HP Muni","ESG_PROJECT_CATEGORY", "aggregate=y")</f>
        <v>#NAME?</v>
      </c>
      <c r="T996" t="e">
        <f ca="1">BDS("736606HP Muni","ESG_PROJECT_SUBCATEGORY", "aggregate=y")</f>
        <v>#NAME?</v>
      </c>
    </row>
    <row r="997" spans="1:20" x14ac:dyDescent="0.25">
      <c r="A997" t="e">
        <f ca="1">BDP("736606HY Muni","ID_CUSIP")</f>
        <v>#NAME?</v>
      </c>
      <c r="B997" t="e">
        <f ca="1">BDP("736606HY Muni","STATE_CODE")</f>
        <v>#NAME?</v>
      </c>
      <c r="C997" t="s">
        <v>65</v>
      </c>
      <c r="D997" t="e">
        <f ca="1">BDP("736606HY Muni","YIELD_ON_ISSUE_DATE")</f>
        <v>#NAME?</v>
      </c>
      <c r="E997">
        <v>1045000</v>
      </c>
      <c r="F997" t="e">
        <f ca="1">BDP("736606HY Muni","ISSUE_DT")</f>
        <v>#NAME?</v>
      </c>
      <c r="G997" t="e">
        <f ca="1">BDP("736606HY Muni","MATURITY")</f>
        <v>#NAME?</v>
      </c>
      <c r="H997" t="e">
        <f ca="1">BDP("736606HY Muni","MUNI_TAX_PROV")</f>
        <v>#NAME?</v>
      </c>
      <c r="I997" t="e">
        <f ca="1">BDP("736606HY Muni","FINANCING_TYPE")</f>
        <v>#NAME?</v>
      </c>
      <c r="J997" t="e">
        <f ca="1">BDP("736606HY Muni","BICS_LEVEL_2_INDUSTRY_GROUP_NAME")</f>
        <v>#NAME?</v>
      </c>
      <c r="K997" t="e">
        <f ca="1">BDP("736606HY Muni","SELF_REPRTD_GREEN_INSTR_INDCTR")</f>
        <v>#NAME?</v>
      </c>
      <c r="L997" t="e">
        <f ca="1">BDP("736606HY Muni","GB_MANAGEMENT_PROCEEDS")</f>
        <v>#NAME?</v>
      </c>
      <c r="M997" t="e">
        <f ca="1">BDP("736606HY Muni","GB_REPORTING")</f>
        <v>#NAME?</v>
      </c>
      <c r="N997" t="e">
        <f ca="1">BDP("736606HY Muni","GB_ASSURANCE_PROVIDERS")</f>
        <v>#NAME?</v>
      </c>
      <c r="O997" t="e">
        <f ca="1">BDP("736606HY Muni","GB_PROJECT_SELECTION_PROCESS")</f>
        <v>#NAME?</v>
      </c>
      <c r="P997" t="e">
        <f ca="1">BDP("736606HY Muni","ESG_FRAMEWORK_INDICATOR")</f>
        <v>#NAME?</v>
      </c>
      <c r="Q997" t="e">
        <f ca="1">BDP("736606HY Muni","BLOOMBERG_SECTOR_CODE")</f>
        <v>#NAME?</v>
      </c>
      <c r="R997" t="e">
        <f ca="1">BDP("736606HY Muni","ISSUER_TYPE")</f>
        <v>#NAME?</v>
      </c>
      <c r="S997" t="e">
        <f ca="1">BDS("736606HY Muni","ESG_PROJECT_CATEGORY", "aggregate=y")</f>
        <v>#NAME?</v>
      </c>
      <c r="T997" t="e">
        <f ca="1">BDS("736606HY Muni","ESG_PROJECT_SUBCATEGORY", "aggregate=y")</f>
        <v>#NAME?</v>
      </c>
    </row>
    <row r="998" spans="1:20" x14ac:dyDescent="0.25">
      <c r="A998" t="e">
        <f ca="1">BDP("736606HW Muni","ID_CUSIP")</f>
        <v>#NAME?</v>
      </c>
      <c r="B998" t="e">
        <f ca="1">BDP("736606HW Muni","STATE_CODE")</f>
        <v>#NAME?</v>
      </c>
      <c r="C998" t="s">
        <v>65</v>
      </c>
      <c r="D998" t="e">
        <f ca="1">BDP("736606HW Muni","YIELD_ON_ISSUE_DATE")</f>
        <v>#NAME?</v>
      </c>
      <c r="E998">
        <v>1045000</v>
      </c>
      <c r="F998" t="e">
        <f ca="1">BDP("736606HW Muni","ISSUE_DT")</f>
        <v>#NAME?</v>
      </c>
      <c r="G998" t="e">
        <f ca="1">BDP("736606HW Muni","MATURITY")</f>
        <v>#NAME?</v>
      </c>
      <c r="H998" t="e">
        <f ca="1">BDP("736606HW Muni","MUNI_TAX_PROV")</f>
        <v>#NAME?</v>
      </c>
      <c r="I998" t="e">
        <f ca="1">BDP("736606HW Muni","FINANCING_TYPE")</f>
        <v>#NAME?</v>
      </c>
      <c r="J998" t="e">
        <f ca="1">BDP("736606HW Muni","BICS_LEVEL_2_INDUSTRY_GROUP_NAME")</f>
        <v>#NAME?</v>
      </c>
      <c r="K998" t="e">
        <f ca="1">BDP("736606HW Muni","SELF_REPRTD_GREEN_INSTR_INDCTR")</f>
        <v>#NAME?</v>
      </c>
      <c r="L998" t="e">
        <f ca="1">BDP("736606HW Muni","GB_MANAGEMENT_PROCEEDS")</f>
        <v>#NAME?</v>
      </c>
      <c r="M998" t="e">
        <f ca="1">BDP("736606HW Muni","GB_REPORTING")</f>
        <v>#NAME?</v>
      </c>
      <c r="N998" t="e">
        <f ca="1">BDP("736606HW Muni","GB_ASSURANCE_PROVIDERS")</f>
        <v>#NAME?</v>
      </c>
      <c r="O998" t="e">
        <f ca="1">BDP("736606HW Muni","GB_PROJECT_SELECTION_PROCESS")</f>
        <v>#NAME?</v>
      </c>
      <c r="P998" t="e">
        <f ca="1">BDP("736606HW Muni","ESG_FRAMEWORK_INDICATOR")</f>
        <v>#NAME?</v>
      </c>
      <c r="Q998" t="e">
        <f ca="1">BDP("736606HW Muni","BLOOMBERG_SECTOR_CODE")</f>
        <v>#NAME?</v>
      </c>
      <c r="R998" t="e">
        <f ca="1">BDP("736606HW Muni","ISSUER_TYPE")</f>
        <v>#NAME?</v>
      </c>
      <c r="S998" t="e">
        <f ca="1">BDS("736606HW Muni","ESG_PROJECT_CATEGORY", "aggregate=y")</f>
        <v>#NAME?</v>
      </c>
      <c r="T998" t="e">
        <f ca="1">BDS("736606HW Muni","ESG_PROJECT_SUBCATEGORY", "aggregate=y")</f>
        <v>#NAME?</v>
      </c>
    </row>
    <row r="999" spans="1:20" x14ac:dyDescent="0.25">
      <c r="A999" t="e">
        <f ca="1">BDP("736606HL Muni","ID_CUSIP")</f>
        <v>#NAME?</v>
      </c>
      <c r="B999" t="e">
        <f ca="1">BDP("736606HL Muni","STATE_CODE")</f>
        <v>#NAME?</v>
      </c>
      <c r="C999" t="s">
        <v>65</v>
      </c>
      <c r="D999" t="e">
        <f ca="1">BDP("736606HL Muni","YIELD_ON_ISSUE_DATE")</f>
        <v>#NAME?</v>
      </c>
      <c r="E999">
        <v>1050000</v>
      </c>
      <c r="F999" t="e">
        <f ca="1">BDP("736606HL Muni","ISSUE_DT")</f>
        <v>#NAME?</v>
      </c>
      <c r="G999" t="e">
        <f ca="1">BDP("736606HL Muni","MATURITY")</f>
        <v>#NAME?</v>
      </c>
      <c r="H999" t="e">
        <f ca="1">BDP("736606HL Muni","MUNI_TAX_PROV")</f>
        <v>#NAME?</v>
      </c>
      <c r="I999" t="e">
        <f ca="1">BDP("736606HL Muni","FINANCING_TYPE")</f>
        <v>#NAME?</v>
      </c>
      <c r="J999" t="e">
        <f ca="1">BDP("736606HL Muni","BICS_LEVEL_2_INDUSTRY_GROUP_NAME")</f>
        <v>#NAME?</v>
      </c>
      <c r="K999" t="e">
        <f ca="1">BDP("736606HL Muni","SELF_REPRTD_GREEN_INSTR_INDCTR")</f>
        <v>#NAME?</v>
      </c>
      <c r="L999" t="e">
        <f ca="1">BDP("736606HL Muni","GB_MANAGEMENT_PROCEEDS")</f>
        <v>#NAME?</v>
      </c>
      <c r="M999" t="e">
        <f ca="1">BDP("736606HL Muni","GB_REPORTING")</f>
        <v>#NAME?</v>
      </c>
      <c r="N999" t="e">
        <f ca="1">BDP("736606HL Muni","GB_ASSURANCE_PROVIDERS")</f>
        <v>#NAME?</v>
      </c>
      <c r="O999" t="e">
        <f ca="1">BDP("736606HL Muni","GB_PROJECT_SELECTION_PROCESS")</f>
        <v>#NAME?</v>
      </c>
      <c r="P999" t="e">
        <f ca="1">BDP("736606HL Muni","ESG_FRAMEWORK_INDICATOR")</f>
        <v>#NAME?</v>
      </c>
      <c r="Q999" t="e">
        <f ca="1">BDP("736606HL Muni","BLOOMBERG_SECTOR_CODE")</f>
        <v>#NAME?</v>
      </c>
      <c r="R999" t="e">
        <f ca="1">BDP("736606HL Muni","ISSUER_TYPE")</f>
        <v>#NAME?</v>
      </c>
      <c r="S999" t="e">
        <f ca="1">BDS("736606HL Muni","ESG_PROJECT_CATEGORY", "aggregate=y")</f>
        <v>#NAME?</v>
      </c>
      <c r="T999" t="e">
        <f ca="1">BDS("736606HL Muni","ESG_PROJECT_SUBCATEGORY", "aggregate=y")</f>
        <v>#NAME?</v>
      </c>
    </row>
    <row r="1000" spans="1:20" x14ac:dyDescent="0.25">
      <c r="A1000" t="e">
        <f ca="1">BDP("736606HT Muni","ID_CUSIP")</f>
        <v>#NAME?</v>
      </c>
      <c r="B1000" t="e">
        <f ca="1">BDP("736606HT Muni","STATE_CODE")</f>
        <v>#NAME?</v>
      </c>
      <c r="C1000" t="s">
        <v>65</v>
      </c>
      <c r="D1000" t="e">
        <f ca="1">BDP("736606HT Muni","YIELD_ON_ISSUE_DATE")</f>
        <v>#NAME?</v>
      </c>
      <c r="E1000">
        <v>1045000</v>
      </c>
      <c r="F1000" t="e">
        <f ca="1">BDP("736606HT Muni","ISSUE_DT")</f>
        <v>#NAME?</v>
      </c>
      <c r="G1000" t="e">
        <f ca="1">BDP("736606HT Muni","MATURITY")</f>
        <v>#NAME?</v>
      </c>
      <c r="H1000" t="e">
        <f ca="1">BDP("736606HT Muni","MUNI_TAX_PROV")</f>
        <v>#NAME?</v>
      </c>
      <c r="I1000" t="e">
        <f ca="1">BDP("736606HT Muni","FINANCING_TYPE")</f>
        <v>#NAME?</v>
      </c>
      <c r="J1000" t="e">
        <f ca="1">BDP("736606HT Muni","BICS_LEVEL_2_INDUSTRY_GROUP_NAME")</f>
        <v>#NAME?</v>
      </c>
      <c r="K1000" t="e">
        <f ca="1">BDP("736606HT Muni","SELF_REPRTD_GREEN_INSTR_INDCTR")</f>
        <v>#NAME?</v>
      </c>
      <c r="L1000" t="e">
        <f ca="1">BDP("736606HT Muni","GB_MANAGEMENT_PROCEEDS")</f>
        <v>#NAME?</v>
      </c>
      <c r="M1000" t="e">
        <f ca="1">BDP("736606HT Muni","GB_REPORTING")</f>
        <v>#NAME?</v>
      </c>
      <c r="N1000" t="e">
        <f ca="1">BDP("736606HT Muni","GB_ASSURANCE_PROVIDERS")</f>
        <v>#NAME?</v>
      </c>
      <c r="O1000" t="e">
        <f ca="1">BDP("736606HT Muni","GB_PROJECT_SELECTION_PROCESS")</f>
        <v>#NAME?</v>
      </c>
      <c r="P1000" t="e">
        <f ca="1">BDP("736606HT Muni","ESG_FRAMEWORK_INDICATOR")</f>
        <v>#NAME?</v>
      </c>
      <c r="Q1000" t="e">
        <f ca="1">BDP("736606HT Muni","BLOOMBERG_SECTOR_CODE")</f>
        <v>#NAME?</v>
      </c>
      <c r="R1000" t="e">
        <f ca="1">BDP("736606HT Muni","ISSUER_TYPE")</f>
        <v>#NAME?</v>
      </c>
      <c r="S1000" t="e">
        <f ca="1">BDS("736606HT Muni","ESG_PROJECT_CATEGORY", "aggregate=y")</f>
        <v>#NAME?</v>
      </c>
      <c r="T1000" t="e">
        <f ca="1">BDS("736606HT Muni","ESG_PROJECT_SUBCATEGORY", "aggregate=y")</f>
        <v>#NAME?</v>
      </c>
    </row>
    <row r="1001" spans="1:20" x14ac:dyDescent="0.25">
      <c r="A1001" t="e">
        <f ca="1">BDP("56042BCV Muni","ID_CUSIP")</f>
        <v>#NAME?</v>
      </c>
      <c r="B1001" t="e">
        <f ca="1">BDP("56042BCV Muni","STATE_CODE")</f>
        <v>#NAME?</v>
      </c>
      <c r="C1001" t="s">
        <v>66</v>
      </c>
      <c r="D1001" t="e">
        <f ca="1">BDP("56042BCV Muni","YIELD_ON_ISSUE_DATE")</f>
        <v>#NAME?</v>
      </c>
      <c r="E1001">
        <v>42000000</v>
      </c>
      <c r="F1001" t="e">
        <f ca="1">BDP("56042BCV Muni","ISSUE_DT")</f>
        <v>#NAME?</v>
      </c>
      <c r="G1001" t="e">
        <f ca="1">BDP("56042BCV Muni","MATURITY")</f>
        <v>#NAME?</v>
      </c>
      <c r="H1001" t="e">
        <f ca="1">BDP("56042BCV Muni","MUNI_TAX_PROV")</f>
        <v>#NAME?</v>
      </c>
      <c r="I1001" t="e">
        <f ca="1">BDP("56042BCV Muni","FINANCING_TYPE")</f>
        <v>#NAME?</v>
      </c>
      <c r="J1001" t="e">
        <f ca="1">BDP("56042BCV Muni","BICS_LEVEL_2_INDUSTRY_GROUP_NAME")</f>
        <v>#NAME?</v>
      </c>
      <c r="K1001" t="e">
        <f ca="1">BDP("56042BCV Muni","SELF_REPRTD_GREEN_INSTR_INDCTR")</f>
        <v>#NAME?</v>
      </c>
      <c r="L1001" t="e">
        <f ca="1">BDP("56042BCV Muni","GB_MANAGEMENT_PROCEEDS")</f>
        <v>#NAME?</v>
      </c>
      <c r="M1001" t="e">
        <f ca="1">BDP("56042BCV Muni","GB_REPORTING")</f>
        <v>#NAME?</v>
      </c>
      <c r="N1001" t="e">
        <f ca="1">BDP("56042BCV Muni","GB_ASSURANCE_PROVIDERS")</f>
        <v>#NAME?</v>
      </c>
      <c r="O1001" t="e">
        <f ca="1">BDP("56042BCV Muni","GB_PROJECT_SELECTION_PROCESS")</f>
        <v>#NAME?</v>
      </c>
      <c r="P1001" t="e">
        <f ca="1">BDP("56042BCV Muni","ESG_FRAMEWORK_INDICATOR")</f>
        <v>#NAME?</v>
      </c>
      <c r="Q1001" t="e">
        <f ca="1">BDP("56042BCV Muni","BLOOMBERG_SECTOR_CODE")</f>
        <v>#NAME?</v>
      </c>
      <c r="R1001" t="e">
        <f ca="1">BDP("56042BCV Muni","ISSUER_TYPE")</f>
        <v>#NAME?</v>
      </c>
      <c r="S1001" t="e">
        <f ca="1">BDS("56042BCV Muni","ESG_PROJECT_CATEGORY", "aggregate=y")</f>
        <v>#NAME?</v>
      </c>
      <c r="T1001" t="e">
        <f ca="1">BDS("56042BCV Muni","ESG_PROJECT_SUBCATEGORY", "aggregate=y")</f>
        <v>#NAME?</v>
      </c>
    </row>
    <row r="1002" spans="1:20" x14ac:dyDescent="0.25">
      <c r="A1002" t="e">
        <f ca="1">BDP("736606HS Muni","ID_CUSIP")</f>
        <v>#NAME?</v>
      </c>
      <c r="B1002" t="e">
        <f ca="1">BDP("736606HS Muni","STATE_CODE")</f>
        <v>#NAME?</v>
      </c>
      <c r="C1002" t="s">
        <v>65</v>
      </c>
      <c r="D1002" t="e">
        <f ca="1">BDP("736606HS Muni","YIELD_ON_ISSUE_DATE")</f>
        <v>#NAME?</v>
      </c>
      <c r="E1002">
        <v>1045000</v>
      </c>
      <c r="F1002" t="e">
        <f ca="1">BDP("736606HS Muni","ISSUE_DT")</f>
        <v>#NAME?</v>
      </c>
      <c r="G1002" t="e">
        <f ca="1">BDP("736606HS Muni","MATURITY")</f>
        <v>#NAME?</v>
      </c>
      <c r="H1002" t="e">
        <f ca="1">BDP("736606HS Muni","MUNI_TAX_PROV")</f>
        <v>#NAME?</v>
      </c>
      <c r="I1002" t="e">
        <f ca="1">BDP("736606HS Muni","FINANCING_TYPE")</f>
        <v>#NAME?</v>
      </c>
      <c r="J1002" t="e">
        <f ca="1">BDP("736606HS Muni","BICS_LEVEL_2_INDUSTRY_GROUP_NAME")</f>
        <v>#NAME?</v>
      </c>
      <c r="K1002" t="e">
        <f ca="1">BDP("736606HS Muni","SELF_REPRTD_GREEN_INSTR_INDCTR")</f>
        <v>#NAME?</v>
      </c>
      <c r="L1002" t="e">
        <f ca="1">BDP("736606HS Muni","GB_MANAGEMENT_PROCEEDS")</f>
        <v>#NAME?</v>
      </c>
      <c r="M1002" t="e">
        <f ca="1">BDP("736606HS Muni","GB_REPORTING")</f>
        <v>#NAME?</v>
      </c>
      <c r="N1002" t="e">
        <f ca="1">BDP("736606HS Muni","GB_ASSURANCE_PROVIDERS")</f>
        <v>#NAME?</v>
      </c>
      <c r="O1002" t="e">
        <f ca="1">BDP("736606HS Muni","GB_PROJECT_SELECTION_PROCESS")</f>
        <v>#NAME?</v>
      </c>
      <c r="P1002" t="e">
        <f ca="1">BDP("736606HS Muni","ESG_FRAMEWORK_INDICATOR")</f>
        <v>#NAME?</v>
      </c>
      <c r="Q1002" t="e">
        <f ca="1">BDP("736606HS Muni","BLOOMBERG_SECTOR_CODE")</f>
        <v>#NAME?</v>
      </c>
      <c r="R1002" t="e">
        <f ca="1">BDP("736606HS Muni","ISSUER_TYPE")</f>
        <v>#NAME?</v>
      </c>
      <c r="S1002" t="e">
        <f ca="1">BDS("736606HS Muni","ESG_PROJECT_CATEGORY", "aggregate=y")</f>
        <v>#NAME?</v>
      </c>
      <c r="T1002" t="e">
        <f ca="1">BDS("736606HS Muni","ESG_PROJECT_SUBCATEGORY", "aggregate=y")</f>
        <v>#NAME?</v>
      </c>
    </row>
    <row r="1003" spans="1:20" x14ac:dyDescent="0.25">
      <c r="A1003" t="e">
        <f ca="1">BDP("736606HV Muni","ID_CUSIP")</f>
        <v>#NAME?</v>
      </c>
      <c r="B1003" t="e">
        <f ca="1">BDP("736606HV Muni","STATE_CODE")</f>
        <v>#NAME?</v>
      </c>
      <c r="C1003" t="s">
        <v>65</v>
      </c>
      <c r="D1003" t="e">
        <f ca="1">BDP("736606HV Muni","YIELD_ON_ISSUE_DATE")</f>
        <v>#NAME?</v>
      </c>
      <c r="E1003">
        <v>1045000</v>
      </c>
      <c r="F1003" t="e">
        <f ca="1">BDP("736606HV Muni","ISSUE_DT")</f>
        <v>#NAME?</v>
      </c>
      <c r="G1003" t="e">
        <f ca="1">BDP("736606HV Muni","MATURITY")</f>
        <v>#NAME?</v>
      </c>
      <c r="H1003" t="e">
        <f ca="1">BDP("736606HV Muni","MUNI_TAX_PROV")</f>
        <v>#NAME?</v>
      </c>
      <c r="I1003" t="e">
        <f ca="1">BDP("736606HV Muni","FINANCING_TYPE")</f>
        <v>#NAME?</v>
      </c>
      <c r="J1003" t="e">
        <f ca="1">BDP("736606HV Muni","BICS_LEVEL_2_INDUSTRY_GROUP_NAME")</f>
        <v>#NAME?</v>
      </c>
      <c r="K1003" t="e">
        <f ca="1">BDP("736606HV Muni","SELF_REPRTD_GREEN_INSTR_INDCTR")</f>
        <v>#NAME?</v>
      </c>
      <c r="L1003" t="e">
        <f ca="1">BDP("736606HV Muni","GB_MANAGEMENT_PROCEEDS")</f>
        <v>#NAME?</v>
      </c>
      <c r="M1003" t="e">
        <f ca="1">BDP("736606HV Muni","GB_REPORTING")</f>
        <v>#NAME?</v>
      </c>
      <c r="N1003" t="e">
        <f ca="1">BDP("736606HV Muni","GB_ASSURANCE_PROVIDERS")</f>
        <v>#NAME?</v>
      </c>
      <c r="O1003" t="e">
        <f ca="1">BDP("736606HV Muni","GB_PROJECT_SELECTION_PROCESS")</f>
        <v>#NAME?</v>
      </c>
      <c r="P1003" t="e">
        <f ca="1">BDP("736606HV Muni","ESG_FRAMEWORK_INDICATOR")</f>
        <v>#NAME?</v>
      </c>
      <c r="Q1003" t="e">
        <f ca="1">BDP("736606HV Muni","BLOOMBERG_SECTOR_CODE")</f>
        <v>#NAME?</v>
      </c>
      <c r="R1003" t="e">
        <f ca="1">BDP("736606HV Muni","ISSUER_TYPE")</f>
        <v>#NAME?</v>
      </c>
      <c r="S1003" t="e">
        <f ca="1">BDS("736606HV Muni","ESG_PROJECT_CATEGORY", "aggregate=y")</f>
        <v>#NAME?</v>
      </c>
      <c r="T1003" t="e">
        <f ca="1">BDS("736606HV Muni","ESG_PROJECT_SUBCATEGORY", "aggregate=y")</f>
        <v>#NAME?</v>
      </c>
    </row>
    <row r="1004" spans="1:20" x14ac:dyDescent="0.25">
      <c r="A1004" t="e">
        <f ca="1">BDP("736606JA Muni","ID_CUSIP")</f>
        <v>#NAME?</v>
      </c>
      <c r="B1004" t="e">
        <f ca="1">BDP("736606JA Muni","STATE_CODE")</f>
        <v>#NAME?</v>
      </c>
      <c r="C1004" t="s">
        <v>65</v>
      </c>
      <c r="D1004" t="e">
        <f ca="1">BDP("736606JA Muni","YIELD_ON_ISSUE_DATE")</f>
        <v>#NAME?</v>
      </c>
      <c r="E1004">
        <v>1045000</v>
      </c>
      <c r="F1004" t="e">
        <f ca="1">BDP("736606JA Muni","ISSUE_DT")</f>
        <v>#NAME?</v>
      </c>
      <c r="G1004" t="e">
        <f ca="1">BDP("736606JA Muni","MATURITY")</f>
        <v>#NAME?</v>
      </c>
      <c r="H1004" t="e">
        <f ca="1">BDP("736606JA Muni","MUNI_TAX_PROV")</f>
        <v>#NAME?</v>
      </c>
      <c r="I1004" t="e">
        <f ca="1">BDP("736606JA Muni","FINANCING_TYPE")</f>
        <v>#NAME?</v>
      </c>
      <c r="J1004" t="e">
        <f ca="1">BDP("736606JA Muni","BICS_LEVEL_2_INDUSTRY_GROUP_NAME")</f>
        <v>#NAME?</v>
      </c>
      <c r="K1004" t="e">
        <f ca="1">BDP("736606JA Muni","SELF_REPRTD_GREEN_INSTR_INDCTR")</f>
        <v>#NAME?</v>
      </c>
      <c r="L1004" t="e">
        <f ca="1">BDP("736606JA Muni","GB_MANAGEMENT_PROCEEDS")</f>
        <v>#NAME?</v>
      </c>
      <c r="M1004" t="e">
        <f ca="1">BDP("736606JA Muni","GB_REPORTING")</f>
        <v>#NAME?</v>
      </c>
      <c r="N1004" t="e">
        <f ca="1">BDP("736606JA Muni","GB_ASSURANCE_PROVIDERS")</f>
        <v>#NAME?</v>
      </c>
      <c r="O1004" t="e">
        <f ca="1">BDP("736606JA Muni","GB_PROJECT_SELECTION_PROCESS")</f>
        <v>#NAME?</v>
      </c>
      <c r="P1004" t="e">
        <f ca="1">BDP("736606JA Muni","ESG_FRAMEWORK_INDICATOR")</f>
        <v>#NAME?</v>
      </c>
      <c r="Q1004" t="e">
        <f ca="1">BDP("736606JA Muni","BLOOMBERG_SECTOR_CODE")</f>
        <v>#NAME?</v>
      </c>
      <c r="R1004" t="e">
        <f ca="1">BDP("736606JA Muni","ISSUER_TYPE")</f>
        <v>#NAME?</v>
      </c>
      <c r="S1004" t="e">
        <f ca="1">BDS("736606JA Muni","ESG_PROJECT_CATEGORY", "aggregate=y")</f>
        <v>#NAME?</v>
      </c>
      <c r="T1004" t="e">
        <f ca="1">BDS("736606JA Muni","ESG_PROJECT_SUBCATEGORY", "aggregate=y")</f>
        <v>#NAME?</v>
      </c>
    </row>
    <row r="1005" spans="1:20" x14ac:dyDescent="0.25">
      <c r="A1005" t="e">
        <f ca="1">BDP("27888WAJ Muni","ID_CUSIP")</f>
        <v>#NAME?</v>
      </c>
      <c r="B1005" t="e">
        <f ca="1">BDP("27888WAJ Muni","STATE_CODE")</f>
        <v>#NAME?</v>
      </c>
      <c r="C1005" t="s">
        <v>64</v>
      </c>
      <c r="D1005" t="e">
        <f ca="1">BDP("27888WAJ Muni","YIELD_ON_ISSUE_DATE")</f>
        <v>#NAME?</v>
      </c>
      <c r="E1005">
        <v>1490000</v>
      </c>
      <c r="F1005" t="e">
        <f ca="1">BDP("27888WAJ Muni","ISSUE_DT")</f>
        <v>#NAME?</v>
      </c>
      <c r="G1005" t="e">
        <f ca="1">BDP("27888WAJ Muni","MATURITY")</f>
        <v>#NAME?</v>
      </c>
      <c r="H1005" t="e">
        <f ca="1">BDP("27888WAJ Muni","MUNI_TAX_PROV")</f>
        <v>#NAME?</v>
      </c>
      <c r="I1005" t="e">
        <f ca="1">BDP("27888WAJ Muni","FINANCING_TYPE")</f>
        <v>#NAME?</v>
      </c>
      <c r="J1005" t="e">
        <f ca="1">BDP("27888WAJ Muni","BICS_LEVEL_2_INDUSTRY_GROUP_NAME")</f>
        <v>#NAME?</v>
      </c>
      <c r="K1005" t="e">
        <f ca="1">BDP("27888WAJ Muni","SELF_REPRTD_GREEN_INSTR_INDCTR")</f>
        <v>#NAME?</v>
      </c>
      <c r="L1005" t="e">
        <f ca="1">BDP("27888WAJ Muni","GB_MANAGEMENT_PROCEEDS")</f>
        <v>#NAME?</v>
      </c>
      <c r="M1005" t="e">
        <f ca="1">BDP("27888WAJ Muni","GB_REPORTING")</f>
        <v>#NAME?</v>
      </c>
      <c r="N1005" t="e">
        <f ca="1">BDP("27888WAJ Muni","GB_ASSURANCE_PROVIDERS")</f>
        <v>#NAME?</v>
      </c>
      <c r="O1005" t="e">
        <f ca="1">BDP("27888WAJ Muni","GB_PROJECT_SELECTION_PROCESS")</f>
        <v>#NAME?</v>
      </c>
      <c r="P1005" t="e">
        <f ca="1">BDP("27888WAJ Muni","ESG_FRAMEWORK_INDICATOR")</f>
        <v>#NAME?</v>
      </c>
      <c r="Q1005" t="e">
        <f ca="1">BDP("27888WAJ Muni","BLOOMBERG_SECTOR_CODE")</f>
        <v>#NAME?</v>
      </c>
      <c r="R1005" t="e">
        <f ca="1">BDP("27888WAJ Muni","ISSUER_TYPE")</f>
        <v>#NAME?</v>
      </c>
      <c r="S1005" t="e">
        <f ca="1">BDS("27888WAJ Muni","ESG_PROJECT_CATEGORY", "aggregate=y")</f>
        <v>#NAME?</v>
      </c>
      <c r="T1005" t="e">
        <f ca="1">BDS("27888WAJ Muni","ESG_PROJECT_SUBCATEGORY", "aggregate=y")</f>
        <v>#NAME?</v>
      </c>
    </row>
    <row r="1006" spans="1:20" x14ac:dyDescent="0.25">
      <c r="A1006" t="e">
        <f ca="1">BDP("27888WAP Muni","ID_CUSIP")</f>
        <v>#NAME?</v>
      </c>
      <c r="B1006" t="e">
        <f ca="1">BDP("27888WAP Muni","STATE_CODE")</f>
        <v>#NAME?</v>
      </c>
      <c r="C1006" t="s">
        <v>64</v>
      </c>
      <c r="D1006" t="e">
        <f ca="1">BDP("27888WAP Muni","YIELD_ON_ISSUE_DATE")</f>
        <v>#NAME?</v>
      </c>
      <c r="E1006">
        <v>1910000</v>
      </c>
      <c r="F1006" t="e">
        <f ca="1">BDP("27888WAP Muni","ISSUE_DT")</f>
        <v>#NAME?</v>
      </c>
      <c r="G1006" t="e">
        <f ca="1">BDP("27888WAP Muni","MATURITY")</f>
        <v>#NAME?</v>
      </c>
      <c r="H1006" t="e">
        <f ca="1">BDP("27888WAP Muni","MUNI_TAX_PROV")</f>
        <v>#NAME?</v>
      </c>
      <c r="I1006" t="e">
        <f ca="1">BDP("27888WAP Muni","FINANCING_TYPE")</f>
        <v>#NAME?</v>
      </c>
      <c r="J1006" t="e">
        <f ca="1">BDP("27888WAP Muni","BICS_LEVEL_2_INDUSTRY_GROUP_NAME")</f>
        <v>#NAME?</v>
      </c>
      <c r="K1006" t="e">
        <f ca="1">BDP("27888WAP Muni","SELF_REPRTD_GREEN_INSTR_INDCTR")</f>
        <v>#NAME?</v>
      </c>
      <c r="L1006" t="e">
        <f ca="1">BDP("27888WAP Muni","GB_MANAGEMENT_PROCEEDS")</f>
        <v>#NAME?</v>
      </c>
      <c r="M1006" t="e">
        <f ca="1">BDP("27888WAP Muni","GB_REPORTING")</f>
        <v>#NAME?</v>
      </c>
      <c r="N1006" t="e">
        <f ca="1">BDP("27888WAP Muni","GB_ASSURANCE_PROVIDERS")</f>
        <v>#NAME?</v>
      </c>
      <c r="O1006" t="e">
        <f ca="1">BDP("27888WAP Muni","GB_PROJECT_SELECTION_PROCESS")</f>
        <v>#NAME?</v>
      </c>
      <c r="P1006" t="e">
        <f ca="1">BDP("27888WAP Muni","ESG_FRAMEWORK_INDICATOR")</f>
        <v>#NAME?</v>
      </c>
      <c r="Q1006" t="e">
        <f ca="1">BDP("27888WAP Muni","BLOOMBERG_SECTOR_CODE")</f>
        <v>#NAME?</v>
      </c>
      <c r="R1006" t="e">
        <f ca="1">BDP("27888WAP Muni","ISSUER_TYPE")</f>
        <v>#NAME?</v>
      </c>
      <c r="S1006" t="e">
        <f ca="1">BDS("27888WAP Muni","ESG_PROJECT_CATEGORY", "aggregate=y")</f>
        <v>#NAME?</v>
      </c>
      <c r="T1006" t="e">
        <f ca="1">BDS("27888WAP Muni","ESG_PROJECT_SUBCATEGORY", "aggregate=y")</f>
        <v>#NAME?</v>
      </c>
    </row>
    <row r="1007" spans="1:20" x14ac:dyDescent="0.25">
      <c r="A1007" t="e">
        <f ca="1">BDP("736606HX Muni","ID_CUSIP")</f>
        <v>#NAME?</v>
      </c>
      <c r="B1007" t="e">
        <f ca="1">BDP("736606HX Muni","STATE_CODE")</f>
        <v>#NAME?</v>
      </c>
      <c r="C1007" t="s">
        <v>65</v>
      </c>
      <c r="D1007" t="e">
        <f ca="1">BDP("736606HX Muni","YIELD_ON_ISSUE_DATE")</f>
        <v>#NAME?</v>
      </c>
      <c r="E1007">
        <v>1045000</v>
      </c>
      <c r="F1007" t="e">
        <f ca="1">BDP("736606HX Muni","ISSUE_DT")</f>
        <v>#NAME?</v>
      </c>
      <c r="G1007" t="e">
        <f ca="1">BDP("736606HX Muni","MATURITY")</f>
        <v>#NAME?</v>
      </c>
      <c r="H1007" t="e">
        <f ca="1">BDP("736606HX Muni","MUNI_TAX_PROV")</f>
        <v>#NAME?</v>
      </c>
      <c r="I1007" t="e">
        <f ca="1">BDP("736606HX Muni","FINANCING_TYPE")</f>
        <v>#NAME?</v>
      </c>
      <c r="J1007" t="e">
        <f ca="1">BDP("736606HX Muni","BICS_LEVEL_2_INDUSTRY_GROUP_NAME")</f>
        <v>#NAME?</v>
      </c>
      <c r="K1007" t="e">
        <f ca="1">BDP("736606HX Muni","SELF_REPRTD_GREEN_INSTR_INDCTR")</f>
        <v>#NAME?</v>
      </c>
      <c r="L1007" t="e">
        <f ca="1">BDP("736606HX Muni","GB_MANAGEMENT_PROCEEDS")</f>
        <v>#NAME?</v>
      </c>
      <c r="M1007" t="e">
        <f ca="1">BDP("736606HX Muni","GB_REPORTING")</f>
        <v>#NAME?</v>
      </c>
      <c r="N1007" t="e">
        <f ca="1">BDP("736606HX Muni","GB_ASSURANCE_PROVIDERS")</f>
        <v>#NAME?</v>
      </c>
      <c r="O1007" t="e">
        <f ca="1">BDP("736606HX Muni","GB_PROJECT_SELECTION_PROCESS")</f>
        <v>#NAME?</v>
      </c>
      <c r="P1007" t="e">
        <f ca="1">BDP("736606HX Muni","ESG_FRAMEWORK_INDICATOR")</f>
        <v>#NAME?</v>
      </c>
      <c r="Q1007" t="e">
        <f ca="1">BDP("736606HX Muni","BLOOMBERG_SECTOR_CODE")</f>
        <v>#NAME?</v>
      </c>
      <c r="R1007" t="e">
        <f ca="1">BDP("736606HX Muni","ISSUER_TYPE")</f>
        <v>#NAME?</v>
      </c>
      <c r="S1007" t="e">
        <f ca="1">BDS("736606HX Muni","ESG_PROJECT_CATEGORY", "aggregate=y")</f>
        <v>#NAME?</v>
      </c>
      <c r="T1007" t="e">
        <f ca="1">BDS("736606HX Muni","ESG_PROJECT_SUBCATEGORY", "aggregate=y")</f>
        <v>#NAME?</v>
      </c>
    </row>
    <row r="1008" spans="1:20" x14ac:dyDescent="0.25">
      <c r="A1008" t="e">
        <f ca="1">BDP("736606HZ Muni","ID_CUSIP")</f>
        <v>#NAME?</v>
      </c>
      <c r="B1008" t="e">
        <f ca="1">BDP("736606HZ Muni","STATE_CODE")</f>
        <v>#NAME?</v>
      </c>
      <c r="C1008" t="s">
        <v>65</v>
      </c>
      <c r="D1008" t="e">
        <f ca="1">BDP("736606HZ Muni","YIELD_ON_ISSUE_DATE")</f>
        <v>#NAME?</v>
      </c>
      <c r="E1008">
        <v>1045000</v>
      </c>
      <c r="F1008" t="e">
        <f ca="1">BDP("736606HZ Muni","ISSUE_DT")</f>
        <v>#NAME?</v>
      </c>
      <c r="G1008" t="e">
        <f ca="1">BDP("736606HZ Muni","MATURITY")</f>
        <v>#NAME?</v>
      </c>
      <c r="H1008" t="e">
        <f ca="1">BDP("736606HZ Muni","MUNI_TAX_PROV")</f>
        <v>#NAME?</v>
      </c>
      <c r="I1008" t="e">
        <f ca="1">BDP("736606HZ Muni","FINANCING_TYPE")</f>
        <v>#NAME?</v>
      </c>
      <c r="J1008" t="e">
        <f ca="1">BDP("736606HZ Muni","BICS_LEVEL_2_INDUSTRY_GROUP_NAME")</f>
        <v>#NAME?</v>
      </c>
      <c r="K1008" t="e">
        <f ca="1">BDP("736606HZ Muni","SELF_REPRTD_GREEN_INSTR_INDCTR")</f>
        <v>#NAME?</v>
      </c>
      <c r="L1008" t="e">
        <f ca="1">BDP("736606HZ Muni","GB_MANAGEMENT_PROCEEDS")</f>
        <v>#NAME?</v>
      </c>
      <c r="M1008" t="e">
        <f ca="1">BDP("736606HZ Muni","GB_REPORTING")</f>
        <v>#NAME?</v>
      </c>
      <c r="N1008" t="e">
        <f ca="1">BDP("736606HZ Muni","GB_ASSURANCE_PROVIDERS")</f>
        <v>#NAME?</v>
      </c>
      <c r="O1008" t="e">
        <f ca="1">BDP("736606HZ Muni","GB_PROJECT_SELECTION_PROCESS")</f>
        <v>#NAME?</v>
      </c>
      <c r="P1008" t="e">
        <f ca="1">BDP("736606HZ Muni","ESG_FRAMEWORK_INDICATOR")</f>
        <v>#NAME?</v>
      </c>
      <c r="Q1008" t="e">
        <f ca="1">BDP("736606HZ Muni","BLOOMBERG_SECTOR_CODE")</f>
        <v>#NAME?</v>
      </c>
      <c r="R1008" t="e">
        <f ca="1">BDP("736606HZ Muni","ISSUER_TYPE")</f>
        <v>#NAME?</v>
      </c>
      <c r="S1008" t="e">
        <f ca="1">BDS("736606HZ Muni","ESG_PROJECT_CATEGORY", "aggregate=y")</f>
        <v>#NAME?</v>
      </c>
      <c r="T1008" t="e">
        <f ca="1">BDS("736606HZ Muni","ESG_PROJECT_SUBCATEGORY", "aggregate=y")</f>
        <v>#NAME?</v>
      </c>
    </row>
    <row r="1009" spans="1:20" x14ac:dyDescent="0.25">
      <c r="A1009" t="e">
        <f ca="1">BDP("736606HK Muni","ID_CUSIP")</f>
        <v>#NAME?</v>
      </c>
      <c r="B1009" t="e">
        <f ca="1">BDP("736606HK Muni","STATE_CODE")</f>
        <v>#NAME?</v>
      </c>
      <c r="C1009" t="s">
        <v>65</v>
      </c>
      <c r="D1009" t="e">
        <f ca="1">BDP("736606HK Muni","YIELD_ON_ISSUE_DATE")</f>
        <v>#NAME?</v>
      </c>
      <c r="E1009">
        <v>1050000</v>
      </c>
      <c r="F1009" t="e">
        <f ca="1">BDP("736606HK Muni","ISSUE_DT")</f>
        <v>#NAME?</v>
      </c>
      <c r="G1009" t="e">
        <f ca="1">BDP("736606HK Muni","MATURITY")</f>
        <v>#NAME?</v>
      </c>
      <c r="H1009" t="e">
        <f ca="1">BDP("736606HK Muni","MUNI_TAX_PROV")</f>
        <v>#NAME?</v>
      </c>
      <c r="I1009" t="e">
        <f ca="1">BDP("736606HK Muni","FINANCING_TYPE")</f>
        <v>#NAME?</v>
      </c>
      <c r="J1009" t="e">
        <f ca="1">BDP("736606HK Muni","BICS_LEVEL_2_INDUSTRY_GROUP_NAME")</f>
        <v>#NAME?</v>
      </c>
      <c r="K1009" t="e">
        <f ca="1">BDP("736606HK Muni","SELF_REPRTD_GREEN_INSTR_INDCTR")</f>
        <v>#NAME?</v>
      </c>
      <c r="L1009" t="e">
        <f ca="1">BDP("736606HK Muni","GB_MANAGEMENT_PROCEEDS")</f>
        <v>#NAME?</v>
      </c>
      <c r="M1009" t="e">
        <f ca="1">BDP("736606HK Muni","GB_REPORTING")</f>
        <v>#NAME?</v>
      </c>
      <c r="N1009" t="e">
        <f ca="1">BDP("736606HK Muni","GB_ASSURANCE_PROVIDERS")</f>
        <v>#NAME?</v>
      </c>
      <c r="O1009" t="e">
        <f ca="1">BDP("736606HK Muni","GB_PROJECT_SELECTION_PROCESS")</f>
        <v>#NAME?</v>
      </c>
      <c r="P1009" t="e">
        <f ca="1">BDP("736606HK Muni","ESG_FRAMEWORK_INDICATOR")</f>
        <v>#NAME?</v>
      </c>
      <c r="Q1009" t="e">
        <f ca="1">BDP("736606HK Muni","BLOOMBERG_SECTOR_CODE")</f>
        <v>#NAME?</v>
      </c>
      <c r="R1009" t="e">
        <f ca="1">BDP("736606HK Muni","ISSUER_TYPE")</f>
        <v>#NAME?</v>
      </c>
      <c r="S1009" t="e">
        <f ca="1">BDS("736606HK Muni","ESG_PROJECT_CATEGORY", "aggregate=y")</f>
        <v>#NAME?</v>
      </c>
      <c r="T1009" t="e">
        <f ca="1">BDS("736606HK Muni","ESG_PROJECT_SUBCATEGORY", "aggregate=y")</f>
        <v>#NAME?</v>
      </c>
    </row>
    <row r="1010" spans="1:20" x14ac:dyDescent="0.25">
      <c r="A1010" t="e">
        <f ca="1">BDP("736606HU Muni","ID_CUSIP")</f>
        <v>#NAME?</v>
      </c>
      <c r="B1010" t="e">
        <f ca="1">BDP("736606HU Muni","STATE_CODE")</f>
        <v>#NAME?</v>
      </c>
      <c r="C1010" t="s">
        <v>65</v>
      </c>
      <c r="D1010" t="e">
        <f ca="1">BDP("736606HU Muni","YIELD_ON_ISSUE_DATE")</f>
        <v>#NAME?</v>
      </c>
      <c r="E1010">
        <v>1045000</v>
      </c>
      <c r="F1010" t="e">
        <f ca="1">BDP("736606HU Muni","ISSUE_DT")</f>
        <v>#NAME?</v>
      </c>
      <c r="G1010" t="e">
        <f ca="1">BDP("736606HU Muni","MATURITY")</f>
        <v>#NAME?</v>
      </c>
      <c r="H1010" t="e">
        <f ca="1">BDP("736606HU Muni","MUNI_TAX_PROV")</f>
        <v>#NAME?</v>
      </c>
      <c r="I1010" t="e">
        <f ca="1">BDP("736606HU Muni","FINANCING_TYPE")</f>
        <v>#NAME?</v>
      </c>
      <c r="J1010" t="e">
        <f ca="1">BDP("736606HU Muni","BICS_LEVEL_2_INDUSTRY_GROUP_NAME")</f>
        <v>#NAME?</v>
      </c>
      <c r="K1010" t="e">
        <f ca="1">BDP("736606HU Muni","SELF_REPRTD_GREEN_INSTR_INDCTR")</f>
        <v>#NAME?</v>
      </c>
      <c r="L1010" t="e">
        <f ca="1">BDP("736606HU Muni","GB_MANAGEMENT_PROCEEDS")</f>
        <v>#NAME?</v>
      </c>
      <c r="M1010" t="e">
        <f ca="1">BDP("736606HU Muni","GB_REPORTING")</f>
        <v>#NAME?</v>
      </c>
      <c r="N1010" t="e">
        <f ca="1">BDP("736606HU Muni","GB_ASSURANCE_PROVIDERS")</f>
        <v>#NAME?</v>
      </c>
      <c r="O1010" t="e">
        <f ca="1">BDP("736606HU Muni","GB_PROJECT_SELECTION_PROCESS")</f>
        <v>#NAME?</v>
      </c>
      <c r="P1010" t="e">
        <f ca="1">BDP("736606HU Muni","ESG_FRAMEWORK_INDICATOR")</f>
        <v>#NAME?</v>
      </c>
      <c r="Q1010" t="e">
        <f ca="1">BDP("736606HU Muni","BLOOMBERG_SECTOR_CODE")</f>
        <v>#NAME?</v>
      </c>
      <c r="R1010" t="e">
        <f ca="1">BDP("736606HU Muni","ISSUER_TYPE")</f>
        <v>#NAME?</v>
      </c>
      <c r="S1010" t="e">
        <f ca="1">BDS("736606HU Muni","ESG_PROJECT_CATEGORY", "aggregate=y")</f>
        <v>#NAME?</v>
      </c>
      <c r="T1010" t="e">
        <f ca="1">BDS("736606HU Muni","ESG_PROJECT_SUBCATEGORY", "aggregate=y")</f>
        <v>#NAME?</v>
      </c>
    </row>
    <row r="1011" spans="1:20" x14ac:dyDescent="0.25">
      <c r="A1011" t="e">
        <f ca="1">BDP("27888WAG Muni","ID_CUSIP")</f>
        <v>#NAME?</v>
      </c>
      <c r="B1011" t="e">
        <f ca="1">BDP("27888WAG Muni","STATE_CODE")</f>
        <v>#NAME?</v>
      </c>
      <c r="C1011" t="s">
        <v>64</v>
      </c>
      <c r="D1011" t="e">
        <f ca="1">BDP("27888WAG Muni","YIELD_ON_ISSUE_DATE")</f>
        <v>#NAME?</v>
      </c>
      <c r="E1011">
        <v>2395000</v>
      </c>
      <c r="F1011" t="e">
        <f ca="1">BDP("27888WAG Muni","ISSUE_DT")</f>
        <v>#NAME?</v>
      </c>
      <c r="G1011" t="e">
        <f ca="1">BDP("27888WAG Muni","MATURITY")</f>
        <v>#NAME?</v>
      </c>
      <c r="H1011" t="e">
        <f ca="1">BDP("27888WAG Muni","MUNI_TAX_PROV")</f>
        <v>#NAME?</v>
      </c>
      <c r="I1011" t="e">
        <f ca="1">BDP("27888WAG Muni","FINANCING_TYPE")</f>
        <v>#NAME?</v>
      </c>
      <c r="J1011" t="e">
        <f ca="1">BDP("27888WAG Muni","BICS_LEVEL_2_INDUSTRY_GROUP_NAME")</f>
        <v>#NAME?</v>
      </c>
      <c r="K1011" t="e">
        <f ca="1">BDP("27888WAG Muni","SELF_REPRTD_GREEN_INSTR_INDCTR")</f>
        <v>#NAME?</v>
      </c>
      <c r="L1011" t="e">
        <f ca="1">BDP("27888WAG Muni","GB_MANAGEMENT_PROCEEDS")</f>
        <v>#NAME?</v>
      </c>
      <c r="M1011" t="e">
        <f ca="1">BDP("27888WAG Muni","GB_REPORTING")</f>
        <v>#NAME?</v>
      </c>
      <c r="N1011" t="e">
        <f ca="1">BDP("27888WAG Muni","GB_ASSURANCE_PROVIDERS")</f>
        <v>#NAME?</v>
      </c>
      <c r="O1011" t="e">
        <f ca="1">BDP("27888WAG Muni","GB_PROJECT_SELECTION_PROCESS")</f>
        <v>#NAME?</v>
      </c>
      <c r="P1011" t="e">
        <f ca="1">BDP("27888WAG Muni","ESG_FRAMEWORK_INDICATOR")</f>
        <v>#NAME?</v>
      </c>
      <c r="Q1011" t="e">
        <f ca="1">BDP("27888WAG Muni","BLOOMBERG_SECTOR_CODE")</f>
        <v>#NAME?</v>
      </c>
      <c r="R1011" t="e">
        <f ca="1">BDP("27888WAG Muni","ISSUER_TYPE")</f>
        <v>#NAME?</v>
      </c>
      <c r="S1011" t="e">
        <f ca="1">BDS("27888WAG Muni","ESG_PROJECT_CATEGORY", "aggregate=y")</f>
        <v>#NAME?</v>
      </c>
      <c r="T1011" t="e">
        <f ca="1">BDS("27888WAG Muni","ESG_PROJECT_SUBCATEGORY", "aggregate=y")</f>
        <v>#NAME?</v>
      </c>
    </row>
    <row r="1012" spans="1:20" x14ac:dyDescent="0.25">
      <c r="A1012" t="e">
        <f ca="1">BDP("736606HJ Muni","ID_CUSIP")</f>
        <v>#NAME?</v>
      </c>
      <c r="B1012" t="e">
        <f ca="1">BDP("736606HJ Muni","STATE_CODE")</f>
        <v>#NAME?</v>
      </c>
      <c r="C1012" t="s">
        <v>65</v>
      </c>
      <c r="D1012" t="e">
        <f ca="1">BDP("736606HJ Muni","YIELD_ON_ISSUE_DATE")</f>
        <v>#NAME?</v>
      </c>
      <c r="E1012">
        <v>1050000</v>
      </c>
      <c r="F1012" t="e">
        <f ca="1">BDP("736606HJ Muni","ISSUE_DT")</f>
        <v>#NAME?</v>
      </c>
      <c r="G1012" t="e">
        <f ca="1">BDP("736606HJ Muni","MATURITY")</f>
        <v>#NAME?</v>
      </c>
      <c r="H1012" t="e">
        <f ca="1">BDP("736606HJ Muni","MUNI_TAX_PROV")</f>
        <v>#NAME?</v>
      </c>
      <c r="I1012" t="e">
        <f ca="1">BDP("736606HJ Muni","FINANCING_TYPE")</f>
        <v>#NAME?</v>
      </c>
      <c r="J1012" t="e">
        <f ca="1">BDP("736606HJ Muni","BICS_LEVEL_2_INDUSTRY_GROUP_NAME")</f>
        <v>#NAME?</v>
      </c>
      <c r="K1012" t="e">
        <f ca="1">BDP("736606HJ Muni","SELF_REPRTD_GREEN_INSTR_INDCTR")</f>
        <v>#NAME?</v>
      </c>
      <c r="L1012" t="e">
        <f ca="1">BDP("736606HJ Muni","GB_MANAGEMENT_PROCEEDS")</f>
        <v>#NAME?</v>
      </c>
      <c r="M1012" t="e">
        <f ca="1">BDP("736606HJ Muni","GB_REPORTING")</f>
        <v>#NAME?</v>
      </c>
      <c r="N1012" t="e">
        <f ca="1">BDP("736606HJ Muni","GB_ASSURANCE_PROVIDERS")</f>
        <v>#NAME?</v>
      </c>
      <c r="O1012" t="e">
        <f ca="1">BDP("736606HJ Muni","GB_PROJECT_SELECTION_PROCESS")</f>
        <v>#NAME?</v>
      </c>
      <c r="P1012" t="e">
        <f ca="1">BDP("736606HJ Muni","ESG_FRAMEWORK_INDICATOR")</f>
        <v>#NAME?</v>
      </c>
      <c r="Q1012" t="e">
        <f ca="1">BDP("736606HJ Muni","BLOOMBERG_SECTOR_CODE")</f>
        <v>#NAME?</v>
      </c>
      <c r="R1012" t="e">
        <f ca="1">BDP("736606HJ Muni","ISSUER_TYPE")</f>
        <v>#NAME?</v>
      </c>
      <c r="S1012" t="e">
        <f ca="1">BDS("736606HJ Muni","ESG_PROJECT_CATEGORY", "aggregate=y")</f>
        <v>#NAME?</v>
      </c>
      <c r="T1012" t="e">
        <f ca="1">BDS("736606HJ Muni","ESG_PROJECT_SUBCATEGORY", "aggregate=y")</f>
        <v>#NAME?</v>
      </c>
    </row>
    <row r="1013" spans="1:20" x14ac:dyDescent="0.25">
      <c r="A1013" t="e">
        <f ca="1">BDP("27888WAF Muni","ID_CUSIP")</f>
        <v>#NAME?</v>
      </c>
      <c r="B1013" t="e">
        <f ca="1">BDP("27888WAF Muni","STATE_CODE")</f>
        <v>#NAME?</v>
      </c>
      <c r="C1013" t="s">
        <v>64</v>
      </c>
      <c r="D1013" t="e">
        <f ca="1">BDP("27888WAF Muni","YIELD_ON_ISSUE_DATE")</f>
        <v>#NAME?</v>
      </c>
      <c r="E1013">
        <v>2280000</v>
      </c>
      <c r="F1013" t="e">
        <f ca="1">BDP("27888WAF Muni","ISSUE_DT")</f>
        <v>#NAME?</v>
      </c>
      <c r="G1013" t="e">
        <f ca="1">BDP("27888WAF Muni","MATURITY")</f>
        <v>#NAME?</v>
      </c>
      <c r="H1013" t="e">
        <f ca="1">BDP("27888WAF Muni","MUNI_TAX_PROV")</f>
        <v>#NAME?</v>
      </c>
      <c r="I1013" t="e">
        <f ca="1">BDP("27888WAF Muni","FINANCING_TYPE")</f>
        <v>#NAME?</v>
      </c>
      <c r="J1013" t="e">
        <f ca="1">BDP("27888WAF Muni","BICS_LEVEL_2_INDUSTRY_GROUP_NAME")</f>
        <v>#NAME?</v>
      </c>
      <c r="K1013" t="e">
        <f ca="1">BDP("27888WAF Muni","SELF_REPRTD_GREEN_INSTR_INDCTR")</f>
        <v>#NAME?</v>
      </c>
      <c r="L1013" t="e">
        <f ca="1">BDP("27888WAF Muni","GB_MANAGEMENT_PROCEEDS")</f>
        <v>#NAME?</v>
      </c>
      <c r="M1013" t="e">
        <f ca="1">BDP("27888WAF Muni","GB_REPORTING")</f>
        <v>#NAME?</v>
      </c>
      <c r="N1013" t="e">
        <f ca="1">BDP("27888WAF Muni","GB_ASSURANCE_PROVIDERS")</f>
        <v>#NAME?</v>
      </c>
      <c r="O1013" t="e">
        <f ca="1">BDP("27888WAF Muni","GB_PROJECT_SELECTION_PROCESS")</f>
        <v>#NAME?</v>
      </c>
      <c r="P1013" t="e">
        <f ca="1">BDP("27888WAF Muni","ESG_FRAMEWORK_INDICATOR")</f>
        <v>#NAME?</v>
      </c>
      <c r="Q1013" t="e">
        <f ca="1">BDP("27888WAF Muni","BLOOMBERG_SECTOR_CODE")</f>
        <v>#NAME?</v>
      </c>
      <c r="R1013" t="e">
        <f ca="1">BDP("27888WAF Muni","ISSUER_TYPE")</f>
        <v>#NAME?</v>
      </c>
      <c r="S1013" t="e">
        <f ca="1">BDS("27888WAF Muni","ESG_PROJECT_CATEGORY", "aggregate=y")</f>
        <v>#NAME?</v>
      </c>
      <c r="T1013" t="e">
        <f ca="1">BDS("27888WAF Muni","ESG_PROJECT_SUBCATEGORY", "aggregate=y")</f>
        <v>#NAME?</v>
      </c>
    </row>
    <row r="1014" spans="1:20" x14ac:dyDescent="0.25">
      <c r="A1014" t="e">
        <f ca="1">BDP("27888WAL Muni","ID_CUSIP")</f>
        <v>#NAME?</v>
      </c>
      <c r="B1014" t="e">
        <f ca="1">BDP("27888WAL Muni","STATE_CODE")</f>
        <v>#NAME?</v>
      </c>
      <c r="C1014" t="s">
        <v>64</v>
      </c>
      <c r="D1014" t="e">
        <f ca="1">BDP("27888WAL Muni","YIELD_ON_ISSUE_DATE")</f>
        <v>#NAME?</v>
      </c>
      <c r="E1014">
        <v>1645000</v>
      </c>
      <c r="F1014" t="e">
        <f ca="1">BDP("27888WAL Muni","ISSUE_DT")</f>
        <v>#NAME?</v>
      </c>
      <c r="G1014" t="e">
        <f ca="1">BDP("27888WAL Muni","MATURITY")</f>
        <v>#NAME?</v>
      </c>
      <c r="H1014" t="e">
        <f ca="1">BDP("27888WAL Muni","MUNI_TAX_PROV")</f>
        <v>#NAME?</v>
      </c>
      <c r="I1014" t="e">
        <f ca="1">BDP("27888WAL Muni","FINANCING_TYPE")</f>
        <v>#NAME?</v>
      </c>
      <c r="J1014" t="e">
        <f ca="1">BDP("27888WAL Muni","BICS_LEVEL_2_INDUSTRY_GROUP_NAME")</f>
        <v>#NAME?</v>
      </c>
      <c r="K1014" t="e">
        <f ca="1">BDP("27888WAL Muni","SELF_REPRTD_GREEN_INSTR_INDCTR")</f>
        <v>#NAME?</v>
      </c>
      <c r="L1014" t="e">
        <f ca="1">BDP("27888WAL Muni","GB_MANAGEMENT_PROCEEDS")</f>
        <v>#NAME?</v>
      </c>
      <c r="M1014" t="e">
        <f ca="1">BDP("27888WAL Muni","GB_REPORTING")</f>
        <v>#NAME?</v>
      </c>
      <c r="N1014" t="e">
        <f ca="1">BDP("27888WAL Muni","GB_ASSURANCE_PROVIDERS")</f>
        <v>#NAME?</v>
      </c>
      <c r="O1014" t="e">
        <f ca="1">BDP("27888WAL Muni","GB_PROJECT_SELECTION_PROCESS")</f>
        <v>#NAME?</v>
      </c>
      <c r="P1014" t="e">
        <f ca="1">BDP("27888WAL Muni","ESG_FRAMEWORK_INDICATOR")</f>
        <v>#NAME?</v>
      </c>
      <c r="Q1014" t="e">
        <f ca="1">BDP("27888WAL Muni","BLOOMBERG_SECTOR_CODE")</f>
        <v>#NAME?</v>
      </c>
      <c r="R1014" t="e">
        <f ca="1">BDP("27888WAL Muni","ISSUER_TYPE")</f>
        <v>#NAME?</v>
      </c>
      <c r="S1014" t="e">
        <f ca="1">BDS("27888WAL Muni","ESG_PROJECT_CATEGORY", "aggregate=y")</f>
        <v>#NAME?</v>
      </c>
      <c r="T1014" t="e">
        <f ca="1">BDS("27888WAL Muni","ESG_PROJECT_SUBCATEGORY", "aggregate=y")</f>
        <v>#NAME?</v>
      </c>
    </row>
    <row r="1015" spans="1:20" x14ac:dyDescent="0.25">
      <c r="A1015" t="e">
        <f ca="1">BDP("27888WAR Muni","ID_CUSIP")</f>
        <v>#NAME?</v>
      </c>
      <c r="B1015" t="e">
        <f ca="1">BDP("27888WAR Muni","STATE_CODE")</f>
        <v>#NAME?</v>
      </c>
      <c r="C1015" t="s">
        <v>64</v>
      </c>
      <c r="D1015" t="e">
        <f ca="1">BDP("27888WAR Muni","YIELD_ON_ISSUE_DATE")</f>
        <v>#NAME?</v>
      </c>
      <c r="E1015">
        <v>1875000</v>
      </c>
      <c r="F1015" t="e">
        <f ca="1">BDP("27888WAR Muni","ISSUE_DT")</f>
        <v>#NAME?</v>
      </c>
      <c r="G1015" t="e">
        <f ca="1">BDP("27888WAR Muni","MATURITY")</f>
        <v>#NAME?</v>
      </c>
      <c r="H1015" t="e">
        <f ca="1">BDP("27888WAR Muni","MUNI_TAX_PROV")</f>
        <v>#NAME?</v>
      </c>
      <c r="I1015" t="e">
        <f ca="1">BDP("27888WAR Muni","FINANCING_TYPE")</f>
        <v>#NAME?</v>
      </c>
      <c r="J1015" t="e">
        <f ca="1">BDP("27888WAR Muni","BICS_LEVEL_2_INDUSTRY_GROUP_NAME")</f>
        <v>#NAME?</v>
      </c>
      <c r="K1015" t="e">
        <f ca="1">BDP("27888WAR Muni","SELF_REPRTD_GREEN_INSTR_INDCTR")</f>
        <v>#NAME?</v>
      </c>
      <c r="L1015" t="e">
        <f ca="1">BDP("27888WAR Muni","GB_MANAGEMENT_PROCEEDS")</f>
        <v>#NAME?</v>
      </c>
      <c r="M1015" t="e">
        <f ca="1">BDP("27888WAR Muni","GB_REPORTING")</f>
        <v>#NAME?</v>
      </c>
      <c r="N1015" t="e">
        <f ca="1">BDP("27888WAR Muni","GB_ASSURANCE_PROVIDERS")</f>
        <v>#NAME?</v>
      </c>
      <c r="O1015" t="e">
        <f ca="1">BDP("27888WAR Muni","GB_PROJECT_SELECTION_PROCESS")</f>
        <v>#NAME?</v>
      </c>
      <c r="P1015" t="e">
        <f ca="1">BDP("27888WAR Muni","ESG_FRAMEWORK_INDICATOR")</f>
        <v>#NAME?</v>
      </c>
      <c r="Q1015" t="e">
        <f ca="1">BDP("27888WAR Muni","BLOOMBERG_SECTOR_CODE")</f>
        <v>#NAME?</v>
      </c>
      <c r="R1015" t="e">
        <f ca="1">BDP("27888WAR Muni","ISSUER_TYPE")</f>
        <v>#NAME?</v>
      </c>
      <c r="S1015" t="e">
        <f ca="1">BDS("27888WAR Muni","ESG_PROJECT_CATEGORY", "aggregate=y")</f>
        <v>#NAME?</v>
      </c>
      <c r="T1015" t="e">
        <f ca="1">BDS("27888WAR Muni","ESG_PROJECT_SUBCATEGORY", "aggregate=y")</f>
        <v>#NAME?</v>
      </c>
    </row>
    <row r="1016" spans="1:20" x14ac:dyDescent="0.25">
      <c r="A1016" t="e">
        <f ca="1">BDP("27888WAQ Muni","ID_CUSIP")</f>
        <v>#NAME?</v>
      </c>
      <c r="B1016" t="e">
        <f ca="1">BDP("27888WAQ Muni","STATE_CODE")</f>
        <v>#NAME?</v>
      </c>
      <c r="C1016" t="s">
        <v>64</v>
      </c>
      <c r="D1016" t="e">
        <f ca="1">BDP("27888WAQ Muni","YIELD_ON_ISSUE_DATE")</f>
        <v>#NAME?</v>
      </c>
      <c r="E1016">
        <v>2000000</v>
      </c>
      <c r="F1016" t="e">
        <f ca="1">BDP("27888WAQ Muni","ISSUE_DT")</f>
        <v>#NAME?</v>
      </c>
      <c r="G1016" t="e">
        <f ca="1">BDP("27888WAQ Muni","MATURITY")</f>
        <v>#NAME?</v>
      </c>
      <c r="H1016" t="e">
        <f ca="1">BDP("27888WAQ Muni","MUNI_TAX_PROV")</f>
        <v>#NAME?</v>
      </c>
      <c r="I1016" t="e">
        <f ca="1">BDP("27888WAQ Muni","FINANCING_TYPE")</f>
        <v>#NAME?</v>
      </c>
      <c r="J1016" t="e">
        <f ca="1">BDP("27888WAQ Muni","BICS_LEVEL_2_INDUSTRY_GROUP_NAME")</f>
        <v>#NAME?</v>
      </c>
      <c r="K1016" t="e">
        <f ca="1">BDP("27888WAQ Muni","SELF_REPRTD_GREEN_INSTR_INDCTR")</f>
        <v>#NAME?</v>
      </c>
      <c r="L1016" t="e">
        <f ca="1">BDP("27888WAQ Muni","GB_MANAGEMENT_PROCEEDS")</f>
        <v>#NAME?</v>
      </c>
      <c r="M1016" t="e">
        <f ca="1">BDP("27888WAQ Muni","GB_REPORTING")</f>
        <v>#NAME?</v>
      </c>
      <c r="N1016" t="e">
        <f ca="1">BDP("27888WAQ Muni","GB_ASSURANCE_PROVIDERS")</f>
        <v>#NAME?</v>
      </c>
      <c r="O1016" t="e">
        <f ca="1">BDP("27888WAQ Muni","GB_PROJECT_SELECTION_PROCESS")</f>
        <v>#NAME?</v>
      </c>
      <c r="P1016" t="e">
        <f ca="1">BDP("27888WAQ Muni","ESG_FRAMEWORK_INDICATOR")</f>
        <v>#NAME?</v>
      </c>
      <c r="Q1016" t="e">
        <f ca="1">BDP("27888WAQ Muni","BLOOMBERG_SECTOR_CODE")</f>
        <v>#NAME?</v>
      </c>
      <c r="R1016" t="e">
        <f ca="1">BDP("27888WAQ Muni","ISSUER_TYPE")</f>
        <v>#NAME?</v>
      </c>
      <c r="S1016" t="e">
        <f ca="1">BDS("27888WAQ Muni","ESG_PROJECT_CATEGORY", "aggregate=y")</f>
        <v>#NAME?</v>
      </c>
      <c r="T1016" t="e">
        <f ca="1">BDS("27888WAQ Muni","ESG_PROJECT_SUBCATEGORY", "aggregate=y")</f>
        <v>#NAME?</v>
      </c>
    </row>
    <row r="1017" spans="1:20" x14ac:dyDescent="0.25">
      <c r="A1017" t="e">
        <f ca="1">BDP("736606HG Muni","ID_CUSIP")</f>
        <v>#NAME?</v>
      </c>
      <c r="B1017" t="e">
        <f ca="1">BDP("736606HG Muni","STATE_CODE")</f>
        <v>#NAME?</v>
      </c>
      <c r="C1017" t="s">
        <v>65</v>
      </c>
      <c r="D1017" t="e">
        <f ca="1">BDP("736606HG Muni","YIELD_ON_ISSUE_DATE")</f>
        <v>#NAME?</v>
      </c>
      <c r="E1017">
        <v>1050000</v>
      </c>
      <c r="F1017" t="e">
        <f ca="1">BDP("736606HG Muni","ISSUE_DT")</f>
        <v>#NAME?</v>
      </c>
      <c r="G1017" t="e">
        <f ca="1">BDP("736606HG Muni","MATURITY")</f>
        <v>#NAME?</v>
      </c>
      <c r="H1017" t="e">
        <f ca="1">BDP("736606HG Muni","MUNI_TAX_PROV")</f>
        <v>#NAME?</v>
      </c>
      <c r="I1017" t="e">
        <f ca="1">BDP("736606HG Muni","FINANCING_TYPE")</f>
        <v>#NAME?</v>
      </c>
      <c r="J1017" t="e">
        <f ca="1">BDP("736606HG Muni","BICS_LEVEL_2_INDUSTRY_GROUP_NAME")</f>
        <v>#NAME?</v>
      </c>
      <c r="K1017" t="e">
        <f ca="1">BDP("736606HG Muni","SELF_REPRTD_GREEN_INSTR_INDCTR")</f>
        <v>#NAME?</v>
      </c>
      <c r="L1017" t="e">
        <f ca="1">BDP("736606HG Muni","GB_MANAGEMENT_PROCEEDS")</f>
        <v>#NAME?</v>
      </c>
      <c r="M1017" t="e">
        <f ca="1">BDP("736606HG Muni","GB_REPORTING")</f>
        <v>#NAME?</v>
      </c>
      <c r="N1017" t="e">
        <f ca="1">BDP("736606HG Muni","GB_ASSURANCE_PROVIDERS")</f>
        <v>#NAME?</v>
      </c>
      <c r="O1017" t="e">
        <f ca="1">BDP("736606HG Muni","GB_PROJECT_SELECTION_PROCESS")</f>
        <v>#NAME?</v>
      </c>
      <c r="P1017" t="e">
        <f ca="1">BDP("736606HG Muni","ESG_FRAMEWORK_INDICATOR")</f>
        <v>#NAME?</v>
      </c>
      <c r="Q1017" t="e">
        <f ca="1">BDP("736606HG Muni","BLOOMBERG_SECTOR_CODE")</f>
        <v>#NAME?</v>
      </c>
      <c r="R1017" t="e">
        <f ca="1">BDP("736606HG Muni","ISSUER_TYPE")</f>
        <v>#NAME?</v>
      </c>
      <c r="S1017" t="e">
        <f ca="1">BDS("736606HG Muni","ESG_PROJECT_CATEGORY", "aggregate=y")</f>
        <v>#NAME?</v>
      </c>
      <c r="T1017" t="e">
        <f ca="1">BDS("736606HG Muni","ESG_PROJECT_SUBCATEGORY", "aggregate=y")</f>
        <v>#NAME?</v>
      </c>
    </row>
    <row r="1018" spans="1:20" x14ac:dyDescent="0.25">
      <c r="A1018" t="e">
        <f ca="1">BDP("27888WAM Muni","ID_CUSIP")</f>
        <v>#NAME?</v>
      </c>
      <c r="B1018" t="e">
        <f ca="1">BDP("27888WAM Muni","STATE_CODE")</f>
        <v>#NAME?</v>
      </c>
      <c r="C1018" t="s">
        <v>64</v>
      </c>
      <c r="D1018" t="e">
        <f ca="1">BDP("27888WAM Muni","YIELD_ON_ISSUE_DATE")</f>
        <v>#NAME?</v>
      </c>
      <c r="E1018">
        <v>1730000</v>
      </c>
      <c r="F1018" t="e">
        <f ca="1">BDP("27888WAM Muni","ISSUE_DT")</f>
        <v>#NAME?</v>
      </c>
      <c r="G1018" t="e">
        <f ca="1">BDP("27888WAM Muni","MATURITY")</f>
        <v>#NAME?</v>
      </c>
      <c r="H1018" t="e">
        <f ca="1">BDP("27888WAM Muni","MUNI_TAX_PROV")</f>
        <v>#NAME?</v>
      </c>
      <c r="I1018" t="e">
        <f ca="1">BDP("27888WAM Muni","FINANCING_TYPE")</f>
        <v>#NAME?</v>
      </c>
      <c r="J1018" t="e">
        <f ca="1">BDP("27888WAM Muni","BICS_LEVEL_2_INDUSTRY_GROUP_NAME")</f>
        <v>#NAME?</v>
      </c>
      <c r="K1018" t="e">
        <f ca="1">BDP("27888WAM Muni","SELF_REPRTD_GREEN_INSTR_INDCTR")</f>
        <v>#NAME?</v>
      </c>
      <c r="L1018" t="e">
        <f ca="1">BDP("27888WAM Muni","GB_MANAGEMENT_PROCEEDS")</f>
        <v>#NAME?</v>
      </c>
      <c r="M1018" t="e">
        <f ca="1">BDP("27888WAM Muni","GB_REPORTING")</f>
        <v>#NAME?</v>
      </c>
      <c r="N1018" t="e">
        <f ca="1">BDP("27888WAM Muni","GB_ASSURANCE_PROVIDERS")</f>
        <v>#NAME?</v>
      </c>
      <c r="O1018" t="e">
        <f ca="1">BDP("27888WAM Muni","GB_PROJECT_SELECTION_PROCESS")</f>
        <v>#NAME?</v>
      </c>
      <c r="P1018" t="e">
        <f ca="1">BDP("27888WAM Muni","ESG_FRAMEWORK_INDICATOR")</f>
        <v>#NAME?</v>
      </c>
      <c r="Q1018" t="e">
        <f ca="1">BDP("27888WAM Muni","BLOOMBERG_SECTOR_CODE")</f>
        <v>#NAME?</v>
      </c>
      <c r="R1018" t="e">
        <f ca="1">BDP("27888WAM Muni","ISSUER_TYPE")</f>
        <v>#NAME?</v>
      </c>
      <c r="S1018" t="e">
        <f ca="1">BDS("27888WAM Muni","ESG_PROJECT_CATEGORY", "aggregate=y")</f>
        <v>#NAME?</v>
      </c>
      <c r="T1018" t="e">
        <f ca="1">BDS("27888WAM Muni","ESG_PROJECT_SUBCATEGORY", "aggregate=y")</f>
        <v>#NAME?</v>
      </c>
    </row>
    <row r="1019" spans="1:20" x14ac:dyDescent="0.25">
      <c r="A1019" t="e">
        <f ca="1">BDP("736606HN Muni","ID_CUSIP")</f>
        <v>#NAME?</v>
      </c>
      <c r="B1019" t="e">
        <f ca="1">BDP("736606HN Muni","STATE_CODE")</f>
        <v>#NAME?</v>
      </c>
      <c r="C1019" t="s">
        <v>65</v>
      </c>
      <c r="D1019" t="e">
        <f ca="1">BDP("736606HN Muni","YIELD_ON_ISSUE_DATE")</f>
        <v>#NAME?</v>
      </c>
      <c r="E1019">
        <v>1045000</v>
      </c>
      <c r="F1019" t="e">
        <f ca="1">BDP("736606HN Muni","ISSUE_DT")</f>
        <v>#NAME?</v>
      </c>
      <c r="G1019" t="e">
        <f ca="1">BDP("736606HN Muni","MATURITY")</f>
        <v>#NAME?</v>
      </c>
      <c r="H1019" t="e">
        <f ca="1">BDP("736606HN Muni","MUNI_TAX_PROV")</f>
        <v>#NAME?</v>
      </c>
      <c r="I1019" t="e">
        <f ca="1">BDP("736606HN Muni","FINANCING_TYPE")</f>
        <v>#NAME?</v>
      </c>
      <c r="J1019" t="e">
        <f ca="1">BDP("736606HN Muni","BICS_LEVEL_2_INDUSTRY_GROUP_NAME")</f>
        <v>#NAME?</v>
      </c>
      <c r="K1019" t="e">
        <f ca="1">BDP("736606HN Muni","SELF_REPRTD_GREEN_INSTR_INDCTR")</f>
        <v>#NAME?</v>
      </c>
      <c r="L1019" t="e">
        <f ca="1">BDP("736606HN Muni","GB_MANAGEMENT_PROCEEDS")</f>
        <v>#NAME?</v>
      </c>
      <c r="M1019" t="e">
        <f ca="1">BDP("736606HN Muni","GB_REPORTING")</f>
        <v>#NAME?</v>
      </c>
      <c r="N1019" t="e">
        <f ca="1">BDP("736606HN Muni","GB_ASSURANCE_PROVIDERS")</f>
        <v>#NAME?</v>
      </c>
      <c r="O1019" t="e">
        <f ca="1">BDP("736606HN Muni","GB_PROJECT_SELECTION_PROCESS")</f>
        <v>#NAME?</v>
      </c>
      <c r="P1019" t="e">
        <f ca="1">BDP("736606HN Muni","ESG_FRAMEWORK_INDICATOR")</f>
        <v>#NAME?</v>
      </c>
      <c r="Q1019" t="e">
        <f ca="1">BDP("736606HN Muni","BLOOMBERG_SECTOR_CODE")</f>
        <v>#NAME?</v>
      </c>
      <c r="R1019" t="e">
        <f ca="1">BDP("736606HN Muni","ISSUER_TYPE")</f>
        <v>#NAME?</v>
      </c>
      <c r="S1019" t="e">
        <f ca="1">BDS("736606HN Muni","ESG_PROJECT_CATEGORY", "aggregate=y")</f>
        <v>#NAME?</v>
      </c>
      <c r="T1019" t="e">
        <f ca="1">BDS("736606HN Muni","ESG_PROJECT_SUBCATEGORY", "aggregate=y")</f>
        <v>#NAME?</v>
      </c>
    </row>
    <row r="1020" spans="1:20" x14ac:dyDescent="0.25">
      <c r="A1020" t="e">
        <f ca="1">BDP("736606JB Muni","ID_CUSIP")</f>
        <v>#NAME?</v>
      </c>
      <c r="B1020" t="e">
        <f ca="1">BDP("736606JB Muni","STATE_CODE")</f>
        <v>#NAME?</v>
      </c>
      <c r="C1020" t="s">
        <v>65</v>
      </c>
      <c r="D1020" t="e">
        <f ca="1">BDP("736606JB Muni","YIELD_ON_ISSUE_DATE")</f>
        <v>#NAME?</v>
      </c>
      <c r="E1020">
        <v>1045000</v>
      </c>
      <c r="F1020" t="e">
        <f ca="1">BDP("736606JB Muni","ISSUE_DT")</f>
        <v>#NAME?</v>
      </c>
      <c r="G1020" t="e">
        <f ca="1">BDP("736606JB Muni","MATURITY")</f>
        <v>#NAME?</v>
      </c>
      <c r="H1020" t="e">
        <f ca="1">BDP("736606JB Muni","MUNI_TAX_PROV")</f>
        <v>#NAME?</v>
      </c>
      <c r="I1020" t="e">
        <f ca="1">BDP("736606JB Muni","FINANCING_TYPE")</f>
        <v>#NAME?</v>
      </c>
      <c r="J1020" t="e">
        <f ca="1">BDP("736606JB Muni","BICS_LEVEL_2_INDUSTRY_GROUP_NAME")</f>
        <v>#NAME?</v>
      </c>
      <c r="K1020" t="e">
        <f ca="1">BDP("736606JB Muni","SELF_REPRTD_GREEN_INSTR_INDCTR")</f>
        <v>#NAME?</v>
      </c>
      <c r="L1020" t="e">
        <f ca="1">BDP("736606JB Muni","GB_MANAGEMENT_PROCEEDS")</f>
        <v>#NAME?</v>
      </c>
      <c r="M1020" t="e">
        <f ca="1">BDP("736606JB Muni","GB_REPORTING")</f>
        <v>#NAME?</v>
      </c>
      <c r="N1020" t="e">
        <f ca="1">BDP("736606JB Muni","GB_ASSURANCE_PROVIDERS")</f>
        <v>#NAME?</v>
      </c>
      <c r="O1020" t="e">
        <f ca="1">BDP("736606JB Muni","GB_PROJECT_SELECTION_PROCESS")</f>
        <v>#NAME?</v>
      </c>
      <c r="P1020" t="e">
        <f ca="1">BDP("736606JB Muni","ESG_FRAMEWORK_INDICATOR")</f>
        <v>#NAME?</v>
      </c>
      <c r="Q1020" t="e">
        <f ca="1">BDP("736606JB Muni","BLOOMBERG_SECTOR_CODE")</f>
        <v>#NAME?</v>
      </c>
      <c r="R1020" t="e">
        <f ca="1">BDP("736606JB Muni","ISSUER_TYPE")</f>
        <v>#NAME?</v>
      </c>
      <c r="S1020" t="e">
        <f ca="1">BDS("736606JB Muni","ESG_PROJECT_CATEGORY", "aggregate=y")</f>
        <v>#NAME?</v>
      </c>
      <c r="T1020" t="e">
        <f ca="1">BDS("736606JB Muni","ESG_PROJECT_SUBCATEGORY", "aggregate=y")</f>
        <v>#NAME?</v>
      </c>
    </row>
    <row r="1021" spans="1:20" x14ac:dyDescent="0.25">
      <c r="A1021" t="e">
        <f ca="1">BDP("27888WAA Muni","ID_CUSIP")</f>
        <v>#NAME?</v>
      </c>
      <c r="B1021" t="e">
        <f ca="1">BDP("27888WAA Muni","STATE_CODE")</f>
        <v>#NAME?</v>
      </c>
      <c r="C1021" t="s">
        <v>64</v>
      </c>
      <c r="D1021" t="e">
        <f ca="1">BDP("27888WAA Muni","YIELD_ON_ISSUE_DATE")</f>
        <v>#NAME?</v>
      </c>
      <c r="E1021">
        <v>1710000</v>
      </c>
      <c r="F1021" t="e">
        <f ca="1">BDP("27888WAA Muni","ISSUE_DT")</f>
        <v>#NAME?</v>
      </c>
      <c r="G1021" t="e">
        <f ca="1">BDP("27888WAA Muni","MATURITY")</f>
        <v>#NAME?</v>
      </c>
      <c r="H1021" t="e">
        <f ca="1">BDP("27888WAA Muni","MUNI_TAX_PROV")</f>
        <v>#NAME?</v>
      </c>
      <c r="I1021" t="e">
        <f ca="1">BDP("27888WAA Muni","FINANCING_TYPE")</f>
        <v>#NAME?</v>
      </c>
      <c r="J1021" t="e">
        <f ca="1">BDP("27888WAA Muni","BICS_LEVEL_2_INDUSTRY_GROUP_NAME")</f>
        <v>#NAME?</v>
      </c>
      <c r="K1021" t="e">
        <f ca="1">BDP("27888WAA Muni","SELF_REPRTD_GREEN_INSTR_INDCTR")</f>
        <v>#NAME?</v>
      </c>
      <c r="L1021" t="e">
        <f ca="1">BDP("27888WAA Muni","GB_MANAGEMENT_PROCEEDS")</f>
        <v>#NAME?</v>
      </c>
      <c r="M1021" t="e">
        <f ca="1">BDP("27888WAA Muni","GB_REPORTING")</f>
        <v>#NAME?</v>
      </c>
      <c r="N1021" t="e">
        <f ca="1">BDP("27888WAA Muni","GB_ASSURANCE_PROVIDERS")</f>
        <v>#NAME?</v>
      </c>
      <c r="O1021" t="e">
        <f ca="1">BDP("27888WAA Muni","GB_PROJECT_SELECTION_PROCESS")</f>
        <v>#NAME?</v>
      </c>
      <c r="P1021" t="e">
        <f ca="1">BDP("27888WAA Muni","ESG_FRAMEWORK_INDICATOR")</f>
        <v>#NAME?</v>
      </c>
      <c r="Q1021" t="e">
        <f ca="1">BDP("27888WAA Muni","BLOOMBERG_SECTOR_CODE")</f>
        <v>#NAME?</v>
      </c>
      <c r="R1021" t="e">
        <f ca="1">BDP("27888WAA Muni","ISSUER_TYPE")</f>
        <v>#NAME?</v>
      </c>
      <c r="S1021" t="e">
        <f ca="1">BDS("27888WAA Muni","ESG_PROJECT_CATEGORY", "aggregate=y")</f>
        <v>#NAME?</v>
      </c>
      <c r="T1021" t="e">
        <f ca="1">BDS("27888WAA Muni","ESG_PROJECT_SUBCATEGORY", "aggregate=y")</f>
        <v>#NAME?</v>
      </c>
    </row>
    <row r="1022" spans="1:20" x14ac:dyDescent="0.25">
      <c r="A1022" t="e">
        <f ca="1">BDP("27888WAD Muni","ID_CUSIP")</f>
        <v>#NAME?</v>
      </c>
      <c r="B1022" t="e">
        <f ca="1">BDP("27888WAD Muni","STATE_CODE")</f>
        <v>#NAME?</v>
      </c>
      <c r="C1022" t="s">
        <v>64</v>
      </c>
      <c r="D1022" t="e">
        <f ca="1">BDP("27888WAD Muni","YIELD_ON_ISSUE_DATE")</f>
        <v>#NAME?</v>
      </c>
      <c r="E1022">
        <v>2325000</v>
      </c>
      <c r="F1022" t="e">
        <f ca="1">BDP("27888WAD Muni","ISSUE_DT")</f>
        <v>#NAME?</v>
      </c>
      <c r="G1022" t="e">
        <f ca="1">BDP("27888WAD Muni","MATURITY")</f>
        <v>#NAME?</v>
      </c>
      <c r="H1022" t="e">
        <f ca="1">BDP("27888WAD Muni","MUNI_TAX_PROV")</f>
        <v>#NAME?</v>
      </c>
      <c r="I1022" t="e">
        <f ca="1">BDP("27888WAD Muni","FINANCING_TYPE")</f>
        <v>#NAME?</v>
      </c>
      <c r="J1022" t="e">
        <f ca="1">BDP("27888WAD Muni","BICS_LEVEL_2_INDUSTRY_GROUP_NAME")</f>
        <v>#NAME?</v>
      </c>
      <c r="K1022" t="e">
        <f ca="1">BDP("27888WAD Muni","SELF_REPRTD_GREEN_INSTR_INDCTR")</f>
        <v>#NAME?</v>
      </c>
      <c r="L1022" t="e">
        <f ca="1">BDP("27888WAD Muni","GB_MANAGEMENT_PROCEEDS")</f>
        <v>#NAME?</v>
      </c>
      <c r="M1022" t="e">
        <f ca="1">BDP("27888WAD Muni","GB_REPORTING")</f>
        <v>#NAME?</v>
      </c>
      <c r="N1022" t="e">
        <f ca="1">BDP("27888WAD Muni","GB_ASSURANCE_PROVIDERS")</f>
        <v>#NAME?</v>
      </c>
      <c r="O1022" t="e">
        <f ca="1">BDP("27888WAD Muni","GB_PROJECT_SELECTION_PROCESS")</f>
        <v>#NAME?</v>
      </c>
      <c r="P1022" t="e">
        <f ca="1">BDP("27888WAD Muni","ESG_FRAMEWORK_INDICATOR")</f>
        <v>#NAME?</v>
      </c>
      <c r="Q1022" t="e">
        <f ca="1">BDP("27888WAD Muni","BLOOMBERG_SECTOR_CODE")</f>
        <v>#NAME?</v>
      </c>
      <c r="R1022" t="e">
        <f ca="1">BDP("27888WAD Muni","ISSUER_TYPE")</f>
        <v>#NAME?</v>
      </c>
      <c r="S1022" t="e">
        <f ca="1">BDS("27888WAD Muni","ESG_PROJECT_CATEGORY", "aggregate=y")</f>
        <v>#NAME?</v>
      </c>
      <c r="T1022" t="e">
        <f ca="1">BDS("27888WAD Muni","ESG_PROJECT_SUBCATEGORY", "aggregate=y")</f>
        <v>#NAME?</v>
      </c>
    </row>
    <row r="1023" spans="1:20" x14ac:dyDescent="0.25">
      <c r="A1023" t="e">
        <f ca="1">BDP("27888WAK Muni","ID_CUSIP")</f>
        <v>#NAME?</v>
      </c>
      <c r="B1023" t="e">
        <f ca="1">BDP("27888WAK Muni","STATE_CODE")</f>
        <v>#NAME?</v>
      </c>
      <c r="C1023" t="s">
        <v>64</v>
      </c>
      <c r="D1023" t="e">
        <f ca="1">BDP("27888WAK Muni","YIELD_ON_ISSUE_DATE")</f>
        <v>#NAME?</v>
      </c>
      <c r="E1023">
        <v>1565000</v>
      </c>
      <c r="F1023" t="e">
        <f ca="1">BDP("27888WAK Muni","ISSUE_DT")</f>
        <v>#NAME?</v>
      </c>
      <c r="G1023" t="e">
        <f ca="1">BDP("27888WAK Muni","MATURITY")</f>
        <v>#NAME?</v>
      </c>
      <c r="H1023" t="e">
        <f ca="1">BDP("27888WAK Muni","MUNI_TAX_PROV")</f>
        <v>#NAME?</v>
      </c>
      <c r="I1023" t="e">
        <f ca="1">BDP("27888WAK Muni","FINANCING_TYPE")</f>
        <v>#NAME?</v>
      </c>
      <c r="J1023" t="e">
        <f ca="1">BDP("27888WAK Muni","BICS_LEVEL_2_INDUSTRY_GROUP_NAME")</f>
        <v>#NAME?</v>
      </c>
      <c r="K1023" t="e">
        <f ca="1">BDP("27888WAK Muni","SELF_REPRTD_GREEN_INSTR_INDCTR")</f>
        <v>#NAME?</v>
      </c>
      <c r="L1023" t="e">
        <f ca="1">BDP("27888WAK Muni","GB_MANAGEMENT_PROCEEDS")</f>
        <v>#NAME?</v>
      </c>
      <c r="M1023" t="e">
        <f ca="1">BDP("27888WAK Muni","GB_REPORTING")</f>
        <v>#NAME?</v>
      </c>
      <c r="N1023" t="e">
        <f ca="1">BDP("27888WAK Muni","GB_ASSURANCE_PROVIDERS")</f>
        <v>#NAME?</v>
      </c>
      <c r="O1023" t="e">
        <f ca="1">BDP("27888WAK Muni","GB_PROJECT_SELECTION_PROCESS")</f>
        <v>#NAME?</v>
      </c>
      <c r="P1023" t="e">
        <f ca="1">BDP("27888WAK Muni","ESG_FRAMEWORK_INDICATOR")</f>
        <v>#NAME?</v>
      </c>
      <c r="Q1023" t="e">
        <f ca="1">BDP("27888WAK Muni","BLOOMBERG_SECTOR_CODE")</f>
        <v>#NAME?</v>
      </c>
      <c r="R1023" t="e">
        <f ca="1">BDP("27888WAK Muni","ISSUER_TYPE")</f>
        <v>#NAME?</v>
      </c>
      <c r="S1023" t="e">
        <f ca="1">BDS("27888WAK Muni","ESG_PROJECT_CATEGORY", "aggregate=y")</f>
        <v>#NAME?</v>
      </c>
      <c r="T1023" t="e">
        <f ca="1">BDS("27888WAK Muni","ESG_PROJECT_SUBCATEGORY", "aggregate=y")</f>
        <v>#NAME?</v>
      </c>
    </row>
    <row r="1024" spans="1:20" x14ac:dyDescent="0.25">
      <c r="A1024" t="e">
        <f ca="1">BDP("736606HH Muni","ID_CUSIP")</f>
        <v>#NAME?</v>
      </c>
      <c r="B1024" t="e">
        <f ca="1">BDP("736606HH Muni","STATE_CODE")</f>
        <v>#NAME?</v>
      </c>
      <c r="C1024" t="s">
        <v>65</v>
      </c>
      <c r="D1024" t="e">
        <f ca="1">BDP("736606HH Muni","YIELD_ON_ISSUE_DATE")</f>
        <v>#NAME?</v>
      </c>
      <c r="E1024">
        <v>1050000</v>
      </c>
      <c r="F1024" t="e">
        <f ca="1">BDP("736606HH Muni","ISSUE_DT")</f>
        <v>#NAME?</v>
      </c>
      <c r="G1024" t="e">
        <f ca="1">BDP("736606HH Muni","MATURITY")</f>
        <v>#NAME?</v>
      </c>
      <c r="H1024" t="e">
        <f ca="1">BDP("736606HH Muni","MUNI_TAX_PROV")</f>
        <v>#NAME?</v>
      </c>
      <c r="I1024" t="e">
        <f ca="1">BDP("736606HH Muni","FINANCING_TYPE")</f>
        <v>#NAME?</v>
      </c>
      <c r="J1024" t="e">
        <f ca="1">BDP("736606HH Muni","BICS_LEVEL_2_INDUSTRY_GROUP_NAME")</f>
        <v>#NAME?</v>
      </c>
      <c r="K1024" t="e">
        <f ca="1">BDP("736606HH Muni","SELF_REPRTD_GREEN_INSTR_INDCTR")</f>
        <v>#NAME?</v>
      </c>
      <c r="L1024" t="e">
        <f ca="1">BDP("736606HH Muni","GB_MANAGEMENT_PROCEEDS")</f>
        <v>#NAME?</v>
      </c>
      <c r="M1024" t="e">
        <f ca="1">BDP("736606HH Muni","GB_REPORTING")</f>
        <v>#NAME?</v>
      </c>
      <c r="N1024" t="e">
        <f ca="1">BDP("736606HH Muni","GB_ASSURANCE_PROVIDERS")</f>
        <v>#NAME?</v>
      </c>
      <c r="O1024" t="e">
        <f ca="1">BDP("736606HH Muni","GB_PROJECT_SELECTION_PROCESS")</f>
        <v>#NAME?</v>
      </c>
      <c r="P1024" t="e">
        <f ca="1">BDP("736606HH Muni","ESG_FRAMEWORK_INDICATOR")</f>
        <v>#NAME?</v>
      </c>
      <c r="Q1024" t="e">
        <f ca="1">BDP("736606HH Muni","BLOOMBERG_SECTOR_CODE")</f>
        <v>#NAME?</v>
      </c>
      <c r="R1024" t="e">
        <f ca="1">BDP("736606HH Muni","ISSUER_TYPE")</f>
        <v>#NAME?</v>
      </c>
      <c r="S1024" t="e">
        <f ca="1">BDS("736606HH Muni","ESG_PROJECT_CATEGORY", "aggregate=y")</f>
        <v>#NAME?</v>
      </c>
      <c r="T1024" t="e">
        <f ca="1">BDS("736606HH Muni","ESG_PROJECT_SUBCATEGORY", "aggregate=y")</f>
        <v>#NAME?</v>
      </c>
    </row>
    <row r="1025" spans="1:20" x14ac:dyDescent="0.25">
      <c r="A1025" t="e">
        <f ca="1">BDP("032879YR Muni","ID_CUSIP")</f>
        <v>#NAME?</v>
      </c>
      <c r="B1025" t="e">
        <f ca="1">BDP("032879YR Muni","STATE_CODE")</f>
        <v>#NAME?</v>
      </c>
      <c r="C1025" t="s">
        <v>67</v>
      </c>
      <c r="D1025" t="e">
        <f ca="1">BDP("032879YR Muni","YIELD_ON_ISSUE_DATE")</f>
        <v>#NAME?</v>
      </c>
      <c r="E1025">
        <v>495000</v>
      </c>
      <c r="F1025" t="e">
        <f ca="1">BDP("032879YR Muni","ISSUE_DT")</f>
        <v>#NAME?</v>
      </c>
      <c r="G1025" t="e">
        <f ca="1">BDP("032879YR Muni","MATURITY")</f>
        <v>#NAME?</v>
      </c>
      <c r="H1025" t="e">
        <f ca="1">BDP("032879YR Muni","MUNI_TAX_PROV")</f>
        <v>#NAME?</v>
      </c>
      <c r="I1025" t="e">
        <f ca="1">BDP("032879YR Muni","FINANCING_TYPE")</f>
        <v>#NAME?</v>
      </c>
      <c r="J1025" t="e">
        <f ca="1">BDP("032879YR Muni","BICS_LEVEL_2_INDUSTRY_GROUP_NAME")</f>
        <v>#NAME?</v>
      </c>
      <c r="K1025" t="e">
        <f ca="1">BDP("032879YR Muni","SELF_REPRTD_GREEN_INSTR_INDCTR")</f>
        <v>#NAME?</v>
      </c>
      <c r="L1025" t="e">
        <f ca="1">BDP("032879YR Muni","GB_MANAGEMENT_PROCEEDS")</f>
        <v>#NAME?</v>
      </c>
      <c r="M1025" t="e">
        <f ca="1">BDP("032879YR Muni","GB_REPORTING")</f>
        <v>#NAME?</v>
      </c>
      <c r="N1025" t="e">
        <f ca="1">BDP("032879YR Muni","GB_ASSURANCE_PROVIDERS")</f>
        <v>#NAME?</v>
      </c>
      <c r="O1025" t="e">
        <f ca="1">BDP("032879YR Muni","GB_PROJECT_SELECTION_PROCESS")</f>
        <v>#NAME?</v>
      </c>
      <c r="P1025" t="e">
        <f ca="1">BDP("032879YR Muni","ESG_FRAMEWORK_INDICATOR")</f>
        <v>#NAME?</v>
      </c>
      <c r="Q1025" t="e">
        <f ca="1">BDP("032879YR Muni","BLOOMBERG_SECTOR_CODE")</f>
        <v>#NAME?</v>
      </c>
      <c r="R1025" t="e">
        <f ca="1">BDP("032879YR Muni","ISSUER_TYPE")</f>
        <v>#NAME?</v>
      </c>
      <c r="S1025" t="e">
        <f ca="1">BDS("032879YR Muni","ESG_PROJECT_CATEGORY", "aggregate=y")</f>
        <v>#NAME?</v>
      </c>
      <c r="T1025" t="e">
        <f ca="1">BDS("032879YR Muni","ESG_PROJECT_SUBCATEGORY", "aggregate=y")</f>
        <v>#NAME?</v>
      </c>
    </row>
    <row r="1026" spans="1:20" x14ac:dyDescent="0.25">
      <c r="A1026" t="e">
        <f ca="1">BDP("57888DAB Muni","ID_CUSIP")</f>
        <v>#NAME?</v>
      </c>
      <c r="B1026" t="e">
        <f ca="1">BDP("57888DAB Muni","STATE_CODE")</f>
        <v>#NAME?</v>
      </c>
      <c r="C1026" t="s">
        <v>68</v>
      </c>
      <c r="D1026" t="e">
        <f ca="1">BDP("57888DAB Muni","YIELD_ON_ISSUE_DATE")</f>
        <v>#NAME?</v>
      </c>
      <c r="E1026">
        <v>1490000</v>
      </c>
      <c r="F1026" t="e">
        <f ca="1">BDP("57888DAB Muni","ISSUE_DT")</f>
        <v>#NAME?</v>
      </c>
      <c r="G1026" t="e">
        <f ca="1">BDP("57888DAB Muni","MATURITY")</f>
        <v>#NAME?</v>
      </c>
      <c r="H1026" t="e">
        <f ca="1">BDP("57888DAB Muni","MUNI_TAX_PROV")</f>
        <v>#NAME?</v>
      </c>
      <c r="I1026" t="e">
        <f ca="1">BDP("57888DAB Muni","FINANCING_TYPE")</f>
        <v>#NAME?</v>
      </c>
      <c r="J1026" t="e">
        <f ca="1">BDP("57888DAB Muni","BICS_LEVEL_2_INDUSTRY_GROUP_NAME")</f>
        <v>#NAME?</v>
      </c>
      <c r="K1026" t="e">
        <f ca="1">BDP("57888DAB Muni","SELF_REPRTD_GREEN_INSTR_INDCTR")</f>
        <v>#NAME?</v>
      </c>
      <c r="L1026" t="e">
        <f ca="1">BDP("57888DAB Muni","GB_MANAGEMENT_PROCEEDS")</f>
        <v>#NAME?</v>
      </c>
      <c r="M1026" t="e">
        <f ca="1">BDP("57888DAB Muni","GB_REPORTING")</f>
        <v>#NAME?</v>
      </c>
      <c r="N1026" t="e">
        <f ca="1">BDP("57888DAB Muni","GB_ASSURANCE_PROVIDERS")</f>
        <v>#NAME?</v>
      </c>
      <c r="O1026" t="e">
        <f ca="1">BDP("57888DAB Muni","GB_PROJECT_SELECTION_PROCESS")</f>
        <v>#NAME?</v>
      </c>
      <c r="P1026" t="e">
        <f ca="1">BDP("57888DAB Muni","ESG_FRAMEWORK_INDICATOR")</f>
        <v>#NAME?</v>
      </c>
      <c r="Q1026" t="e">
        <f ca="1">BDP("57888DAB Muni","BLOOMBERG_SECTOR_CODE")</f>
        <v>#NAME?</v>
      </c>
      <c r="R1026" t="e">
        <f ca="1">BDP("57888DAB Muni","ISSUER_TYPE")</f>
        <v>#NAME?</v>
      </c>
      <c r="S1026" t="e">
        <f ca="1">BDS("57888DAB Muni","ESG_PROJECT_CATEGORY", "aggregate=y")</f>
        <v>#NAME?</v>
      </c>
      <c r="T1026" t="e">
        <f ca="1">BDS("57888DAB Muni","ESG_PROJECT_SUBCATEGORY", "aggregate=y")</f>
        <v>#NAME?</v>
      </c>
    </row>
    <row r="1027" spans="1:20" x14ac:dyDescent="0.25">
      <c r="A1027" t="e">
        <f ca="1">BDP("57888DAA Muni","ID_CUSIP")</f>
        <v>#NAME?</v>
      </c>
      <c r="B1027" t="e">
        <f ca="1">BDP("57888DAA Muni","STATE_CODE")</f>
        <v>#NAME?</v>
      </c>
      <c r="C1027" t="s">
        <v>68</v>
      </c>
      <c r="D1027" t="e">
        <f ca="1">BDP("57888DAA Muni","YIELD_ON_ISSUE_DATE")</f>
        <v>#NAME?</v>
      </c>
      <c r="E1027">
        <v>1780000</v>
      </c>
      <c r="F1027" t="e">
        <f ca="1">BDP("57888DAA Muni","ISSUE_DT")</f>
        <v>#NAME?</v>
      </c>
      <c r="G1027" t="e">
        <f ca="1">BDP("57888DAA Muni","MATURITY")</f>
        <v>#NAME?</v>
      </c>
      <c r="H1027" t="e">
        <f ca="1">BDP("57888DAA Muni","MUNI_TAX_PROV")</f>
        <v>#NAME?</v>
      </c>
      <c r="I1027" t="e">
        <f ca="1">BDP("57888DAA Muni","FINANCING_TYPE")</f>
        <v>#NAME?</v>
      </c>
      <c r="J1027" t="e">
        <f ca="1">BDP("57888DAA Muni","BICS_LEVEL_2_INDUSTRY_GROUP_NAME")</f>
        <v>#NAME?</v>
      </c>
      <c r="K1027" t="e">
        <f ca="1">BDP("57888DAA Muni","SELF_REPRTD_GREEN_INSTR_INDCTR")</f>
        <v>#NAME?</v>
      </c>
      <c r="L1027" t="e">
        <f ca="1">BDP("57888DAA Muni","GB_MANAGEMENT_PROCEEDS")</f>
        <v>#NAME?</v>
      </c>
      <c r="M1027" t="e">
        <f ca="1">BDP("57888DAA Muni","GB_REPORTING")</f>
        <v>#NAME?</v>
      </c>
      <c r="N1027" t="e">
        <f ca="1">BDP("57888DAA Muni","GB_ASSURANCE_PROVIDERS")</f>
        <v>#NAME?</v>
      </c>
      <c r="O1027" t="e">
        <f ca="1">BDP("57888DAA Muni","GB_PROJECT_SELECTION_PROCESS")</f>
        <v>#NAME?</v>
      </c>
      <c r="P1027" t="e">
        <f ca="1">BDP("57888DAA Muni","ESG_FRAMEWORK_INDICATOR")</f>
        <v>#NAME?</v>
      </c>
      <c r="Q1027" t="e">
        <f ca="1">BDP("57888DAA Muni","BLOOMBERG_SECTOR_CODE")</f>
        <v>#NAME?</v>
      </c>
      <c r="R1027" t="e">
        <f ca="1">BDP("57888DAA Muni","ISSUER_TYPE")</f>
        <v>#NAME?</v>
      </c>
      <c r="S1027" t="e">
        <f ca="1">BDS("57888DAA Muni","ESG_PROJECT_CATEGORY", "aggregate=y")</f>
        <v>#NAME?</v>
      </c>
      <c r="T1027" t="e">
        <f ca="1">BDS("57888DAA Muni","ESG_PROJECT_SUBCATEGORY", "aggregate=y")</f>
        <v>#NAME?</v>
      </c>
    </row>
    <row r="1028" spans="1:20" x14ac:dyDescent="0.25">
      <c r="A1028" t="e">
        <f ca="1">BDP("032879YG Muni","ID_CUSIP")</f>
        <v>#NAME?</v>
      </c>
      <c r="B1028" t="e">
        <f ca="1">BDP("032879YG Muni","STATE_CODE")</f>
        <v>#NAME?</v>
      </c>
      <c r="C1028" t="s">
        <v>67</v>
      </c>
      <c r="D1028" t="e">
        <f ca="1">BDP("032879YG Muni","YIELD_ON_ISSUE_DATE")</f>
        <v>#NAME?</v>
      </c>
      <c r="E1028">
        <v>480000</v>
      </c>
      <c r="F1028" t="e">
        <f ca="1">BDP("032879YG Muni","ISSUE_DT")</f>
        <v>#NAME?</v>
      </c>
      <c r="G1028" t="e">
        <f ca="1">BDP("032879YG Muni","MATURITY")</f>
        <v>#NAME?</v>
      </c>
      <c r="H1028" t="e">
        <f ca="1">BDP("032879YG Muni","MUNI_TAX_PROV")</f>
        <v>#NAME?</v>
      </c>
      <c r="I1028" t="e">
        <f ca="1">BDP("032879YG Muni","FINANCING_TYPE")</f>
        <v>#NAME?</v>
      </c>
      <c r="J1028" t="e">
        <f ca="1">BDP("032879YG Muni","BICS_LEVEL_2_INDUSTRY_GROUP_NAME")</f>
        <v>#NAME?</v>
      </c>
      <c r="K1028" t="e">
        <f ca="1">BDP("032879YG Muni","SELF_REPRTD_GREEN_INSTR_INDCTR")</f>
        <v>#NAME?</v>
      </c>
      <c r="L1028" t="e">
        <f ca="1">BDP("032879YG Muni","GB_MANAGEMENT_PROCEEDS")</f>
        <v>#NAME?</v>
      </c>
      <c r="M1028" t="e">
        <f ca="1">BDP("032879YG Muni","GB_REPORTING")</f>
        <v>#NAME?</v>
      </c>
      <c r="N1028" t="e">
        <f ca="1">BDP("032879YG Muni","GB_ASSURANCE_PROVIDERS")</f>
        <v>#NAME?</v>
      </c>
      <c r="O1028" t="e">
        <f ca="1">BDP("032879YG Muni","GB_PROJECT_SELECTION_PROCESS")</f>
        <v>#NAME?</v>
      </c>
      <c r="P1028" t="e">
        <f ca="1">BDP("032879YG Muni","ESG_FRAMEWORK_INDICATOR")</f>
        <v>#NAME?</v>
      </c>
      <c r="Q1028" t="e">
        <f ca="1">BDP("032879YG Muni","BLOOMBERG_SECTOR_CODE")</f>
        <v>#NAME?</v>
      </c>
      <c r="R1028" t="e">
        <f ca="1">BDP("032879YG Muni","ISSUER_TYPE")</f>
        <v>#NAME?</v>
      </c>
      <c r="S1028" t="e">
        <f ca="1">BDS("032879YG Muni","ESG_PROJECT_CATEGORY", "aggregate=y")</f>
        <v>#NAME?</v>
      </c>
      <c r="T1028" t="e">
        <f ca="1">BDS("032879YG Muni","ESG_PROJECT_SUBCATEGORY", "aggregate=y")</f>
        <v>#NAME?</v>
      </c>
    </row>
    <row r="1029" spans="1:20" x14ac:dyDescent="0.25">
      <c r="A1029" t="e">
        <f ca="1">BDP("032879YU Muni","ID_CUSIP")</f>
        <v>#NAME?</v>
      </c>
      <c r="B1029" t="e">
        <f ca="1">BDP("032879YU Muni","STATE_CODE")</f>
        <v>#NAME?</v>
      </c>
      <c r="C1029" t="s">
        <v>67</v>
      </c>
      <c r="D1029" t="e">
        <f ca="1">BDP("032879YU Muni","YIELD_ON_ISSUE_DATE")</f>
        <v>#NAME?</v>
      </c>
      <c r="E1029">
        <v>575000</v>
      </c>
      <c r="F1029" t="e">
        <f ca="1">BDP("032879YU Muni","ISSUE_DT")</f>
        <v>#NAME?</v>
      </c>
      <c r="G1029" t="e">
        <f ca="1">BDP("032879YU Muni","MATURITY")</f>
        <v>#NAME?</v>
      </c>
      <c r="H1029" t="e">
        <f ca="1">BDP("032879YU Muni","MUNI_TAX_PROV")</f>
        <v>#NAME?</v>
      </c>
      <c r="I1029" t="e">
        <f ca="1">BDP("032879YU Muni","FINANCING_TYPE")</f>
        <v>#NAME?</v>
      </c>
      <c r="J1029" t="e">
        <f ca="1">BDP("032879YU Muni","BICS_LEVEL_2_INDUSTRY_GROUP_NAME")</f>
        <v>#NAME?</v>
      </c>
      <c r="K1029" t="e">
        <f ca="1">BDP("032879YU Muni","SELF_REPRTD_GREEN_INSTR_INDCTR")</f>
        <v>#NAME?</v>
      </c>
      <c r="L1029" t="e">
        <f ca="1">BDP("032879YU Muni","GB_MANAGEMENT_PROCEEDS")</f>
        <v>#NAME?</v>
      </c>
      <c r="M1029" t="e">
        <f ca="1">BDP("032879YU Muni","GB_REPORTING")</f>
        <v>#NAME?</v>
      </c>
      <c r="N1029" t="e">
        <f ca="1">BDP("032879YU Muni","GB_ASSURANCE_PROVIDERS")</f>
        <v>#NAME?</v>
      </c>
      <c r="O1029" t="e">
        <f ca="1">BDP("032879YU Muni","GB_PROJECT_SELECTION_PROCESS")</f>
        <v>#NAME?</v>
      </c>
      <c r="P1029" t="e">
        <f ca="1">BDP("032879YU Muni","ESG_FRAMEWORK_INDICATOR")</f>
        <v>#NAME?</v>
      </c>
      <c r="Q1029" t="e">
        <f ca="1">BDP("032879YU Muni","BLOOMBERG_SECTOR_CODE")</f>
        <v>#NAME?</v>
      </c>
      <c r="R1029" t="e">
        <f ca="1">BDP("032879YU Muni","ISSUER_TYPE")</f>
        <v>#NAME?</v>
      </c>
      <c r="S1029" t="e">
        <f ca="1">BDS("032879YU Muni","ESG_PROJECT_CATEGORY", "aggregate=y")</f>
        <v>#NAME?</v>
      </c>
      <c r="T1029" t="e">
        <f ca="1">BDS("032879YU Muni","ESG_PROJECT_SUBCATEGORY", "aggregate=y")</f>
        <v>#NAME?</v>
      </c>
    </row>
    <row r="1030" spans="1:20" x14ac:dyDescent="0.25">
      <c r="A1030" t="e">
        <f ca="1">BDP("57888DAC Muni","ID_CUSIP")</f>
        <v>#NAME?</v>
      </c>
      <c r="B1030" t="e">
        <f ca="1">BDP("57888DAC Muni","STATE_CODE")</f>
        <v>#NAME?</v>
      </c>
      <c r="C1030" t="s">
        <v>68</v>
      </c>
      <c r="D1030" t="e">
        <f ca="1">BDP("57888DAC Muni","YIELD_ON_ISSUE_DATE")</f>
        <v>#NAME?</v>
      </c>
      <c r="E1030">
        <v>2010000</v>
      </c>
      <c r="F1030" t="e">
        <f ca="1">BDP("57888DAC Muni","ISSUE_DT")</f>
        <v>#NAME?</v>
      </c>
      <c r="G1030" t="e">
        <f ca="1">BDP("57888DAC Muni","MATURITY")</f>
        <v>#NAME?</v>
      </c>
      <c r="H1030" t="e">
        <f ca="1">BDP("57888DAC Muni","MUNI_TAX_PROV")</f>
        <v>#NAME?</v>
      </c>
      <c r="I1030" t="e">
        <f ca="1">BDP("57888DAC Muni","FINANCING_TYPE")</f>
        <v>#NAME?</v>
      </c>
      <c r="J1030" t="e">
        <f ca="1">BDP("57888DAC Muni","BICS_LEVEL_2_INDUSTRY_GROUP_NAME")</f>
        <v>#NAME?</v>
      </c>
      <c r="K1030" t="e">
        <f ca="1">BDP("57888DAC Muni","SELF_REPRTD_GREEN_INSTR_INDCTR")</f>
        <v>#NAME?</v>
      </c>
      <c r="L1030" t="e">
        <f ca="1">BDP("57888DAC Muni","GB_MANAGEMENT_PROCEEDS")</f>
        <v>#NAME?</v>
      </c>
      <c r="M1030" t="e">
        <f ca="1">BDP("57888DAC Muni","GB_REPORTING")</f>
        <v>#NAME?</v>
      </c>
      <c r="N1030" t="e">
        <f ca="1">BDP("57888DAC Muni","GB_ASSURANCE_PROVIDERS")</f>
        <v>#NAME?</v>
      </c>
      <c r="O1030" t="e">
        <f ca="1">BDP("57888DAC Muni","GB_PROJECT_SELECTION_PROCESS")</f>
        <v>#NAME?</v>
      </c>
      <c r="P1030" t="e">
        <f ca="1">BDP("57888DAC Muni","ESG_FRAMEWORK_INDICATOR")</f>
        <v>#NAME?</v>
      </c>
      <c r="Q1030" t="e">
        <f ca="1">BDP("57888DAC Muni","BLOOMBERG_SECTOR_CODE")</f>
        <v>#NAME?</v>
      </c>
      <c r="R1030" t="e">
        <f ca="1">BDP("57888DAC Muni","ISSUER_TYPE")</f>
        <v>#NAME?</v>
      </c>
      <c r="S1030" t="e">
        <f ca="1">BDS("57888DAC Muni","ESG_PROJECT_CATEGORY", "aggregate=y")</f>
        <v>#NAME?</v>
      </c>
      <c r="T1030" t="e">
        <f ca="1">BDS("57888DAC Muni","ESG_PROJECT_SUBCATEGORY", "aggregate=y")</f>
        <v>#NAME?</v>
      </c>
    </row>
    <row r="1031" spans="1:20" x14ac:dyDescent="0.25">
      <c r="A1031" t="e">
        <f ca="1">BDP("032879YM Muni","ID_CUSIP")</f>
        <v>#NAME?</v>
      </c>
      <c r="B1031" t="e">
        <f ca="1">BDP("032879YM Muni","STATE_CODE")</f>
        <v>#NAME?</v>
      </c>
      <c r="C1031" t="s">
        <v>67</v>
      </c>
      <c r="D1031" t="e">
        <f ca="1">BDP("032879YM Muni","YIELD_ON_ISSUE_DATE")</f>
        <v>#NAME?</v>
      </c>
      <c r="E1031">
        <v>410000</v>
      </c>
      <c r="F1031" t="e">
        <f ca="1">BDP("032879YM Muni","ISSUE_DT")</f>
        <v>#NAME?</v>
      </c>
      <c r="G1031" t="e">
        <f ca="1">BDP("032879YM Muni","MATURITY")</f>
        <v>#NAME?</v>
      </c>
      <c r="H1031" t="e">
        <f ca="1">BDP("032879YM Muni","MUNI_TAX_PROV")</f>
        <v>#NAME?</v>
      </c>
      <c r="I1031" t="e">
        <f ca="1">BDP("032879YM Muni","FINANCING_TYPE")</f>
        <v>#NAME?</v>
      </c>
      <c r="J1031" t="e">
        <f ca="1">BDP("032879YM Muni","BICS_LEVEL_2_INDUSTRY_GROUP_NAME")</f>
        <v>#NAME?</v>
      </c>
      <c r="K1031" t="e">
        <f ca="1">BDP("032879YM Muni","SELF_REPRTD_GREEN_INSTR_INDCTR")</f>
        <v>#NAME?</v>
      </c>
      <c r="L1031" t="e">
        <f ca="1">BDP("032879YM Muni","GB_MANAGEMENT_PROCEEDS")</f>
        <v>#NAME?</v>
      </c>
      <c r="M1031" t="e">
        <f ca="1">BDP("032879YM Muni","GB_REPORTING")</f>
        <v>#NAME?</v>
      </c>
      <c r="N1031" t="e">
        <f ca="1">BDP("032879YM Muni","GB_ASSURANCE_PROVIDERS")</f>
        <v>#NAME?</v>
      </c>
      <c r="O1031" t="e">
        <f ca="1">BDP("032879YM Muni","GB_PROJECT_SELECTION_PROCESS")</f>
        <v>#NAME?</v>
      </c>
      <c r="P1031" t="e">
        <f ca="1">BDP("032879YM Muni","ESG_FRAMEWORK_INDICATOR")</f>
        <v>#NAME?</v>
      </c>
      <c r="Q1031" t="e">
        <f ca="1">BDP("032879YM Muni","BLOOMBERG_SECTOR_CODE")</f>
        <v>#NAME?</v>
      </c>
      <c r="R1031" t="e">
        <f ca="1">BDP("032879YM Muni","ISSUER_TYPE")</f>
        <v>#NAME?</v>
      </c>
      <c r="S1031" t="e">
        <f ca="1">BDS("032879YM Muni","ESG_PROJECT_CATEGORY", "aggregate=y")</f>
        <v>#NAME?</v>
      </c>
      <c r="T1031" t="e">
        <f ca="1">BDS("032879YM Muni","ESG_PROJECT_SUBCATEGORY", "aggregate=y")</f>
        <v>#NAME?</v>
      </c>
    </row>
    <row r="1032" spans="1:20" x14ac:dyDescent="0.25">
      <c r="A1032" t="e">
        <f ca="1">BDP("032879YJ Muni","ID_CUSIP")</f>
        <v>#NAME?</v>
      </c>
      <c r="B1032" t="e">
        <f ca="1">BDP("032879YJ Muni","STATE_CODE")</f>
        <v>#NAME?</v>
      </c>
      <c r="C1032" t="s">
        <v>67</v>
      </c>
      <c r="D1032" t="e">
        <f ca="1">BDP("032879YJ Muni","YIELD_ON_ISSUE_DATE")</f>
        <v>#NAME?</v>
      </c>
      <c r="E1032">
        <v>355000</v>
      </c>
      <c r="F1032" t="e">
        <f ca="1">BDP("032879YJ Muni","ISSUE_DT")</f>
        <v>#NAME?</v>
      </c>
      <c r="G1032" t="e">
        <f ca="1">BDP("032879YJ Muni","MATURITY")</f>
        <v>#NAME?</v>
      </c>
      <c r="H1032" t="e">
        <f ca="1">BDP("032879YJ Muni","MUNI_TAX_PROV")</f>
        <v>#NAME?</v>
      </c>
      <c r="I1032" t="e">
        <f ca="1">BDP("032879YJ Muni","FINANCING_TYPE")</f>
        <v>#NAME?</v>
      </c>
      <c r="J1032" t="e">
        <f ca="1">BDP("032879YJ Muni","BICS_LEVEL_2_INDUSTRY_GROUP_NAME")</f>
        <v>#NAME?</v>
      </c>
      <c r="K1032" t="e">
        <f ca="1">BDP("032879YJ Muni","SELF_REPRTD_GREEN_INSTR_INDCTR")</f>
        <v>#NAME?</v>
      </c>
      <c r="L1032" t="e">
        <f ca="1">BDP("032879YJ Muni","GB_MANAGEMENT_PROCEEDS")</f>
        <v>#NAME?</v>
      </c>
      <c r="M1032" t="e">
        <f ca="1">BDP("032879YJ Muni","GB_REPORTING")</f>
        <v>#NAME?</v>
      </c>
      <c r="N1032" t="e">
        <f ca="1">BDP("032879YJ Muni","GB_ASSURANCE_PROVIDERS")</f>
        <v>#NAME?</v>
      </c>
      <c r="O1032" t="e">
        <f ca="1">BDP("032879YJ Muni","GB_PROJECT_SELECTION_PROCESS")</f>
        <v>#NAME?</v>
      </c>
      <c r="P1032" t="e">
        <f ca="1">BDP("032879YJ Muni","ESG_FRAMEWORK_INDICATOR")</f>
        <v>#NAME?</v>
      </c>
      <c r="Q1032" t="e">
        <f ca="1">BDP("032879YJ Muni","BLOOMBERG_SECTOR_CODE")</f>
        <v>#NAME?</v>
      </c>
      <c r="R1032" t="e">
        <f ca="1">BDP("032879YJ Muni","ISSUER_TYPE")</f>
        <v>#NAME?</v>
      </c>
      <c r="S1032" t="e">
        <f ca="1">BDS("032879YJ Muni","ESG_PROJECT_CATEGORY", "aggregate=y")</f>
        <v>#NAME?</v>
      </c>
      <c r="T1032" t="e">
        <f ca="1">BDS("032879YJ Muni","ESG_PROJECT_SUBCATEGORY", "aggregate=y")</f>
        <v>#NAME?</v>
      </c>
    </row>
    <row r="1033" spans="1:20" x14ac:dyDescent="0.25">
      <c r="A1033" t="e">
        <f ca="1">BDP("032879YL Muni","ID_CUSIP")</f>
        <v>#NAME?</v>
      </c>
      <c r="B1033" t="e">
        <f ca="1">BDP("032879YL Muni","STATE_CODE")</f>
        <v>#NAME?</v>
      </c>
      <c r="C1033" t="s">
        <v>67</v>
      </c>
      <c r="D1033" t="e">
        <f ca="1">BDP("032879YL Muni","YIELD_ON_ISSUE_DATE")</f>
        <v>#NAME?</v>
      </c>
      <c r="E1033">
        <v>390000</v>
      </c>
      <c r="F1033" t="e">
        <f ca="1">BDP("032879YL Muni","ISSUE_DT")</f>
        <v>#NAME?</v>
      </c>
      <c r="G1033" t="e">
        <f ca="1">BDP("032879YL Muni","MATURITY")</f>
        <v>#NAME?</v>
      </c>
      <c r="H1033" t="e">
        <f ca="1">BDP("032879YL Muni","MUNI_TAX_PROV")</f>
        <v>#NAME?</v>
      </c>
      <c r="I1033" t="e">
        <f ca="1">BDP("032879YL Muni","FINANCING_TYPE")</f>
        <v>#NAME?</v>
      </c>
      <c r="J1033" t="e">
        <f ca="1">BDP("032879YL Muni","BICS_LEVEL_2_INDUSTRY_GROUP_NAME")</f>
        <v>#NAME?</v>
      </c>
      <c r="K1033" t="e">
        <f ca="1">BDP("032879YL Muni","SELF_REPRTD_GREEN_INSTR_INDCTR")</f>
        <v>#NAME?</v>
      </c>
      <c r="L1033" t="e">
        <f ca="1">BDP("032879YL Muni","GB_MANAGEMENT_PROCEEDS")</f>
        <v>#NAME?</v>
      </c>
      <c r="M1033" t="e">
        <f ca="1">BDP("032879YL Muni","GB_REPORTING")</f>
        <v>#NAME?</v>
      </c>
      <c r="N1033" t="e">
        <f ca="1">BDP("032879YL Muni","GB_ASSURANCE_PROVIDERS")</f>
        <v>#NAME?</v>
      </c>
      <c r="O1033" t="e">
        <f ca="1">BDP("032879YL Muni","GB_PROJECT_SELECTION_PROCESS")</f>
        <v>#NAME?</v>
      </c>
      <c r="P1033" t="e">
        <f ca="1">BDP("032879YL Muni","ESG_FRAMEWORK_INDICATOR")</f>
        <v>#NAME?</v>
      </c>
      <c r="Q1033" t="e">
        <f ca="1">BDP("032879YL Muni","BLOOMBERG_SECTOR_CODE")</f>
        <v>#NAME?</v>
      </c>
      <c r="R1033" t="e">
        <f ca="1">BDP("032879YL Muni","ISSUER_TYPE")</f>
        <v>#NAME?</v>
      </c>
      <c r="S1033" t="e">
        <f ca="1">BDS("032879YL Muni","ESG_PROJECT_CATEGORY", "aggregate=y")</f>
        <v>#NAME?</v>
      </c>
      <c r="T1033" t="e">
        <f ca="1">BDS("032879YL Muni","ESG_PROJECT_SUBCATEGORY", "aggregate=y")</f>
        <v>#NAME?</v>
      </c>
    </row>
    <row r="1034" spans="1:20" x14ac:dyDescent="0.25">
      <c r="A1034" t="e">
        <f ca="1">BDP("032879YQ Muni","ID_CUSIP")</f>
        <v>#NAME?</v>
      </c>
      <c r="B1034" t="e">
        <f ca="1">BDP("032879YQ Muni","STATE_CODE")</f>
        <v>#NAME?</v>
      </c>
      <c r="C1034" t="s">
        <v>67</v>
      </c>
      <c r="D1034" t="e">
        <f ca="1">BDP("032879YQ Muni","YIELD_ON_ISSUE_DATE")</f>
        <v>#NAME?</v>
      </c>
      <c r="E1034">
        <v>475000</v>
      </c>
      <c r="F1034" t="e">
        <f ca="1">BDP("032879YQ Muni","ISSUE_DT")</f>
        <v>#NAME?</v>
      </c>
      <c r="G1034" t="e">
        <f ca="1">BDP("032879YQ Muni","MATURITY")</f>
        <v>#NAME?</v>
      </c>
      <c r="H1034" t="e">
        <f ca="1">BDP("032879YQ Muni","MUNI_TAX_PROV")</f>
        <v>#NAME?</v>
      </c>
      <c r="I1034" t="e">
        <f ca="1">BDP("032879YQ Muni","FINANCING_TYPE")</f>
        <v>#NAME?</v>
      </c>
      <c r="J1034" t="e">
        <f ca="1">BDP("032879YQ Muni","BICS_LEVEL_2_INDUSTRY_GROUP_NAME")</f>
        <v>#NAME?</v>
      </c>
      <c r="K1034" t="e">
        <f ca="1">BDP("032879YQ Muni","SELF_REPRTD_GREEN_INSTR_INDCTR")</f>
        <v>#NAME?</v>
      </c>
      <c r="L1034" t="e">
        <f ca="1">BDP("032879YQ Muni","GB_MANAGEMENT_PROCEEDS")</f>
        <v>#NAME?</v>
      </c>
      <c r="M1034" t="e">
        <f ca="1">BDP("032879YQ Muni","GB_REPORTING")</f>
        <v>#NAME?</v>
      </c>
      <c r="N1034" t="e">
        <f ca="1">BDP("032879YQ Muni","GB_ASSURANCE_PROVIDERS")</f>
        <v>#NAME?</v>
      </c>
      <c r="O1034" t="e">
        <f ca="1">BDP("032879YQ Muni","GB_PROJECT_SELECTION_PROCESS")</f>
        <v>#NAME?</v>
      </c>
      <c r="P1034" t="e">
        <f ca="1">BDP("032879YQ Muni","ESG_FRAMEWORK_INDICATOR")</f>
        <v>#NAME?</v>
      </c>
      <c r="Q1034" t="e">
        <f ca="1">BDP("032879YQ Muni","BLOOMBERG_SECTOR_CODE")</f>
        <v>#NAME?</v>
      </c>
      <c r="R1034" t="e">
        <f ca="1">BDP("032879YQ Muni","ISSUER_TYPE")</f>
        <v>#NAME?</v>
      </c>
      <c r="S1034" t="e">
        <f ca="1">BDS("032879YQ Muni","ESG_PROJECT_CATEGORY", "aggregate=y")</f>
        <v>#NAME?</v>
      </c>
      <c r="T1034" t="e">
        <f ca="1">BDS("032879YQ Muni","ESG_PROJECT_SUBCATEGORY", "aggregate=y")</f>
        <v>#NAME?</v>
      </c>
    </row>
    <row r="1035" spans="1:20" x14ac:dyDescent="0.25">
      <c r="A1035" t="e">
        <f ca="1">BDP("032879YV Muni","ID_CUSIP")</f>
        <v>#NAME?</v>
      </c>
      <c r="B1035" t="e">
        <f ca="1">BDP("032879YV Muni","STATE_CODE")</f>
        <v>#NAME?</v>
      </c>
      <c r="C1035" t="s">
        <v>67</v>
      </c>
      <c r="D1035" t="e">
        <f ca="1">BDP("032879YV Muni","YIELD_ON_ISSUE_DATE")</f>
        <v>#NAME?</v>
      </c>
      <c r="E1035">
        <v>600000</v>
      </c>
      <c r="F1035" t="e">
        <f ca="1">BDP("032879YV Muni","ISSUE_DT")</f>
        <v>#NAME?</v>
      </c>
      <c r="G1035" t="e">
        <f ca="1">BDP("032879YV Muni","MATURITY")</f>
        <v>#NAME?</v>
      </c>
      <c r="H1035" t="e">
        <f ca="1">BDP("032879YV Muni","MUNI_TAX_PROV")</f>
        <v>#NAME?</v>
      </c>
      <c r="I1035" t="e">
        <f ca="1">BDP("032879YV Muni","FINANCING_TYPE")</f>
        <v>#NAME?</v>
      </c>
      <c r="J1035" t="e">
        <f ca="1">BDP("032879YV Muni","BICS_LEVEL_2_INDUSTRY_GROUP_NAME")</f>
        <v>#NAME?</v>
      </c>
      <c r="K1035" t="e">
        <f ca="1">BDP("032879YV Muni","SELF_REPRTD_GREEN_INSTR_INDCTR")</f>
        <v>#NAME?</v>
      </c>
      <c r="L1035" t="e">
        <f ca="1">BDP("032879YV Muni","GB_MANAGEMENT_PROCEEDS")</f>
        <v>#NAME?</v>
      </c>
      <c r="M1035" t="e">
        <f ca="1">BDP("032879YV Muni","GB_REPORTING")</f>
        <v>#NAME?</v>
      </c>
      <c r="N1035" t="e">
        <f ca="1">BDP("032879YV Muni","GB_ASSURANCE_PROVIDERS")</f>
        <v>#NAME?</v>
      </c>
      <c r="O1035" t="e">
        <f ca="1">BDP("032879YV Muni","GB_PROJECT_SELECTION_PROCESS")</f>
        <v>#NAME?</v>
      </c>
      <c r="P1035" t="e">
        <f ca="1">BDP("032879YV Muni","ESG_FRAMEWORK_INDICATOR")</f>
        <v>#NAME?</v>
      </c>
      <c r="Q1035" t="e">
        <f ca="1">BDP("032879YV Muni","BLOOMBERG_SECTOR_CODE")</f>
        <v>#NAME?</v>
      </c>
      <c r="R1035" t="e">
        <f ca="1">BDP("032879YV Muni","ISSUER_TYPE")</f>
        <v>#NAME?</v>
      </c>
      <c r="S1035" t="e">
        <f ca="1">BDS("032879YV Muni","ESG_PROJECT_CATEGORY", "aggregate=y")</f>
        <v>#NAME?</v>
      </c>
      <c r="T1035" t="e">
        <f ca="1">BDS("032879YV Muni","ESG_PROJECT_SUBCATEGORY", "aggregate=y")</f>
        <v>#NAME?</v>
      </c>
    </row>
    <row r="1036" spans="1:20" x14ac:dyDescent="0.25">
      <c r="A1036" t="e">
        <f ca="1">BDP("032879YH Muni","ID_CUSIP")</f>
        <v>#NAME?</v>
      </c>
      <c r="B1036" t="e">
        <f ca="1">BDP("032879YH Muni","STATE_CODE")</f>
        <v>#NAME?</v>
      </c>
      <c r="C1036" t="s">
        <v>67</v>
      </c>
      <c r="D1036" t="e">
        <f ca="1">BDP("032879YH Muni","YIELD_ON_ISSUE_DATE")</f>
        <v>#NAME?</v>
      </c>
      <c r="E1036">
        <v>335000</v>
      </c>
      <c r="F1036" t="e">
        <f ca="1">BDP("032879YH Muni","ISSUE_DT")</f>
        <v>#NAME?</v>
      </c>
      <c r="G1036" t="e">
        <f ca="1">BDP("032879YH Muni","MATURITY")</f>
        <v>#NAME?</v>
      </c>
      <c r="H1036" t="e">
        <f ca="1">BDP("032879YH Muni","MUNI_TAX_PROV")</f>
        <v>#NAME?</v>
      </c>
      <c r="I1036" t="e">
        <f ca="1">BDP("032879YH Muni","FINANCING_TYPE")</f>
        <v>#NAME?</v>
      </c>
      <c r="J1036" t="e">
        <f ca="1">BDP("032879YH Muni","BICS_LEVEL_2_INDUSTRY_GROUP_NAME")</f>
        <v>#NAME?</v>
      </c>
      <c r="K1036" t="e">
        <f ca="1">BDP("032879YH Muni","SELF_REPRTD_GREEN_INSTR_INDCTR")</f>
        <v>#NAME?</v>
      </c>
      <c r="L1036" t="e">
        <f ca="1">BDP("032879YH Muni","GB_MANAGEMENT_PROCEEDS")</f>
        <v>#NAME?</v>
      </c>
      <c r="M1036" t="e">
        <f ca="1">BDP("032879YH Muni","GB_REPORTING")</f>
        <v>#NAME?</v>
      </c>
      <c r="N1036" t="e">
        <f ca="1">BDP("032879YH Muni","GB_ASSURANCE_PROVIDERS")</f>
        <v>#NAME?</v>
      </c>
      <c r="O1036" t="e">
        <f ca="1">BDP("032879YH Muni","GB_PROJECT_SELECTION_PROCESS")</f>
        <v>#NAME?</v>
      </c>
      <c r="P1036" t="e">
        <f ca="1">BDP("032879YH Muni","ESG_FRAMEWORK_INDICATOR")</f>
        <v>#NAME?</v>
      </c>
      <c r="Q1036" t="e">
        <f ca="1">BDP("032879YH Muni","BLOOMBERG_SECTOR_CODE")</f>
        <v>#NAME?</v>
      </c>
      <c r="R1036" t="e">
        <f ca="1">BDP("032879YH Muni","ISSUER_TYPE")</f>
        <v>#NAME?</v>
      </c>
      <c r="S1036" t="e">
        <f ca="1">BDS("032879YH Muni","ESG_PROJECT_CATEGORY", "aggregate=y")</f>
        <v>#NAME?</v>
      </c>
      <c r="T1036" t="e">
        <f ca="1">BDS("032879YH Muni","ESG_PROJECT_SUBCATEGORY", "aggregate=y")</f>
        <v>#NAME?</v>
      </c>
    </row>
    <row r="1037" spans="1:20" x14ac:dyDescent="0.25">
      <c r="A1037" t="e">
        <f ca="1">BDP("032879YS Muni","ID_CUSIP")</f>
        <v>#NAME?</v>
      </c>
      <c r="B1037" t="e">
        <f ca="1">BDP("032879YS Muni","STATE_CODE")</f>
        <v>#NAME?</v>
      </c>
      <c r="C1037" t="s">
        <v>67</v>
      </c>
      <c r="D1037" t="e">
        <f ca="1">BDP("032879YS Muni","YIELD_ON_ISSUE_DATE")</f>
        <v>#NAME?</v>
      </c>
      <c r="E1037">
        <v>520000</v>
      </c>
      <c r="F1037" t="e">
        <f ca="1">BDP("032879YS Muni","ISSUE_DT")</f>
        <v>#NAME?</v>
      </c>
      <c r="G1037" t="e">
        <f ca="1">BDP("032879YS Muni","MATURITY")</f>
        <v>#NAME?</v>
      </c>
      <c r="H1037" t="e">
        <f ca="1">BDP("032879YS Muni","MUNI_TAX_PROV")</f>
        <v>#NAME?</v>
      </c>
      <c r="I1037" t="e">
        <f ca="1">BDP("032879YS Muni","FINANCING_TYPE")</f>
        <v>#NAME?</v>
      </c>
      <c r="J1037" t="e">
        <f ca="1">BDP("032879YS Muni","BICS_LEVEL_2_INDUSTRY_GROUP_NAME")</f>
        <v>#NAME?</v>
      </c>
      <c r="K1037" t="e">
        <f ca="1">BDP("032879YS Muni","SELF_REPRTD_GREEN_INSTR_INDCTR")</f>
        <v>#NAME?</v>
      </c>
      <c r="L1037" t="e">
        <f ca="1">BDP("032879YS Muni","GB_MANAGEMENT_PROCEEDS")</f>
        <v>#NAME?</v>
      </c>
      <c r="M1037" t="e">
        <f ca="1">BDP("032879YS Muni","GB_REPORTING")</f>
        <v>#NAME?</v>
      </c>
      <c r="N1037" t="e">
        <f ca="1">BDP("032879YS Muni","GB_ASSURANCE_PROVIDERS")</f>
        <v>#NAME?</v>
      </c>
      <c r="O1037" t="e">
        <f ca="1">BDP("032879YS Muni","GB_PROJECT_SELECTION_PROCESS")</f>
        <v>#NAME?</v>
      </c>
      <c r="P1037" t="e">
        <f ca="1">BDP("032879YS Muni","ESG_FRAMEWORK_INDICATOR")</f>
        <v>#NAME?</v>
      </c>
      <c r="Q1037" t="e">
        <f ca="1">BDP("032879YS Muni","BLOOMBERG_SECTOR_CODE")</f>
        <v>#NAME?</v>
      </c>
      <c r="R1037" t="e">
        <f ca="1">BDP("032879YS Muni","ISSUER_TYPE")</f>
        <v>#NAME?</v>
      </c>
      <c r="S1037" t="e">
        <f ca="1">BDS("032879YS Muni","ESG_PROJECT_CATEGORY", "aggregate=y")</f>
        <v>#NAME?</v>
      </c>
      <c r="T1037" t="e">
        <f ca="1">BDS("032879YS Muni","ESG_PROJECT_SUBCATEGORY", "aggregate=y")</f>
        <v>#NAME?</v>
      </c>
    </row>
    <row r="1038" spans="1:20" x14ac:dyDescent="0.25">
      <c r="A1038" t="e">
        <f ca="1">BDP("032879YT Muni","ID_CUSIP")</f>
        <v>#NAME?</v>
      </c>
      <c r="B1038" t="e">
        <f ca="1">BDP("032879YT Muni","STATE_CODE")</f>
        <v>#NAME?</v>
      </c>
      <c r="C1038" t="s">
        <v>67</v>
      </c>
      <c r="D1038" t="e">
        <f ca="1">BDP("032879YT Muni","YIELD_ON_ISSUE_DATE")</f>
        <v>#NAME?</v>
      </c>
      <c r="E1038">
        <v>550000</v>
      </c>
      <c r="F1038" t="e">
        <f ca="1">BDP("032879YT Muni","ISSUE_DT")</f>
        <v>#NAME?</v>
      </c>
      <c r="G1038" t="e">
        <f ca="1">BDP("032879YT Muni","MATURITY")</f>
        <v>#NAME?</v>
      </c>
      <c r="H1038" t="e">
        <f ca="1">BDP("032879YT Muni","MUNI_TAX_PROV")</f>
        <v>#NAME?</v>
      </c>
      <c r="I1038" t="e">
        <f ca="1">BDP("032879YT Muni","FINANCING_TYPE")</f>
        <v>#NAME?</v>
      </c>
      <c r="J1038" t="e">
        <f ca="1">BDP("032879YT Muni","BICS_LEVEL_2_INDUSTRY_GROUP_NAME")</f>
        <v>#NAME?</v>
      </c>
      <c r="K1038" t="e">
        <f ca="1">BDP("032879YT Muni","SELF_REPRTD_GREEN_INSTR_INDCTR")</f>
        <v>#NAME?</v>
      </c>
      <c r="L1038" t="e">
        <f ca="1">BDP("032879YT Muni","GB_MANAGEMENT_PROCEEDS")</f>
        <v>#NAME?</v>
      </c>
      <c r="M1038" t="e">
        <f ca="1">BDP("032879YT Muni","GB_REPORTING")</f>
        <v>#NAME?</v>
      </c>
      <c r="N1038" t="e">
        <f ca="1">BDP("032879YT Muni","GB_ASSURANCE_PROVIDERS")</f>
        <v>#NAME?</v>
      </c>
      <c r="O1038" t="e">
        <f ca="1">BDP("032879YT Muni","GB_PROJECT_SELECTION_PROCESS")</f>
        <v>#NAME?</v>
      </c>
      <c r="P1038" t="e">
        <f ca="1">BDP("032879YT Muni","ESG_FRAMEWORK_INDICATOR")</f>
        <v>#NAME?</v>
      </c>
      <c r="Q1038" t="e">
        <f ca="1">BDP("032879YT Muni","BLOOMBERG_SECTOR_CODE")</f>
        <v>#NAME?</v>
      </c>
      <c r="R1038" t="e">
        <f ca="1">BDP("032879YT Muni","ISSUER_TYPE")</f>
        <v>#NAME?</v>
      </c>
      <c r="S1038" t="e">
        <f ca="1">BDS("032879YT Muni","ESG_PROJECT_CATEGORY", "aggregate=y")</f>
        <v>#NAME?</v>
      </c>
      <c r="T1038" t="e">
        <f ca="1">BDS("032879YT Muni","ESG_PROJECT_SUBCATEGORY", "aggregate=y")</f>
        <v>#NAME?</v>
      </c>
    </row>
    <row r="1039" spans="1:20" x14ac:dyDescent="0.25">
      <c r="A1039" t="e">
        <f ca="1">BDP("032879YZ Muni","ID_CUSIP")</f>
        <v>#NAME?</v>
      </c>
      <c r="B1039" t="e">
        <f ca="1">BDP("032879YZ Muni","STATE_CODE")</f>
        <v>#NAME?</v>
      </c>
      <c r="C1039" t="s">
        <v>67</v>
      </c>
      <c r="D1039" t="e">
        <f ca="1">BDP("032879YZ Muni","YIELD_ON_ISSUE_DATE")</f>
        <v>#NAME?</v>
      </c>
      <c r="E1039">
        <v>705000</v>
      </c>
      <c r="F1039" t="e">
        <f ca="1">BDP("032879YZ Muni","ISSUE_DT")</f>
        <v>#NAME?</v>
      </c>
      <c r="G1039" t="e">
        <f ca="1">BDP("032879YZ Muni","MATURITY")</f>
        <v>#NAME?</v>
      </c>
      <c r="H1039" t="e">
        <f ca="1">BDP("032879YZ Muni","MUNI_TAX_PROV")</f>
        <v>#NAME?</v>
      </c>
      <c r="I1039" t="e">
        <f ca="1">BDP("032879YZ Muni","FINANCING_TYPE")</f>
        <v>#NAME?</v>
      </c>
      <c r="J1039" t="e">
        <f ca="1">BDP("032879YZ Muni","BICS_LEVEL_2_INDUSTRY_GROUP_NAME")</f>
        <v>#NAME?</v>
      </c>
      <c r="K1039" t="e">
        <f ca="1">BDP("032879YZ Muni","SELF_REPRTD_GREEN_INSTR_INDCTR")</f>
        <v>#NAME?</v>
      </c>
      <c r="L1039" t="e">
        <f ca="1">BDP("032879YZ Muni","GB_MANAGEMENT_PROCEEDS")</f>
        <v>#NAME?</v>
      </c>
      <c r="M1039" t="e">
        <f ca="1">BDP("032879YZ Muni","GB_REPORTING")</f>
        <v>#NAME?</v>
      </c>
      <c r="N1039" t="e">
        <f ca="1">BDP("032879YZ Muni","GB_ASSURANCE_PROVIDERS")</f>
        <v>#NAME?</v>
      </c>
      <c r="O1039" t="e">
        <f ca="1">BDP("032879YZ Muni","GB_PROJECT_SELECTION_PROCESS")</f>
        <v>#NAME?</v>
      </c>
      <c r="P1039" t="e">
        <f ca="1">BDP("032879YZ Muni","ESG_FRAMEWORK_INDICATOR")</f>
        <v>#NAME?</v>
      </c>
      <c r="Q1039" t="e">
        <f ca="1">BDP("032879YZ Muni","BLOOMBERG_SECTOR_CODE")</f>
        <v>#NAME?</v>
      </c>
      <c r="R1039" t="e">
        <f ca="1">BDP("032879YZ Muni","ISSUER_TYPE")</f>
        <v>#NAME?</v>
      </c>
      <c r="S1039" t="e">
        <f ca="1">BDS("032879YZ Muni","ESG_PROJECT_CATEGORY", "aggregate=y")</f>
        <v>#NAME?</v>
      </c>
      <c r="T1039" t="e">
        <f ca="1">BDS("032879YZ Muni","ESG_PROJECT_SUBCATEGORY", "aggregate=y")</f>
        <v>#NAME?</v>
      </c>
    </row>
    <row r="1040" spans="1:20" x14ac:dyDescent="0.25">
      <c r="A1040" t="e">
        <f ca="1">BDP("032879YN Muni","ID_CUSIP")</f>
        <v>#NAME?</v>
      </c>
      <c r="B1040" t="e">
        <f ca="1">BDP("032879YN Muni","STATE_CODE")</f>
        <v>#NAME?</v>
      </c>
      <c r="C1040" t="s">
        <v>67</v>
      </c>
      <c r="D1040" t="e">
        <f ca="1">BDP("032879YN Muni","YIELD_ON_ISSUE_DATE")</f>
        <v>#NAME?</v>
      </c>
      <c r="E1040">
        <v>430000</v>
      </c>
      <c r="F1040" t="e">
        <f ca="1">BDP("032879YN Muni","ISSUE_DT")</f>
        <v>#NAME?</v>
      </c>
      <c r="G1040" t="e">
        <f ca="1">BDP("032879YN Muni","MATURITY")</f>
        <v>#NAME?</v>
      </c>
      <c r="H1040" t="e">
        <f ca="1">BDP("032879YN Muni","MUNI_TAX_PROV")</f>
        <v>#NAME?</v>
      </c>
      <c r="I1040" t="e">
        <f ca="1">BDP("032879YN Muni","FINANCING_TYPE")</f>
        <v>#NAME?</v>
      </c>
      <c r="J1040" t="e">
        <f ca="1">BDP("032879YN Muni","BICS_LEVEL_2_INDUSTRY_GROUP_NAME")</f>
        <v>#NAME?</v>
      </c>
      <c r="K1040" t="e">
        <f ca="1">BDP("032879YN Muni","SELF_REPRTD_GREEN_INSTR_INDCTR")</f>
        <v>#NAME?</v>
      </c>
      <c r="L1040" t="e">
        <f ca="1">BDP("032879YN Muni","GB_MANAGEMENT_PROCEEDS")</f>
        <v>#NAME?</v>
      </c>
      <c r="M1040" t="e">
        <f ca="1">BDP("032879YN Muni","GB_REPORTING")</f>
        <v>#NAME?</v>
      </c>
      <c r="N1040" t="e">
        <f ca="1">BDP("032879YN Muni","GB_ASSURANCE_PROVIDERS")</f>
        <v>#NAME?</v>
      </c>
      <c r="O1040" t="e">
        <f ca="1">BDP("032879YN Muni","GB_PROJECT_SELECTION_PROCESS")</f>
        <v>#NAME?</v>
      </c>
      <c r="P1040" t="e">
        <f ca="1">BDP("032879YN Muni","ESG_FRAMEWORK_INDICATOR")</f>
        <v>#NAME?</v>
      </c>
      <c r="Q1040" t="e">
        <f ca="1">BDP("032879YN Muni","BLOOMBERG_SECTOR_CODE")</f>
        <v>#NAME?</v>
      </c>
      <c r="R1040" t="e">
        <f ca="1">BDP("032879YN Muni","ISSUER_TYPE")</f>
        <v>#NAME?</v>
      </c>
      <c r="S1040" t="e">
        <f ca="1">BDS("032879YN Muni","ESG_PROJECT_CATEGORY", "aggregate=y")</f>
        <v>#NAME?</v>
      </c>
      <c r="T1040" t="e">
        <f ca="1">BDS("032879YN Muni","ESG_PROJECT_SUBCATEGORY", "aggregate=y")</f>
        <v>#NAME?</v>
      </c>
    </row>
    <row r="1041" spans="1:20" x14ac:dyDescent="0.25">
      <c r="A1041" t="e">
        <f ca="1">BDP("032879YW Muni","ID_CUSIP")</f>
        <v>#NAME?</v>
      </c>
      <c r="B1041" t="e">
        <f ca="1">BDP("032879YW Muni","STATE_CODE")</f>
        <v>#NAME?</v>
      </c>
      <c r="C1041" t="s">
        <v>67</v>
      </c>
      <c r="D1041" t="e">
        <f ca="1">BDP("032879YW Muni","YIELD_ON_ISSUE_DATE")</f>
        <v>#NAME?</v>
      </c>
      <c r="E1041">
        <v>625000</v>
      </c>
      <c r="F1041" t="e">
        <f ca="1">BDP("032879YW Muni","ISSUE_DT")</f>
        <v>#NAME?</v>
      </c>
      <c r="G1041" t="e">
        <f ca="1">BDP("032879YW Muni","MATURITY")</f>
        <v>#NAME?</v>
      </c>
      <c r="H1041" t="e">
        <f ca="1">BDP("032879YW Muni","MUNI_TAX_PROV")</f>
        <v>#NAME?</v>
      </c>
      <c r="I1041" t="e">
        <f ca="1">BDP("032879YW Muni","FINANCING_TYPE")</f>
        <v>#NAME?</v>
      </c>
      <c r="J1041" t="e">
        <f ca="1">BDP("032879YW Muni","BICS_LEVEL_2_INDUSTRY_GROUP_NAME")</f>
        <v>#NAME?</v>
      </c>
      <c r="K1041" t="e">
        <f ca="1">BDP("032879YW Muni","SELF_REPRTD_GREEN_INSTR_INDCTR")</f>
        <v>#NAME?</v>
      </c>
      <c r="L1041" t="e">
        <f ca="1">BDP("032879YW Muni","GB_MANAGEMENT_PROCEEDS")</f>
        <v>#NAME?</v>
      </c>
      <c r="M1041" t="e">
        <f ca="1">BDP("032879YW Muni","GB_REPORTING")</f>
        <v>#NAME?</v>
      </c>
      <c r="N1041" t="e">
        <f ca="1">BDP("032879YW Muni","GB_ASSURANCE_PROVIDERS")</f>
        <v>#NAME?</v>
      </c>
      <c r="O1041" t="e">
        <f ca="1">BDP("032879YW Muni","GB_PROJECT_SELECTION_PROCESS")</f>
        <v>#NAME?</v>
      </c>
      <c r="P1041" t="e">
        <f ca="1">BDP("032879YW Muni","ESG_FRAMEWORK_INDICATOR")</f>
        <v>#NAME?</v>
      </c>
      <c r="Q1041" t="e">
        <f ca="1">BDP("032879YW Muni","BLOOMBERG_SECTOR_CODE")</f>
        <v>#NAME?</v>
      </c>
      <c r="R1041" t="e">
        <f ca="1">BDP("032879YW Muni","ISSUER_TYPE")</f>
        <v>#NAME?</v>
      </c>
      <c r="S1041" t="e">
        <f ca="1">BDS("032879YW Muni","ESG_PROJECT_CATEGORY", "aggregate=y")</f>
        <v>#NAME?</v>
      </c>
      <c r="T1041" t="e">
        <f ca="1">BDS("032879YW Muni","ESG_PROJECT_SUBCATEGORY", "aggregate=y")</f>
        <v>#NAME?</v>
      </c>
    </row>
    <row r="1042" spans="1:20" x14ac:dyDescent="0.25">
      <c r="A1042" t="e">
        <f ca="1">BDP("032879ZB Muni","ID_CUSIP")</f>
        <v>#NAME?</v>
      </c>
      <c r="B1042" t="e">
        <f ca="1">BDP("032879ZB Muni","STATE_CODE")</f>
        <v>#NAME?</v>
      </c>
      <c r="C1042" t="s">
        <v>67</v>
      </c>
      <c r="D1042" t="e">
        <f ca="1">BDP("032879ZB Muni","YIELD_ON_ISSUE_DATE")</f>
        <v>#NAME?</v>
      </c>
      <c r="E1042">
        <v>765000</v>
      </c>
      <c r="F1042" t="e">
        <f ca="1">BDP("032879ZB Muni","ISSUE_DT")</f>
        <v>#NAME?</v>
      </c>
      <c r="G1042" t="e">
        <f ca="1">BDP("032879ZB Muni","MATURITY")</f>
        <v>#NAME?</v>
      </c>
      <c r="H1042" t="e">
        <f ca="1">BDP("032879ZB Muni","MUNI_TAX_PROV")</f>
        <v>#NAME?</v>
      </c>
      <c r="I1042" t="e">
        <f ca="1">BDP("032879ZB Muni","FINANCING_TYPE")</f>
        <v>#NAME?</v>
      </c>
      <c r="J1042" t="e">
        <f ca="1">BDP("032879ZB Muni","BICS_LEVEL_2_INDUSTRY_GROUP_NAME")</f>
        <v>#NAME?</v>
      </c>
      <c r="K1042" t="e">
        <f ca="1">BDP("032879ZB Muni","SELF_REPRTD_GREEN_INSTR_INDCTR")</f>
        <v>#NAME?</v>
      </c>
      <c r="L1042" t="e">
        <f ca="1">BDP("032879ZB Muni","GB_MANAGEMENT_PROCEEDS")</f>
        <v>#NAME?</v>
      </c>
      <c r="M1042" t="e">
        <f ca="1">BDP("032879ZB Muni","GB_REPORTING")</f>
        <v>#NAME?</v>
      </c>
      <c r="N1042" t="e">
        <f ca="1">BDP("032879ZB Muni","GB_ASSURANCE_PROVIDERS")</f>
        <v>#NAME?</v>
      </c>
      <c r="O1042" t="e">
        <f ca="1">BDP("032879ZB Muni","GB_PROJECT_SELECTION_PROCESS")</f>
        <v>#NAME?</v>
      </c>
      <c r="P1042" t="e">
        <f ca="1">BDP("032879ZB Muni","ESG_FRAMEWORK_INDICATOR")</f>
        <v>#NAME?</v>
      </c>
      <c r="Q1042" t="e">
        <f ca="1">BDP("032879ZB Muni","BLOOMBERG_SECTOR_CODE")</f>
        <v>#NAME?</v>
      </c>
      <c r="R1042" t="e">
        <f ca="1">BDP("032879ZB Muni","ISSUER_TYPE")</f>
        <v>#NAME?</v>
      </c>
      <c r="S1042" t="e">
        <f ca="1">BDS("032879ZB Muni","ESG_PROJECT_CATEGORY", "aggregate=y")</f>
        <v>#NAME?</v>
      </c>
      <c r="T1042" t="e">
        <f ca="1">BDS("032879ZB Muni","ESG_PROJECT_SUBCATEGORY", "aggregate=y")</f>
        <v>#NAME?</v>
      </c>
    </row>
    <row r="1043" spans="1:20" x14ac:dyDescent="0.25">
      <c r="A1043" t="e">
        <f ca="1">BDP("032879YK Muni","ID_CUSIP")</f>
        <v>#NAME?</v>
      </c>
      <c r="B1043" t="e">
        <f ca="1">BDP("032879YK Muni","STATE_CODE")</f>
        <v>#NAME?</v>
      </c>
      <c r="C1043" t="s">
        <v>67</v>
      </c>
      <c r="D1043" t="e">
        <f ca="1">BDP("032879YK Muni","YIELD_ON_ISSUE_DATE")</f>
        <v>#NAME?</v>
      </c>
      <c r="E1043">
        <v>370000</v>
      </c>
      <c r="F1043" t="e">
        <f ca="1">BDP("032879YK Muni","ISSUE_DT")</f>
        <v>#NAME?</v>
      </c>
      <c r="G1043" t="e">
        <f ca="1">BDP("032879YK Muni","MATURITY")</f>
        <v>#NAME?</v>
      </c>
      <c r="H1043" t="e">
        <f ca="1">BDP("032879YK Muni","MUNI_TAX_PROV")</f>
        <v>#NAME?</v>
      </c>
      <c r="I1043" t="e">
        <f ca="1">BDP("032879YK Muni","FINANCING_TYPE")</f>
        <v>#NAME?</v>
      </c>
      <c r="J1043" t="e">
        <f ca="1">BDP("032879YK Muni","BICS_LEVEL_2_INDUSTRY_GROUP_NAME")</f>
        <v>#NAME?</v>
      </c>
      <c r="K1043" t="e">
        <f ca="1">BDP("032879YK Muni","SELF_REPRTD_GREEN_INSTR_INDCTR")</f>
        <v>#NAME?</v>
      </c>
      <c r="L1043" t="e">
        <f ca="1">BDP("032879YK Muni","GB_MANAGEMENT_PROCEEDS")</f>
        <v>#NAME?</v>
      </c>
      <c r="M1043" t="e">
        <f ca="1">BDP("032879YK Muni","GB_REPORTING")</f>
        <v>#NAME?</v>
      </c>
      <c r="N1043" t="e">
        <f ca="1">BDP("032879YK Muni","GB_ASSURANCE_PROVIDERS")</f>
        <v>#NAME?</v>
      </c>
      <c r="O1043" t="e">
        <f ca="1">BDP("032879YK Muni","GB_PROJECT_SELECTION_PROCESS")</f>
        <v>#NAME?</v>
      </c>
      <c r="P1043" t="e">
        <f ca="1">BDP("032879YK Muni","ESG_FRAMEWORK_INDICATOR")</f>
        <v>#NAME?</v>
      </c>
      <c r="Q1043" t="e">
        <f ca="1">BDP("032879YK Muni","BLOOMBERG_SECTOR_CODE")</f>
        <v>#NAME?</v>
      </c>
      <c r="R1043" t="e">
        <f ca="1">BDP("032879YK Muni","ISSUER_TYPE")</f>
        <v>#NAME?</v>
      </c>
      <c r="S1043" t="e">
        <f ca="1">BDS("032879YK Muni","ESG_PROJECT_CATEGORY", "aggregate=y")</f>
        <v>#NAME?</v>
      </c>
      <c r="T1043" t="e">
        <f ca="1">BDS("032879YK Muni","ESG_PROJECT_SUBCATEGORY", "aggregate=y")</f>
        <v>#NAME?</v>
      </c>
    </row>
    <row r="1044" spans="1:20" x14ac:dyDescent="0.25">
      <c r="A1044" t="e">
        <f ca="1">BDP("032879YP Muni","ID_CUSIP")</f>
        <v>#NAME?</v>
      </c>
      <c r="B1044" t="e">
        <f ca="1">BDP("032879YP Muni","STATE_CODE")</f>
        <v>#NAME?</v>
      </c>
      <c r="C1044" t="s">
        <v>67</v>
      </c>
      <c r="D1044" t="e">
        <f ca="1">BDP("032879YP Muni","YIELD_ON_ISSUE_DATE")</f>
        <v>#NAME?</v>
      </c>
      <c r="E1044">
        <v>450000</v>
      </c>
      <c r="F1044" t="e">
        <f ca="1">BDP("032879YP Muni","ISSUE_DT")</f>
        <v>#NAME?</v>
      </c>
      <c r="G1044" t="e">
        <f ca="1">BDP("032879YP Muni","MATURITY")</f>
        <v>#NAME?</v>
      </c>
      <c r="H1044" t="e">
        <f ca="1">BDP("032879YP Muni","MUNI_TAX_PROV")</f>
        <v>#NAME?</v>
      </c>
      <c r="I1044" t="e">
        <f ca="1">BDP("032879YP Muni","FINANCING_TYPE")</f>
        <v>#NAME?</v>
      </c>
      <c r="J1044" t="e">
        <f ca="1">BDP("032879YP Muni","BICS_LEVEL_2_INDUSTRY_GROUP_NAME")</f>
        <v>#NAME?</v>
      </c>
      <c r="K1044" t="e">
        <f ca="1">BDP("032879YP Muni","SELF_REPRTD_GREEN_INSTR_INDCTR")</f>
        <v>#NAME?</v>
      </c>
      <c r="L1044" t="e">
        <f ca="1">BDP("032879YP Muni","GB_MANAGEMENT_PROCEEDS")</f>
        <v>#NAME?</v>
      </c>
      <c r="M1044" t="e">
        <f ca="1">BDP("032879YP Muni","GB_REPORTING")</f>
        <v>#NAME?</v>
      </c>
      <c r="N1044" t="e">
        <f ca="1">BDP("032879YP Muni","GB_ASSURANCE_PROVIDERS")</f>
        <v>#NAME?</v>
      </c>
      <c r="O1044" t="e">
        <f ca="1">BDP("032879YP Muni","GB_PROJECT_SELECTION_PROCESS")</f>
        <v>#NAME?</v>
      </c>
      <c r="P1044" t="e">
        <f ca="1">BDP("032879YP Muni","ESG_FRAMEWORK_INDICATOR")</f>
        <v>#NAME?</v>
      </c>
      <c r="Q1044" t="e">
        <f ca="1">BDP("032879YP Muni","BLOOMBERG_SECTOR_CODE")</f>
        <v>#NAME?</v>
      </c>
      <c r="R1044" t="e">
        <f ca="1">BDP("032879YP Muni","ISSUER_TYPE")</f>
        <v>#NAME?</v>
      </c>
      <c r="S1044" t="e">
        <f ca="1">BDS("032879YP Muni","ESG_PROJECT_CATEGORY", "aggregate=y")</f>
        <v>#NAME?</v>
      </c>
      <c r="T1044" t="e">
        <f ca="1">BDS("032879YP Muni","ESG_PROJECT_SUBCATEGORY", "aggregate=y")</f>
        <v>#NAME?</v>
      </c>
    </row>
    <row r="1045" spans="1:20" x14ac:dyDescent="0.25">
      <c r="A1045" t="e">
        <f ca="1">BDP("032879YX Muni","ID_CUSIP")</f>
        <v>#NAME?</v>
      </c>
      <c r="B1045" t="e">
        <f ca="1">BDP("032879YX Muni","STATE_CODE")</f>
        <v>#NAME?</v>
      </c>
      <c r="C1045" t="s">
        <v>67</v>
      </c>
      <c r="D1045" t="e">
        <f ca="1">BDP("032879YX Muni","YIELD_ON_ISSUE_DATE")</f>
        <v>#NAME?</v>
      </c>
      <c r="E1045">
        <v>650000</v>
      </c>
      <c r="F1045" t="e">
        <f ca="1">BDP("032879YX Muni","ISSUE_DT")</f>
        <v>#NAME?</v>
      </c>
      <c r="G1045" t="e">
        <f ca="1">BDP("032879YX Muni","MATURITY")</f>
        <v>#NAME?</v>
      </c>
      <c r="H1045" t="e">
        <f ca="1">BDP("032879YX Muni","MUNI_TAX_PROV")</f>
        <v>#NAME?</v>
      </c>
      <c r="I1045" t="e">
        <f ca="1">BDP("032879YX Muni","FINANCING_TYPE")</f>
        <v>#NAME?</v>
      </c>
      <c r="J1045" t="e">
        <f ca="1">BDP("032879YX Muni","BICS_LEVEL_2_INDUSTRY_GROUP_NAME")</f>
        <v>#NAME?</v>
      </c>
      <c r="K1045" t="e">
        <f ca="1">BDP("032879YX Muni","SELF_REPRTD_GREEN_INSTR_INDCTR")</f>
        <v>#NAME?</v>
      </c>
      <c r="L1045" t="e">
        <f ca="1">BDP("032879YX Muni","GB_MANAGEMENT_PROCEEDS")</f>
        <v>#NAME?</v>
      </c>
      <c r="M1045" t="e">
        <f ca="1">BDP("032879YX Muni","GB_REPORTING")</f>
        <v>#NAME?</v>
      </c>
      <c r="N1045" t="e">
        <f ca="1">BDP("032879YX Muni","GB_ASSURANCE_PROVIDERS")</f>
        <v>#NAME?</v>
      </c>
      <c r="O1045" t="e">
        <f ca="1">BDP("032879YX Muni","GB_PROJECT_SELECTION_PROCESS")</f>
        <v>#NAME?</v>
      </c>
      <c r="P1045" t="e">
        <f ca="1">BDP("032879YX Muni","ESG_FRAMEWORK_INDICATOR")</f>
        <v>#NAME?</v>
      </c>
      <c r="Q1045" t="e">
        <f ca="1">BDP("032879YX Muni","BLOOMBERG_SECTOR_CODE")</f>
        <v>#NAME?</v>
      </c>
      <c r="R1045" t="e">
        <f ca="1">BDP("032879YX Muni","ISSUER_TYPE")</f>
        <v>#NAME?</v>
      </c>
      <c r="S1045" t="e">
        <f ca="1">BDS("032879YX Muni","ESG_PROJECT_CATEGORY", "aggregate=y")</f>
        <v>#NAME?</v>
      </c>
      <c r="T1045" t="e">
        <f ca="1">BDS("032879YX Muni","ESG_PROJECT_SUBCATEGORY", "aggregate=y")</f>
        <v>#NAME?</v>
      </c>
    </row>
    <row r="1046" spans="1:20" x14ac:dyDescent="0.25">
      <c r="A1046" t="e">
        <f ca="1">BDP("032879YY Muni","ID_CUSIP")</f>
        <v>#NAME?</v>
      </c>
      <c r="B1046" t="e">
        <f ca="1">BDP("032879YY Muni","STATE_CODE")</f>
        <v>#NAME?</v>
      </c>
      <c r="C1046" t="s">
        <v>67</v>
      </c>
      <c r="D1046" t="e">
        <f ca="1">BDP("032879YY Muni","YIELD_ON_ISSUE_DATE")</f>
        <v>#NAME?</v>
      </c>
      <c r="E1046">
        <v>675000</v>
      </c>
      <c r="F1046" t="e">
        <f ca="1">BDP("032879YY Muni","ISSUE_DT")</f>
        <v>#NAME?</v>
      </c>
      <c r="G1046" t="e">
        <f ca="1">BDP("032879YY Muni","MATURITY")</f>
        <v>#NAME?</v>
      </c>
      <c r="H1046" t="e">
        <f ca="1">BDP("032879YY Muni","MUNI_TAX_PROV")</f>
        <v>#NAME?</v>
      </c>
      <c r="I1046" t="e">
        <f ca="1">BDP("032879YY Muni","FINANCING_TYPE")</f>
        <v>#NAME?</v>
      </c>
      <c r="J1046" t="e">
        <f ca="1">BDP("032879YY Muni","BICS_LEVEL_2_INDUSTRY_GROUP_NAME")</f>
        <v>#NAME?</v>
      </c>
      <c r="K1046" t="e">
        <f ca="1">BDP("032879YY Muni","SELF_REPRTD_GREEN_INSTR_INDCTR")</f>
        <v>#NAME?</v>
      </c>
      <c r="L1046" t="e">
        <f ca="1">BDP("032879YY Muni","GB_MANAGEMENT_PROCEEDS")</f>
        <v>#NAME?</v>
      </c>
      <c r="M1046" t="e">
        <f ca="1">BDP("032879YY Muni","GB_REPORTING")</f>
        <v>#NAME?</v>
      </c>
      <c r="N1046" t="e">
        <f ca="1">BDP("032879YY Muni","GB_ASSURANCE_PROVIDERS")</f>
        <v>#NAME?</v>
      </c>
      <c r="O1046" t="e">
        <f ca="1">BDP("032879YY Muni","GB_PROJECT_SELECTION_PROCESS")</f>
        <v>#NAME?</v>
      </c>
      <c r="P1046" t="e">
        <f ca="1">BDP("032879YY Muni","ESG_FRAMEWORK_INDICATOR")</f>
        <v>#NAME?</v>
      </c>
      <c r="Q1046" t="e">
        <f ca="1">BDP("032879YY Muni","BLOOMBERG_SECTOR_CODE")</f>
        <v>#NAME?</v>
      </c>
      <c r="R1046" t="e">
        <f ca="1">BDP("032879YY Muni","ISSUER_TYPE")</f>
        <v>#NAME?</v>
      </c>
      <c r="S1046" t="e">
        <f ca="1">BDS("032879YY Muni","ESG_PROJECT_CATEGORY", "aggregate=y")</f>
        <v>#NAME?</v>
      </c>
      <c r="T1046" t="e">
        <f ca="1">BDS("032879YY Muni","ESG_PROJECT_SUBCATEGORY", "aggregate=y")</f>
        <v>#NAME?</v>
      </c>
    </row>
    <row r="1047" spans="1:20" x14ac:dyDescent="0.25">
      <c r="A1047" t="e">
        <f ca="1">BDP("032879ZA Muni","ID_CUSIP")</f>
        <v>#NAME?</v>
      </c>
      <c r="B1047" t="e">
        <f ca="1">BDP("032879ZA Muni","STATE_CODE")</f>
        <v>#NAME?</v>
      </c>
      <c r="C1047" t="s">
        <v>67</v>
      </c>
      <c r="D1047" t="e">
        <f ca="1">BDP("032879ZA Muni","YIELD_ON_ISSUE_DATE")</f>
        <v>#NAME?</v>
      </c>
      <c r="E1047">
        <v>735000</v>
      </c>
      <c r="F1047" t="e">
        <f ca="1">BDP("032879ZA Muni","ISSUE_DT")</f>
        <v>#NAME?</v>
      </c>
      <c r="G1047" t="e">
        <f ca="1">BDP("032879ZA Muni","MATURITY")</f>
        <v>#NAME?</v>
      </c>
      <c r="H1047" t="e">
        <f ca="1">BDP("032879ZA Muni","MUNI_TAX_PROV")</f>
        <v>#NAME?</v>
      </c>
      <c r="I1047" t="e">
        <f ca="1">BDP("032879ZA Muni","FINANCING_TYPE")</f>
        <v>#NAME?</v>
      </c>
      <c r="J1047" t="e">
        <f ca="1">BDP("032879ZA Muni","BICS_LEVEL_2_INDUSTRY_GROUP_NAME")</f>
        <v>#NAME?</v>
      </c>
      <c r="K1047" t="e">
        <f ca="1">BDP("032879ZA Muni","SELF_REPRTD_GREEN_INSTR_INDCTR")</f>
        <v>#NAME?</v>
      </c>
      <c r="L1047" t="e">
        <f ca="1">BDP("032879ZA Muni","GB_MANAGEMENT_PROCEEDS")</f>
        <v>#NAME?</v>
      </c>
      <c r="M1047" t="e">
        <f ca="1">BDP("032879ZA Muni","GB_REPORTING")</f>
        <v>#NAME?</v>
      </c>
      <c r="N1047" t="e">
        <f ca="1">BDP("032879ZA Muni","GB_ASSURANCE_PROVIDERS")</f>
        <v>#NAME?</v>
      </c>
      <c r="O1047" t="e">
        <f ca="1">BDP("032879ZA Muni","GB_PROJECT_SELECTION_PROCESS")</f>
        <v>#NAME?</v>
      </c>
      <c r="P1047" t="e">
        <f ca="1">BDP("032879ZA Muni","ESG_FRAMEWORK_INDICATOR")</f>
        <v>#NAME?</v>
      </c>
      <c r="Q1047" t="e">
        <f ca="1">BDP("032879ZA Muni","BLOOMBERG_SECTOR_CODE")</f>
        <v>#NAME?</v>
      </c>
      <c r="R1047" t="e">
        <f ca="1">BDP("032879ZA Muni","ISSUER_TYPE")</f>
        <v>#NAME?</v>
      </c>
      <c r="S1047" t="e">
        <f ca="1">BDS("032879ZA Muni","ESG_PROJECT_CATEGORY", "aggregate=y")</f>
        <v>#NAME?</v>
      </c>
      <c r="T1047" t="e">
        <f ca="1">BDS("032879ZA Muni","ESG_PROJECT_SUBCATEGORY", "aggregate=y")</f>
        <v>#NAME?</v>
      </c>
    </row>
    <row r="1048" spans="1:20" x14ac:dyDescent="0.25">
      <c r="A1048" t="e">
        <f ca="1">BDP("60389PAB Muni","ID_CUSIP")</f>
        <v>#NAME?</v>
      </c>
      <c r="B1048" t="e">
        <f ca="1">BDP("60389PAB Muni","STATE_CODE")</f>
        <v>#NAME?</v>
      </c>
      <c r="C1048" t="s">
        <v>69</v>
      </c>
      <c r="D1048" t="e">
        <f ca="1">BDP("60389PAB Muni","YIELD_ON_ISSUE_DATE")</f>
        <v>#NAME?</v>
      </c>
      <c r="E1048">
        <v>8675000</v>
      </c>
      <c r="F1048" t="e">
        <f ca="1">BDP("60389PAB Muni","ISSUE_DT")</f>
        <v>#NAME?</v>
      </c>
      <c r="G1048" t="e">
        <f ca="1">BDP("60389PAB Muni","MATURITY")</f>
        <v>#NAME?</v>
      </c>
      <c r="H1048" t="e">
        <f ca="1">BDP("60389PAB Muni","MUNI_TAX_PROV")</f>
        <v>#NAME?</v>
      </c>
      <c r="I1048" t="e">
        <f ca="1">BDP("60389PAB Muni","FINANCING_TYPE")</f>
        <v>#NAME?</v>
      </c>
      <c r="J1048" t="e">
        <f ca="1">BDP("60389PAB Muni","BICS_LEVEL_2_INDUSTRY_GROUP_NAME")</f>
        <v>#NAME?</v>
      </c>
      <c r="K1048" t="e">
        <f ca="1">BDP("60389PAB Muni","SELF_REPRTD_GREEN_INSTR_INDCTR")</f>
        <v>#NAME?</v>
      </c>
      <c r="L1048" t="e">
        <f ca="1">BDP("60389PAB Muni","GB_MANAGEMENT_PROCEEDS")</f>
        <v>#NAME?</v>
      </c>
      <c r="M1048" t="e">
        <f ca="1">BDP("60389PAB Muni","GB_REPORTING")</f>
        <v>#NAME?</v>
      </c>
      <c r="N1048" t="e">
        <f ca="1">BDP("60389PAB Muni","GB_ASSURANCE_PROVIDERS")</f>
        <v>#NAME?</v>
      </c>
      <c r="O1048" t="e">
        <f ca="1">BDP("60389PAB Muni","GB_PROJECT_SELECTION_PROCESS")</f>
        <v>#NAME?</v>
      </c>
      <c r="P1048" t="e">
        <f ca="1">BDP("60389PAB Muni","ESG_FRAMEWORK_INDICATOR")</f>
        <v>#NAME?</v>
      </c>
      <c r="Q1048" t="e">
        <f ca="1">BDP("60389PAB Muni","BLOOMBERG_SECTOR_CODE")</f>
        <v>#NAME?</v>
      </c>
      <c r="R1048" t="e">
        <f ca="1">BDP("60389PAB Muni","ISSUER_TYPE")</f>
        <v>#NAME?</v>
      </c>
      <c r="S1048" t="e">
        <f ca="1">BDS("60389PAB Muni","ESG_PROJECT_CATEGORY", "aggregate=y")</f>
        <v>#NAME?</v>
      </c>
      <c r="T1048" t="e">
        <f ca="1">BDS("60389PAB Muni","ESG_PROJECT_SUBCATEGORY", "aggregate=y")</f>
        <v>#NAME?</v>
      </c>
    </row>
    <row r="1049" spans="1:20" x14ac:dyDescent="0.25">
      <c r="A1049" t="e">
        <f ca="1">BDP("793071XM Muni","ID_CUSIP")</f>
        <v>#NAME?</v>
      </c>
      <c r="B1049" t="e">
        <f ca="1">BDP("793071XM Muni","STATE_CODE")</f>
        <v>#NAME?</v>
      </c>
      <c r="C1049" t="s">
        <v>70</v>
      </c>
      <c r="D1049" t="e">
        <f ca="1">BDP("793071XM Muni","YIELD_ON_ISSUE_DATE")</f>
        <v>#NAME?</v>
      </c>
      <c r="E1049">
        <v>340000</v>
      </c>
      <c r="F1049" t="e">
        <f ca="1">BDP("793071XM Muni","ISSUE_DT")</f>
        <v>#NAME?</v>
      </c>
      <c r="G1049" t="e">
        <f ca="1">BDP("793071XM Muni","MATURITY")</f>
        <v>#NAME?</v>
      </c>
      <c r="H1049" t="e">
        <f ca="1">BDP("793071XM Muni","MUNI_TAX_PROV")</f>
        <v>#NAME?</v>
      </c>
      <c r="I1049" t="e">
        <f ca="1">BDP("793071XM Muni","FINANCING_TYPE")</f>
        <v>#NAME?</v>
      </c>
      <c r="J1049" t="e">
        <f ca="1">BDP("793071XM Muni","BICS_LEVEL_2_INDUSTRY_GROUP_NAME")</f>
        <v>#NAME?</v>
      </c>
      <c r="K1049" t="e">
        <f ca="1">BDP("793071XM Muni","SELF_REPRTD_GREEN_INSTR_INDCTR")</f>
        <v>#NAME?</v>
      </c>
      <c r="L1049" t="e">
        <f ca="1">BDP("793071XM Muni","GB_MANAGEMENT_PROCEEDS")</f>
        <v>#NAME?</v>
      </c>
      <c r="M1049" t="e">
        <f ca="1">BDP("793071XM Muni","GB_REPORTING")</f>
        <v>#NAME?</v>
      </c>
      <c r="N1049" t="e">
        <f ca="1">BDP("793071XM Muni","GB_ASSURANCE_PROVIDERS")</f>
        <v>#NAME?</v>
      </c>
      <c r="O1049" t="e">
        <f ca="1">BDP("793071XM Muni","GB_PROJECT_SELECTION_PROCESS")</f>
        <v>#NAME?</v>
      </c>
      <c r="P1049" t="e">
        <f ca="1">BDP("793071XM Muni","ESG_FRAMEWORK_INDICATOR")</f>
        <v>#NAME?</v>
      </c>
      <c r="Q1049" t="e">
        <f ca="1">BDP("793071XM Muni","BLOOMBERG_SECTOR_CODE")</f>
        <v>#NAME?</v>
      </c>
      <c r="R1049" t="e">
        <f ca="1">BDP("793071XM Muni","ISSUER_TYPE")</f>
        <v>#NAME?</v>
      </c>
      <c r="S1049" t="e">
        <f ca="1">BDS("793071XM Muni","ESG_PROJECT_CATEGORY", "aggregate=y")</f>
        <v>#NAME?</v>
      </c>
      <c r="T1049" t="e">
        <f ca="1">BDS("793071XM Muni","ESG_PROJECT_SUBCATEGORY", "aggregate=y")</f>
        <v>#NAME?</v>
      </c>
    </row>
    <row r="1050" spans="1:20" x14ac:dyDescent="0.25">
      <c r="A1050" t="e">
        <f ca="1">BDP("793071XP Muni","ID_CUSIP")</f>
        <v>#NAME?</v>
      </c>
      <c r="B1050" t="e">
        <f ca="1">BDP("793071XP Muni","STATE_CODE")</f>
        <v>#NAME?</v>
      </c>
      <c r="C1050" t="s">
        <v>70</v>
      </c>
      <c r="D1050" t="e">
        <f ca="1">BDP("793071XP Muni","YIELD_ON_ISSUE_DATE")</f>
        <v>#NAME?</v>
      </c>
      <c r="E1050">
        <v>375000</v>
      </c>
      <c r="F1050" t="e">
        <f ca="1">BDP("793071XP Muni","ISSUE_DT")</f>
        <v>#NAME?</v>
      </c>
      <c r="G1050" t="e">
        <f ca="1">BDP("793071XP Muni","MATURITY")</f>
        <v>#NAME?</v>
      </c>
      <c r="H1050" t="e">
        <f ca="1">BDP("793071XP Muni","MUNI_TAX_PROV")</f>
        <v>#NAME?</v>
      </c>
      <c r="I1050" t="e">
        <f ca="1">BDP("793071XP Muni","FINANCING_TYPE")</f>
        <v>#NAME?</v>
      </c>
      <c r="J1050" t="e">
        <f ca="1">BDP("793071XP Muni","BICS_LEVEL_2_INDUSTRY_GROUP_NAME")</f>
        <v>#NAME?</v>
      </c>
      <c r="K1050" t="e">
        <f ca="1">BDP("793071XP Muni","SELF_REPRTD_GREEN_INSTR_INDCTR")</f>
        <v>#NAME?</v>
      </c>
      <c r="L1050" t="e">
        <f ca="1">BDP("793071XP Muni","GB_MANAGEMENT_PROCEEDS")</f>
        <v>#NAME?</v>
      </c>
      <c r="M1050" t="e">
        <f ca="1">BDP("793071XP Muni","GB_REPORTING")</f>
        <v>#NAME?</v>
      </c>
      <c r="N1050" t="e">
        <f ca="1">BDP("793071XP Muni","GB_ASSURANCE_PROVIDERS")</f>
        <v>#NAME?</v>
      </c>
      <c r="O1050" t="e">
        <f ca="1">BDP("793071XP Muni","GB_PROJECT_SELECTION_PROCESS")</f>
        <v>#NAME?</v>
      </c>
      <c r="P1050" t="e">
        <f ca="1">BDP("793071XP Muni","ESG_FRAMEWORK_INDICATOR")</f>
        <v>#NAME?</v>
      </c>
      <c r="Q1050" t="e">
        <f ca="1">BDP("793071XP Muni","BLOOMBERG_SECTOR_CODE")</f>
        <v>#NAME?</v>
      </c>
      <c r="R1050" t="e">
        <f ca="1">BDP("793071XP Muni","ISSUER_TYPE")</f>
        <v>#NAME?</v>
      </c>
      <c r="S1050" t="e">
        <f ca="1">BDS("793071XP Muni","ESG_PROJECT_CATEGORY", "aggregate=y")</f>
        <v>#NAME?</v>
      </c>
      <c r="T1050" t="e">
        <f ca="1">BDS("793071XP Muni","ESG_PROJECT_SUBCATEGORY", "aggregate=y")</f>
        <v>#NAME?</v>
      </c>
    </row>
    <row r="1051" spans="1:20" x14ac:dyDescent="0.25">
      <c r="A1051" t="e">
        <f ca="1">BDP("793071XT Muni","ID_CUSIP")</f>
        <v>#NAME?</v>
      </c>
      <c r="B1051" t="e">
        <f ca="1">BDP("793071XT Muni","STATE_CODE")</f>
        <v>#NAME?</v>
      </c>
      <c r="C1051" t="s">
        <v>70</v>
      </c>
      <c r="D1051" t="e">
        <f ca="1">BDP("793071XT Muni","YIELD_ON_ISSUE_DATE")</f>
        <v>#NAME?</v>
      </c>
      <c r="E1051">
        <v>455000</v>
      </c>
      <c r="F1051" t="e">
        <f ca="1">BDP("793071XT Muni","ISSUE_DT")</f>
        <v>#NAME?</v>
      </c>
      <c r="G1051" t="e">
        <f ca="1">BDP("793071XT Muni","MATURITY")</f>
        <v>#NAME?</v>
      </c>
      <c r="H1051" t="e">
        <f ca="1">BDP("793071XT Muni","MUNI_TAX_PROV")</f>
        <v>#NAME?</v>
      </c>
      <c r="I1051" t="e">
        <f ca="1">BDP("793071XT Muni","FINANCING_TYPE")</f>
        <v>#NAME?</v>
      </c>
      <c r="J1051" t="e">
        <f ca="1">BDP("793071XT Muni","BICS_LEVEL_2_INDUSTRY_GROUP_NAME")</f>
        <v>#NAME?</v>
      </c>
      <c r="K1051" t="e">
        <f ca="1">BDP("793071XT Muni","SELF_REPRTD_GREEN_INSTR_INDCTR")</f>
        <v>#NAME?</v>
      </c>
      <c r="L1051" t="e">
        <f ca="1">BDP("793071XT Muni","GB_MANAGEMENT_PROCEEDS")</f>
        <v>#NAME?</v>
      </c>
      <c r="M1051" t="e">
        <f ca="1">BDP("793071XT Muni","GB_REPORTING")</f>
        <v>#NAME?</v>
      </c>
      <c r="N1051" t="e">
        <f ca="1">BDP("793071XT Muni","GB_ASSURANCE_PROVIDERS")</f>
        <v>#NAME?</v>
      </c>
      <c r="O1051" t="e">
        <f ca="1">BDP("793071XT Muni","GB_PROJECT_SELECTION_PROCESS")</f>
        <v>#NAME?</v>
      </c>
      <c r="P1051" t="e">
        <f ca="1">BDP("793071XT Muni","ESG_FRAMEWORK_INDICATOR")</f>
        <v>#NAME?</v>
      </c>
      <c r="Q1051" t="e">
        <f ca="1">BDP("793071XT Muni","BLOOMBERG_SECTOR_CODE")</f>
        <v>#NAME?</v>
      </c>
      <c r="R1051" t="e">
        <f ca="1">BDP("793071XT Muni","ISSUER_TYPE")</f>
        <v>#NAME?</v>
      </c>
      <c r="S1051" t="e">
        <f ca="1">BDS("793071XT Muni","ESG_PROJECT_CATEGORY", "aggregate=y")</f>
        <v>#NAME?</v>
      </c>
      <c r="T1051" t="e">
        <f ca="1">BDS("793071XT Muni","ESG_PROJECT_SUBCATEGORY", "aggregate=y")</f>
        <v>#NAME?</v>
      </c>
    </row>
    <row r="1052" spans="1:20" x14ac:dyDescent="0.25">
      <c r="A1052" t="e">
        <f ca="1">BDP("793071XU Muni","ID_CUSIP")</f>
        <v>#NAME?</v>
      </c>
      <c r="B1052" t="e">
        <f ca="1">BDP("793071XU Muni","STATE_CODE")</f>
        <v>#NAME?</v>
      </c>
      <c r="C1052" t="s">
        <v>70</v>
      </c>
      <c r="D1052" t="e">
        <f ca="1">BDP("793071XU Muni","YIELD_ON_ISSUE_DATE")</f>
        <v>#NAME?</v>
      </c>
      <c r="E1052">
        <v>480000</v>
      </c>
      <c r="F1052" t="e">
        <f ca="1">BDP("793071XU Muni","ISSUE_DT")</f>
        <v>#NAME?</v>
      </c>
      <c r="G1052" t="e">
        <f ca="1">BDP("793071XU Muni","MATURITY")</f>
        <v>#NAME?</v>
      </c>
      <c r="H1052" t="e">
        <f ca="1">BDP("793071XU Muni","MUNI_TAX_PROV")</f>
        <v>#NAME?</v>
      </c>
      <c r="I1052" t="e">
        <f ca="1">BDP("793071XU Muni","FINANCING_TYPE")</f>
        <v>#NAME?</v>
      </c>
      <c r="J1052" t="e">
        <f ca="1">BDP("793071XU Muni","BICS_LEVEL_2_INDUSTRY_GROUP_NAME")</f>
        <v>#NAME?</v>
      </c>
      <c r="K1052" t="e">
        <f ca="1">BDP("793071XU Muni","SELF_REPRTD_GREEN_INSTR_INDCTR")</f>
        <v>#NAME?</v>
      </c>
      <c r="L1052" t="e">
        <f ca="1">BDP("793071XU Muni","GB_MANAGEMENT_PROCEEDS")</f>
        <v>#NAME?</v>
      </c>
      <c r="M1052" t="e">
        <f ca="1">BDP("793071XU Muni","GB_REPORTING")</f>
        <v>#NAME?</v>
      </c>
      <c r="N1052" t="e">
        <f ca="1">BDP("793071XU Muni","GB_ASSURANCE_PROVIDERS")</f>
        <v>#NAME?</v>
      </c>
      <c r="O1052" t="e">
        <f ca="1">BDP("793071XU Muni","GB_PROJECT_SELECTION_PROCESS")</f>
        <v>#NAME?</v>
      </c>
      <c r="P1052" t="e">
        <f ca="1">BDP("793071XU Muni","ESG_FRAMEWORK_INDICATOR")</f>
        <v>#NAME?</v>
      </c>
      <c r="Q1052" t="e">
        <f ca="1">BDP("793071XU Muni","BLOOMBERG_SECTOR_CODE")</f>
        <v>#NAME?</v>
      </c>
      <c r="R1052" t="e">
        <f ca="1">BDP("793071XU Muni","ISSUER_TYPE")</f>
        <v>#NAME?</v>
      </c>
      <c r="S1052" t="e">
        <f ca="1">BDS("793071XU Muni","ESG_PROJECT_CATEGORY", "aggregate=y")</f>
        <v>#NAME?</v>
      </c>
      <c r="T1052" t="e">
        <f ca="1">BDS("793071XU Muni","ESG_PROJECT_SUBCATEGORY", "aggregate=y")</f>
        <v>#NAME?</v>
      </c>
    </row>
    <row r="1053" spans="1:20" x14ac:dyDescent="0.25">
      <c r="A1053" t="e">
        <f ca="1">BDP("793071XW Muni","ID_CUSIP")</f>
        <v>#NAME?</v>
      </c>
      <c r="B1053" t="e">
        <f ca="1">BDP("793071XW Muni","STATE_CODE")</f>
        <v>#NAME?</v>
      </c>
      <c r="C1053" t="s">
        <v>70</v>
      </c>
      <c r="D1053" t="e">
        <f ca="1">BDP("793071XW Muni","YIELD_ON_ISSUE_DATE")</f>
        <v>#NAME?</v>
      </c>
      <c r="E1053">
        <v>530000</v>
      </c>
      <c r="F1053" t="e">
        <f ca="1">BDP("793071XW Muni","ISSUE_DT")</f>
        <v>#NAME?</v>
      </c>
      <c r="G1053" t="e">
        <f ca="1">BDP("793071XW Muni","MATURITY")</f>
        <v>#NAME?</v>
      </c>
      <c r="H1053" t="e">
        <f ca="1">BDP("793071XW Muni","MUNI_TAX_PROV")</f>
        <v>#NAME?</v>
      </c>
      <c r="I1053" t="e">
        <f ca="1">BDP("793071XW Muni","FINANCING_TYPE")</f>
        <v>#NAME?</v>
      </c>
      <c r="J1053" t="e">
        <f ca="1">BDP("793071XW Muni","BICS_LEVEL_2_INDUSTRY_GROUP_NAME")</f>
        <v>#NAME?</v>
      </c>
      <c r="K1053" t="e">
        <f ca="1">BDP("793071XW Muni","SELF_REPRTD_GREEN_INSTR_INDCTR")</f>
        <v>#NAME?</v>
      </c>
      <c r="L1053" t="e">
        <f ca="1">BDP("793071XW Muni","GB_MANAGEMENT_PROCEEDS")</f>
        <v>#NAME?</v>
      </c>
      <c r="M1053" t="e">
        <f ca="1">BDP("793071XW Muni","GB_REPORTING")</f>
        <v>#NAME?</v>
      </c>
      <c r="N1053" t="e">
        <f ca="1">BDP("793071XW Muni","GB_ASSURANCE_PROVIDERS")</f>
        <v>#NAME?</v>
      </c>
      <c r="O1053" t="e">
        <f ca="1">BDP("793071XW Muni","GB_PROJECT_SELECTION_PROCESS")</f>
        <v>#NAME?</v>
      </c>
      <c r="P1053" t="e">
        <f ca="1">BDP("793071XW Muni","ESG_FRAMEWORK_INDICATOR")</f>
        <v>#NAME?</v>
      </c>
      <c r="Q1053" t="e">
        <f ca="1">BDP("793071XW Muni","BLOOMBERG_SECTOR_CODE")</f>
        <v>#NAME?</v>
      </c>
      <c r="R1053" t="e">
        <f ca="1">BDP("793071XW Muni","ISSUER_TYPE")</f>
        <v>#NAME?</v>
      </c>
      <c r="S1053" t="e">
        <f ca="1">BDS("793071XW Muni","ESG_PROJECT_CATEGORY", "aggregate=y")</f>
        <v>#NAME?</v>
      </c>
      <c r="T1053" t="e">
        <f ca="1">BDS("793071XW Muni","ESG_PROJECT_SUBCATEGORY", "aggregate=y")</f>
        <v>#NAME?</v>
      </c>
    </row>
    <row r="1054" spans="1:20" x14ac:dyDescent="0.25">
      <c r="A1054" t="e">
        <f ca="1">BDP("793071XX Muni","ID_CUSIP")</f>
        <v>#NAME?</v>
      </c>
      <c r="B1054" t="e">
        <f ca="1">BDP("793071XX Muni","STATE_CODE")</f>
        <v>#NAME?</v>
      </c>
      <c r="C1054" t="s">
        <v>70</v>
      </c>
      <c r="D1054" t="e">
        <f ca="1">BDP("793071XX Muni","YIELD_ON_ISSUE_DATE")</f>
        <v>#NAME?</v>
      </c>
      <c r="E1054">
        <v>555000</v>
      </c>
      <c r="F1054" t="e">
        <f ca="1">BDP("793071XX Muni","ISSUE_DT")</f>
        <v>#NAME?</v>
      </c>
      <c r="G1054" t="e">
        <f ca="1">BDP("793071XX Muni","MATURITY")</f>
        <v>#NAME?</v>
      </c>
      <c r="H1054" t="e">
        <f ca="1">BDP("793071XX Muni","MUNI_TAX_PROV")</f>
        <v>#NAME?</v>
      </c>
      <c r="I1054" t="e">
        <f ca="1">BDP("793071XX Muni","FINANCING_TYPE")</f>
        <v>#NAME?</v>
      </c>
      <c r="J1054" t="e">
        <f ca="1">BDP("793071XX Muni","BICS_LEVEL_2_INDUSTRY_GROUP_NAME")</f>
        <v>#NAME?</v>
      </c>
      <c r="K1054" t="e">
        <f ca="1">BDP("793071XX Muni","SELF_REPRTD_GREEN_INSTR_INDCTR")</f>
        <v>#NAME?</v>
      </c>
      <c r="L1054" t="e">
        <f ca="1">BDP("793071XX Muni","GB_MANAGEMENT_PROCEEDS")</f>
        <v>#NAME?</v>
      </c>
      <c r="M1054" t="e">
        <f ca="1">BDP("793071XX Muni","GB_REPORTING")</f>
        <v>#NAME?</v>
      </c>
      <c r="N1054" t="e">
        <f ca="1">BDP("793071XX Muni","GB_ASSURANCE_PROVIDERS")</f>
        <v>#NAME?</v>
      </c>
      <c r="O1054" t="e">
        <f ca="1">BDP("793071XX Muni","GB_PROJECT_SELECTION_PROCESS")</f>
        <v>#NAME?</v>
      </c>
      <c r="P1054" t="e">
        <f ca="1">BDP("793071XX Muni","ESG_FRAMEWORK_INDICATOR")</f>
        <v>#NAME?</v>
      </c>
      <c r="Q1054" t="e">
        <f ca="1">BDP("793071XX Muni","BLOOMBERG_SECTOR_CODE")</f>
        <v>#NAME?</v>
      </c>
      <c r="R1054" t="e">
        <f ca="1">BDP("793071XX Muni","ISSUER_TYPE")</f>
        <v>#NAME?</v>
      </c>
      <c r="S1054" t="e">
        <f ca="1">BDS("793071XX Muni","ESG_PROJECT_CATEGORY", "aggregate=y")</f>
        <v>#NAME?</v>
      </c>
      <c r="T1054" t="e">
        <f ca="1">BDS("793071XX Muni","ESG_PROJECT_SUBCATEGORY", "aggregate=y")</f>
        <v>#NAME?</v>
      </c>
    </row>
    <row r="1055" spans="1:20" x14ac:dyDescent="0.25">
      <c r="A1055" t="e">
        <f ca="1">BDP("793071XY Muni","ID_CUSIP")</f>
        <v>#NAME?</v>
      </c>
      <c r="B1055" t="e">
        <f ca="1">BDP("793071XY Muni","STATE_CODE")</f>
        <v>#NAME?</v>
      </c>
      <c r="C1055" t="s">
        <v>70</v>
      </c>
      <c r="D1055" t="e">
        <f ca="1">BDP("793071XY Muni","YIELD_ON_ISSUE_DATE")</f>
        <v>#NAME?</v>
      </c>
      <c r="E1055">
        <v>580000</v>
      </c>
      <c r="F1055" t="e">
        <f ca="1">BDP("793071XY Muni","ISSUE_DT")</f>
        <v>#NAME?</v>
      </c>
      <c r="G1055" t="e">
        <f ca="1">BDP("793071XY Muni","MATURITY")</f>
        <v>#NAME?</v>
      </c>
      <c r="H1055" t="e">
        <f ca="1">BDP("793071XY Muni","MUNI_TAX_PROV")</f>
        <v>#NAME?</v>
      </c>
      <c r="I1055" t="e">
        <f ca="1">BDP("793071XY Muni","FINANCING_TYPE")</f>
        <v>#NAME?</v>
      </c>
      <c r="J1055" t="e">
        <f ca="1">BDP("793071XY Muni","BICS_LEVEL_2_INDUSTRY_GROUP_NAME")</f>
        <v>#NAME?</v>
      </c>
      <c r="K1055" t="e">
        <f ca="1">BDP("793071XY Muni","SELF_REPRTD_GREEN_INSTR_INDCTR")</f>
        <v>#NAME?</v>
      </c>
      <c r="L1055" t="e">
        <f ca="1">BDP("793071XY Muni","GB_MANAGEMENT_PROCEEDS")</f>
        <v>#NAME?</v>
      </c>
      <c r="M1055" t="e">
        <f ca="1">BDP("793071XY Muni","GB_REPORTING")</f>
        <v>#NAME?</v>
      </c>
      <c r="N1055" t="e">
        <f ca="1">BDP("793071XY Muni","GB_ASSURANCE_PROVIDERS")</f>
        <v>#NAME?</v>
      </c>
      <c r="O1055" t="e">
        <f ca="1">BDP("793071XY Muni","GB_PROJECT_SELECTION_PROCESS")</f>
        <v>#NAME?</v>
      </c>
      <c r="P1055" t="e">
        <f ca="1">BDP("793071XY Muni","ESG_FRAMEWORK_INDICATOR")</f>
        <v>#NAME?</v>
      </c>
      <c r="Q1055" t="e">
        <f ca="1">BDP("793071XY Muni","BLOOMBERG_SECTOR_CODE")</f>
        <v>#NAME?</v>
      </c>
      <c r="R1055" t="e">
        <f ca="1">BDP("793071XY Muni","ISSUER_TYPE")</f>
        <v>#NAME?</v>
      </c>
      <c r="S1055" t="e">
        <f ca="1">BDS("793071XY Muni","ESG_PROJECT_CATEGORY", "aggregate=y")</f>
        <v>#NAME?</v>
      </c>
      <c r="T1055" t="e">
        <f ca="1">BDS("793071XY Muni","ESG_PROJECT_SUBCATEGORY", "aggregate=y")</f>
        <v>#NAME?</v>
      </c>
    </row>
    <row r="1056" spans="1:20" x14ac:dyDescent="0.25">
      <c r="A1056" t="e">
        <f ca="1">BDP("793071XZ Muni","ID_CUSIP")</f>
        <v>#NAME?</v>
      </c>
      <c r="B1056" t="e">
        <f ca="1">BDP("793071XZ Muni","STATE_CODE")</f>
        <v>#NAME?</v>
      </c>
      <c r="C1056" t="s">
        <v>70</v>
      </c>
      <c r="D1056" t="e">
        <f ca="1">BDP("793071XZ Muni","YIELD_ON_ISSUE_DATE")</f>
        <v>#NAME?</v>
      </c>
      <c r="E1056">
        <v>610000</v>
      </c>
      <c r="F1056" t="e">
        <f ca="1">BDP("793071XZ Muni","ISSUE_DT")</f>
        <v>#NAME?</v>
      </c>
      <c r="G1056" t="e">
        <f ca="1">BDP("793071XZ Muni","MATURITY")</f>
        <v>#NAME?</v>
      </c>
      <c r="H1056" t="e">
        <f ca="1">BDP("793071XZ Muni","MUNI_TAX_PROV")</f>
        <v>#NAME?</v>
      </c>
      <c r="I1056" t="e">
        <f ca="1">BDP("793071XZ Muni","FINANCING_TYPE")</f>
        <v>#NAME?</v>
      </c>
      <c r="J1056" t="e">
        <f ca="1">BDP("793071XZ Muni","BICS_LEVEL_2_INDUSTRY_GROUP_NAME")</f>
        <v>#NAME?</v>
      </c>
      <c r="K1056" t="e">
        <f ca="1">BDP("793071XZ Muni","SELF_REPRTD_GREEN_INSTR_INDCTR")</f>
        <v>#NAME?</v>
      </c>
      <c r="L1056" t="e">
        <f ca="1">BDP("793071XZ Muni","GB_MANAGEMENT_PROCEEDS")</f>
        <v>#NAME?</v>
      </c>
      <c r="M1056" t="e">
        <f ca="1">BDP("793071XZ Muni","GB_REPORTING")</f>
        <v>#NAME?</v>
      </c>
      <c r="N1056" t="e">
        <f ca="1">BDP("793071XZ Muni","GB_ASSURANCE_PROVIDERS")</f>
        <v>#NAME?</v>
      </c>
      <c r="O1056" t="e">
        <f ca="1">BDP("793071XZ Muni","GB_PROJECT_SELECTION_PROCESS")</f>
        <v>#NAME?</v>
      </c>
      <c r="P1056" t="e">
        <f ca="1">BDP("793071XZ Muni","ESG_FRAMEWORK_INDICATOR")</f>
        <v>#NAME?</v>
      </c>
      <c r="Q1056" t="e">
        <f ca="1">BDP("793071XZ Muni","BLOOMBERG_SECTOR_CODE")</f>
        <v>#NAME?</v>
      </c>
      <c r="R1056" t="e">
        <f ca="1">BDP("793071XZ Muni","ISSUER_TYPE")</f>
        <v>#NAME?</v>
      </c>
      <c r="S1056" t="e">
        <f ca="1">BDS("793071XZ Muni","ESG_PROJECT_CATEGORY", "aggregate=y")</f>
        <v>#NAME?</v>
      </c>
      <c r="T1056" t="e">
        <f ca="1">BDS("793071XZ Muni","ESG_PROJECT_SUBCATEGORY", "aggregate=y")</f>
        <v>#NAME?</v>
      </c>
    </row>
    <row r="1057" spans="1:20" x14ac:dyDescent="0.25">
      <c r="A1057" t="e">
        <f ca="1">BDP("793071YE Muni","ID_CUSIP")</f>
        <v>#NAME?</v>
      </c>
      <c r="B1057" t="e">
        <f ca="1">BDP("793071YE Muni","STATE_CODE")</f>
        <v>#NAME?</v>
      </c>
      <c r="C1057" t="s">
        <v>70</v>
      </c>
      <c r="D1057" t="e">
        <f ca="1">BDP("793071YE Muni","YIELD_ON_ISSUE_DATE")</f>
        <v>#NAME?</v>
      </c>
      <c r="E1057">
        <v>760000</v>
      </c>
      <c r="F1057" t="e">
        <f ca="1">BDP("793071YE Muni","ISSUE_DT")</f>
        <v>#NAME?</v>
      </c>
      <c r="G1057" t="e">
        <f ca="1">BDP("793071YE Muni","MATURITY")</f>
        <v>#NAME?</v>
      </c>
      <c r="H1057" t="e">
        <f ca="1">BDP("793071YE Muni","MUNI_TAX_PROV")</f>
        <v>#NAME?</v>
      </c>
      <c r="I1057" t="e">
        <f ca="1">BDP("793071YE Muni","FINANCING_TYPE")</f>
        <v>#NAME?</v>
      </c>
      <c r="J1057" t="e">
        <f ca="1">BDP("793071YE Muni","BICS_LEVEL_2_INDUSTRY_GROUP_NAME")</f>
        <v>#NAME?</v>
      </c>
      <c r="K1057" t="e">
        <f ca="1">BDP("793071YE Muni","SELF_REPRTD_GREEN_INSTR_INDCTR")</f>
        <v>#NAME?</v>
      </c>
      <c r="L1057" t="e">
        <f ca="1">BDP("793071YE Muni","GB_MANAGEMENT_PROCEEDS")</f>
        <v>#NAME?</v>
      </c>
      <c r="M1057" t="e">
        <f ca="1">BDP("793071YE Muni","GB_REPORTING")</f>
        <v>#NAME?</v>
      </c>
      <c r="N1057" t="e">
        <f ca="1">BDP("793071YE Muni","GB_ASSURANCE_PROVIDERS")</f>
        <v>#NAME?</v>
      </c>
      <c r="O1057" t="e">
        <f ca="1">BDP("793071YE Muni","GB_PROJECT_SELECTION_PROCESS")</f>
        <v>#NAME?</v>
      </c>
      <c r="P1057" t="e">
        <f ca="1">BDP("793071YE Muni","ESG_FRAMEWORK_INDICATOR")</f>
        <v>#NAME?</v>
      </c>
      <c r="Q1057" t="e">
        <f ca="1">BDP("793071YE Muni","BLOOMBERG_SECTOR_CODE")</f>
        <v>#NAME?</v>
      </c>
      <c r="R1057" t="e">
        <f ca="1">BDP("793071YE Muni","ISSUER_TYPE")</f>
        <v>#NAME?</v>
      </c>
      <c r="S1057" t="e">
        <f ca="1">BDS("793071YE Muni","ESG_PROJECT_CATEGORY", "aggregate=y")</f>
        <v>#NAME?</v>
      </c>
      <c r="T1057" t="e">
        <f ca="1">BDS("793071YE Muni","ESG_PROJECT_SUBCATEGORY", "aggregate=y")</f>
        <v>#NAME?</v>
      </c>
    </row>
    <row r="1058" spans="1:20" x14ac:dyDescent="0.25">
      <c r="A1058" t="e">
        <f ca="1">BDP("793071YC Muni","ID_CUSIP")</f>
        <v>#NAME?</v>
      </c>
      <c r="B1058" t="e">
        <f ca="1">BDP("793071YC Muni","STATE_CODE")</f>
        <v>#NAME?</v>
      </c>
      <c r="C1058" t="s">
        <v>70</v>
      </c>
      <c r="D1058" t="e">
        <f ca="1">BDP("793071YC Muni","YIELD_ON_ISSUE_DATE")</f>
        <v>#NAME?</v>
      </c>
      <c r="E1058">
        <v>695000</v>
      </c>
      <c r="F1058" t="e">
        <f ca="1">BDP("793071YC Muni","ISSUE_DT")</f>
        <v>#NAME?</v>
      </c>
      <c r="G1058" t="e">
        <f ca="1">BDP("793071YC Muni","MATURITY")</f>
        <v>#NAME?</v>
      </c>
      <c r="H1058" t="e">
        <f ca="1">BDP("793071YC Muni","MUNI_TAX_PROV")</f>
        <v>#NAME?</v>
      </c>
      <c r="I1058" t="e">
        <f ca="1">BDP("793071YC Muni","FINANCING_TYPE")</f>
        <v>#NAME?</v>
      </c>
      <c r="J1058" t="e">
        <f ca="1">BDP("793071YC Muni","BICS_LEVEL_2_INDUSTRY_GROUP_NAME")</f>
        <v>#NAME?</v>
      </c>
      <c r="K1058" t="e">
        <f ca="1">BDP("793071YC Muni","SELF_REPRTD_GREEN_INSTR_INDCTR")</f>
        <v>#NAME?</v>
      </c>
      <c r="L1058" t="e">
        <f ca="1">BDP("793071YC Muni","GB_MANAGEMENT_PROCEEDS")</f>
        <v>#NAME?</v>
      </c>
      <c r="M1058" t="e">
        <f ca="1">BDP("793071YC Muni","GB_REPORTING")</f>
        <v>#NAME?</v>
      </c>
      <c r="N1058" t="e">
        <f ca="1">BDP("793071YC Muni","GB_ASSURANCE_PROVIDERS")</f>
        <v>#NAME?</v>
      </c>
      <c r="O1058" t="e">
        <f ca="1">BDP("793071YC Muni","GB_PROJECT_SELECTION_PROCESS")</f>
        <v>#NAME?</v>
      </c>
      <c r="P1058" t="e">
        <f ca="1">BDP("793071YC Muni","ESG_FRAMEWORK_INDICATOR")</f>
        <v>#NAME?</v>
      </c>
      <c r="Q1058" t="e">
        <f ca="1">BDP("793071YC Muni","BLOOMBERG_SECTOR_CODE")</f>
        <v>#NAME?</v>
      </c>
      <c r="R1058" t="e">
        <f ca="1">BDP("793071YC Muni","ISSUER_TYPE")</f>
        <v>#NAME?</v>
      </c>
      <c r="S1058" t="e">
        <f ca="1">BDS("793071YC Muni","ESG_PROJECT_CATEGORY", "aggregate=y")</f>
        <v>#NAME?</v>
      </c>
      <c r="T1058" t="e">
        <f ca="1">BDS("793071YC Muni","ESG_PROJECT_SUBCATEGORY", "aggregate=y")</f>
        <v>#NAME?</v>
      </c>
    </row>
    <row r="1059" spans="1:20" x14ac:dyDescent="0.25">
      <c r="A1059" t="e">
        <f ca="1">BDP("793071YB Muni","ID_CUSIP")</f>
        <v>#NAME?</v>
      </c>
      <c r="B1059" t="e">
        <f ca="1">BDP("793071YB Muni","STATE_CODE")</f>
        <v>#NAME?</v>
      </c>
      <c r="C1059" t="s">
        <v>70</v>
      </c>
      <c r="D1059" t="e">
        <f ca="1">BDP("793071YB Muni","YIELD_ON_ISSUE_DATE")</f>
        <v>#NAME?</v>
      </c>
      <c r="E1059">
        <v>670000</v>
      </c>
      <c r="F1059" t="e">
        <f ca="1">BDP("793071YB Muni","ISSUE_DT")</f>
        <v>#NAME?</v>
      </c>
      <c r="G1059" t="e">
        <f ca="1">BDP("793071YB Muni","MATURITY")</f>
        <v>#NAME?</v>
      </c>
      <c r="H1059" t="e">
        <f ca="1">BDP("793071YB Muni","MUNI_TAX_PROV")</f>
        <v>#NAME?</v>
      </c>
      <c r="I1059" t="e">
        <f ca="1">BDP("793071YB Muni","FINANCING_TYPE")</f>
        <v>#NAME?</v>
      </c>
      <c r="J1059" t="e">
        <f ca="1">BDP("793071YB Muni","BICS_LEVEL_2_INDUSTRY_GROUP_NAME")</f>
        <v>#NAME?</v>
      </c>
      <c r="K1059" t="e">
        <f ca="1">BDP("793071YB Muni","SELF_REPRTD_GREEN_INSTR_INDCTR")</f>
        <v>#NAME?</v>
      </c>
      <c r="L1059" t="e">
        <f ca="1">BDP("793071YB Muni","GB_MANAGEMENT_PROCEEDS")</f>
        <v>#NAME?</v>
      </c>
      <c r="M1059" t="e">
        <f ca="1">BDP("793071YB Muni","GB_REPORTING")</f>
        <v>#NAME?</v>
      </c>
      <c r="N1059" t="e">
        <f ca="1">BDP("793071YB Muni","GB_ASSURANCE_PROVIDERS")</f>
        <v>#NAME?</v>
      </c>
      <c r="O1059" t="e">
        <f ca="1">BDP("793071YB Muni","GB_PROJECT_SELECTION_PROCESS")</f>
        <v>#NAME?</v>
      </c>
      <c r="P1059" t="e">
        <f ca="1">BDP("793071YB Muni","ESG_FRAMEWORK_INDICATOR")</f>
        <v>#NAME?</v>
      </c>
      <c r="Q1059" t="e">
        <f ca="1">BDP("793071YB Muni","BLOOMBERG_SECTOR_CODE")</f>
        <v>#NAME?</v>
      </c>
      <c r="R1059" t="e">
        <f ca="1">BDP("793071YB Muni","ISSUER_TYPE")</f>
        <v>#NAME?</v>
      </c>
      <c r="S1059" t="e">
        <f ca="1">BDS("793071YB Muni","ESG_PROJECT_CATEGORY", "aggregate=y")</f>
        <v>#NAME?</v>
      </c>
      <c r="T1059" t="e">
        <f ca="1">BDS("793071YB Muni","ESG_PROJECT_SUBCATEGORY", "aggregate=y")</f>
        <v>#NAME?</v>
      </c>
    </row>
    <row r="1060" spans="1:20" x14ac:dyDescent="0.25">
      <c r="A1060" t="e">
        <f ca="1">BDP("793071YA Muni","ID_CUSIP")</f>
        <v>#NAME?</v>
      </c>
      <c r="B1060" t="e">
        <f ca="1">BDP("793071YA Muni","STATE_CODE")</f>
        <v>#NAME?</v>
      </c>
      <c r="C1060" t="s">
        <v>70</v>
      </c>
      <c r="D1060" t="e">
        <f ca="1">BDP("793071YA Muni","YIELD_ON_ISSUE_DATE")</f>
        <v>#NAME?</v>
      </c>
      <c r="E1060">
        <v>640000</v>
      </c>
      <c r="F1060" t="e">
        <f ca="1">BDP("793071YA Muni","ISSUE_DT")</f>
        <v>#NAME?</v>
      </c>
      <c r="G1060" t="e">
        <f ca="1">BDP("793071YA Muni","MATURITY")</f>
        <v>#NAME?</v>
      </c>
      <c r="H1060" t="e">
        <f ca="1">BDP("793071YA Muni","MUNI_TAX_PROV")</f>
        <v>#NAME?</v>
      </c>
      <c r="I1060" t="e">
        <f ca="1">BDP("793071YA Muni","FINANCING_TYPE")</f>
        <v>#NAME?</v>
      </c>
      <c r="J1060" t="e">
        <f ca="1">BDP("793071YA Muni","BICS_LEVEL_2_INDUSTRY_GROUP_NAME")</f>
        <v>#NAME?</v>
      </c>
      <c r="K1060" t="e">
        <f ca="1">BDP("793071YA Muni","SELF_REPRTD_GREEN_INSTR_INDCTR")</f>
        <v>#NAME?</v>
      </c>
      <c r="L1060" t="e">
        <f ca="1">BDP("793071YA Muni","GB_MANAGEMENT_PROCEEDS")</f>
        <v>#NAME?</v>
      </c>
      <c r="M1060" t="e">
        <f ca="1">BDP("793071YA Muni","GB_REPORTING")</f>
        <v>#NAME?</v>
      </c>
      <c r="N1060" t="e">
        <f ca="1">BDP("793071YA Muni","GB_ASSURANCE_PROVIDERS")</f>
        <v>#NAME?</v>
      </c>
      <c r="O1060" t="e">
        <f ca="1">BDP("793071YA Muni","GB_PROJECT_SELECTION_PROCESS")</f>
        <v>#NAME?</v>
      </c>
      <c r="P1060" t="e">
        <f ca="1">BDP("793071YA Muni","ESG_FRAMEWORK_INDICATOR")</f>
        <v>#NAME?</v>
      </c>
      <c r="Q1060" t="e">
        <f ca="1">BDP("793071YA Muni","BLOOMBERG_SECTOR_CODE")</f>
        <v>#NAME?</v>
      </c>
      <c r="R1060" t="e">
        <f ca="1">BDP("793071YA Muni","ISSUER_TYPE")</f>
        <v>#NAME?</v>
      </c>
      <c r="S1060" t="e">
        <f ca="1">BDS("793071YA Muni","ESG_PROJECT_CATEGORY", "aggregate=y")</f>
        <v>#NAME?</v>
      </c>
      <c r="T1060" t="e">
        <f ca="1">BDS("793071YA Muni","ESG_PROJECT_SUBCATEGORY", "aggregate=y")</f>
        <v>#NAME?</v>
      </c>
    </row>
    <row r="1061" spans="1:20" x14ac:dyDescent="0.25">
      <c r="A1061" t="e">
        <f ca="1">BDP("793071YF Muni","ID_CUSIP")</f>
        <v>#NAME?</v>
      </c>
      <c r="B1061" t="e">
        <f ca="1">BDP("793071YF Muni","STATE_CODE")</f>
        <v>#NAME?</v>
      </c>
      <c r="C1061" t="s">
        <v>70</v>
      </c>
      <c r="D1061" t="e">
        <f ca="1">BDP("793071YF Muni","YIELD_ON_ISSUE_DATE")</f>
        <v>#NAME?</v>
      </c>
      <c r="E1061">
        <v>795000</v>
      </c>
      <c r="F1061" t="e">
        <f ca="1">BDP("793071YF Muni","ISSUE_DT")</f>
        <v>#NAME?</v>
      </c>
      <c r="G1061" t="e">
        <f ca="1">BDP("793071YF Muni","MATURITY")</f>
        <v>#NAME?</v>
      </c>
      <c r="H1061" t="e">
        <f ca="1">BDP("793071YF Muni","MUNI_TAX_PROV")</f>
        <v>#NAME?</v>
      </c>
      <c r="I1061" t="e">
        <f ca="1">BDP("793071YF Muni","FINANCING_TYPE")</f>
        <v>#NAME?</v>
      </c>
      <c r="J1061" t="e">
        <f ca="1">BDP("793071YF Muni","BICS_LEVEL_2_INDUSTRY_GROUP_NAME")</f>
        <v>#NAME?</v>
      </c>
      <c r="K1061" t="e">
        <f ca="1">BDP("793071YF Muni","SELF_REPRTD_GREEN_INSTR_INDCTR")</f>
        <v>#NAME?</v>
      </c>
      <c r="L1061" t="e">
        <f ca="1">BDP("793071YF Muni","GB_MANAGEMENT_PROCEEDS")</f>
        <v>#NAME?</v>
      </c>
      <c r="M1061" t="e">
        <f ca="1">BDP("793071YF Muni","GB_REPORTING")</f>
        <v>#NAME?</v>
      </c>
      <c r="N1061" t="e">
        <f ca="1">BDP("793071YF Muni","GB_ASSURANCE_PROVIDERS")</f>
        <v>#NAME?</v>
      </c>
      <c r="O1061" t="e">
        <f ca="1">BDP("793071YF Muni","GB_PROJECT_SELECTION_PROCESS")</f>
        <v>#NAME?</v>
      </c>
      <c r="P1061" t="e">
        <f ca="1">BDP("793071YF Muni","ESG_FRAMEWORK_INDICATOR")</f>
        <v>#NAME?</v>
      </c>
      <c r="Q1061" t="e">
        <f ca="1">BDP("793071YF Muni","BLOOMBERG_SECTOR_CODE")</f>
        <v>#NAME?</v>
      </c>
      <c r="R1061" t="e">
        <f ca="1">BDP("793071YF Muni","ISSUER_TYPE")</f>
        <v>#NAME?</v>
      </c>
      <c r="S1061" t="e">
        <f ca="1">BDS("793071YF Muni","ESG_PROJECT_CATEGORY", "aggregate=y")</f>
        <v>#NAME?</v>
      </c>
      <c r="T1061" t="e">
        <f ca="1">BDS("793071YF Muni","ESG_PROJECT_SUBCATEGORY", "aggregate=y")</f>
        <v>#NAME?</v>
      </c>
    </row>
    <row r="1062" spans="1:20" x14ac:dyDescent="0.25">
      <c r="A1062" t="e">
        <f ca="1">BDP("793071YD Muni","ID_CUSIP")</f>
        <v>#NAME?</v>
      </c>
      <c r="B1062" t="e">
        <f ca="1">BDP("793071YD Muni","STATE_CODE")</f>
        <v>#NAME?</v>
      </c>
      <c r="C1062" t="s">
        <v>70</v>
      </c>
      <c r="D1062" t="e">
        <f ca="1">BDP("793071YD Muni","YIELD_ON_ISSUE_DATE")</f>
        <v>#NAME?</v>
      </c>
      <c r="E1062">
        <v>725000</v>
      </c>
      <c r="F1062" t="e">
        <f ca="1">BDP("793071YD Muni","ISSUE_DT")</f>
        <v>#NAME?</v>
      </c>
      <c r="G1062" t="e">
        <f ca="1">BDP("793071YD Muni","MATURITY")</f>
        <v>#NAME?</v>
      </c>
      <c r="H1062" t="e">
        <f ca="1">BDP("793071YD Muni","MUNI_TAX_PROV")</f>
        <v>#NAME?</v>
      </c>
      <c r="I1062" t="e">
        <f ca="1">BDP("793071YD Muni","FINANCING_TYPE")</f>
        <v>#NAME?</v>
      </c>
      <c r="J1062" t="e">
        <f ca="1">BDP("793071YD Muni","BICS_LEVEL_2_INDUSTRY_GROUP_NAME")</f>
        <v>#NAME?</v>
      </c>
      <c r="K1062" t="e">
        <f ca="1">BDP("793071YD Muni","SELF_REPRTD_GREEN_INSTR_INDCTR")</f>
        <v>#NAME?</v>
      </c>
      <c r="L1062" t="e">
        <f ca="1">BDP("793071YD Muni","GB_MANAGEMENT_PROCEEDS")</f>
        <v>#NAME?</v>
      </c>
      <c r="M1062" t="e">
        <f ca="1">BDP("793071YD Muni","GB_REPORTING")</f>
        <v>#NAME?</v>
      </c>
      <c r="N1062" t="e">
        <f ca="1">BDP("793071YD Muni","GB_ASSURANCE_PROVIDERS")</f>
        <v>#NAME?</v>
      </c>
      <c r="O1062" t="e">
        <f ca="1">BDP("793071YD Muni","GB_PROJECT_SELECTION_PROCESS")</f>
        <v>#NAME?</v>
      </c>
      <c r="P1062" t="e">
        <f ca="1">BDP("793071YD Muni","ESG_FRAMEWORK_INDICATOR")</f>
        <v>#NAME?</v>
      </c>
      <c r="Q1062" t="e">
        <f ca="1">BDP("793071YD Muni","BLOOMBERG_SECTOR_CODE")</f>
        <v>#NAME?</v>
      </c>
      <c r="R1062" t="e">
        <f ca="1">BDP("793071YD Muni","ISSUER_TYPE")</f>
        <v>#NAME?</v>
      </c>
      <c r="S1062" t="e">
        <f ca="1">BDS("793071YD Muni","ESG_PROJECT_CATEGORY", "aggregate=y")</f>
        <v>#NAME?</v>
      </c>
      <c r="T1062" t="e">
        <f ca="1">BDS("793071YD Muni","ESG_PROJECT_SUBCATEGORY", "aggregate=y")</f>
        <v>#NAME?</v>
      </c>
    </row>
    <row r="1063" spans="1:20" x14ac:dyDescent="0.25">
      <c r="A1063" t="e">
        <f ca="1">BDP("793071XS Muni","ID_CUSIP")</f>
        <v>#NAME?</v>
      </c>
      <c r="B1063" t="e">
        <f ca="1">BDP("793071XS Muni","STATE_CODE")</f>
        <v>#NAME?</v>
      </c>
      <c r="C1063" t="s">
        <v>70</v>
      </c>
      <c r="D1063" t="e">
        <f ca="1">BDP("793071XS Muni","YIELD_ON_ISSUE_DATE")</f>
        <v>#NAME?</v>
      </c>
      <c r="E1063">
        <v>435000</v>
      </c>
      <c r="F1063" t="e">
        <f ca="1">BDP("793071XS Muni","ISSUE_DT")</f>
        <v>#NAME?</v>
      </c>
      <c r="G1063" t="e">
        <f ca="1">BDP("793071XS Muni","MATURITY")</f>
        <v>#NAME?</v>
      </c>
      <c r="H1063" t="e">
        <f ca="1">BDP("793071XS Muni","MUNI_TAX_PROV")</f>
        <v>#NAME?</v>
      </c>
      <c r="I1063" t="e">
        <f ca="1">BDP("793071XS Muni","FINANCING_TYPE")</f>
        <v>#NAME?</v>
      </c>
      <c r="J1063" t="e">
        <f ca="1">BDP("793071XS Muni","BICS_LEVEL_2_INDUSTRY_GROUP_NAME")</f>
        <v>#NAME?</v>
      </c>
      <c r="K1063" t="e">
        <f ca="1">BDP("793071XS Muni","SELF_REPRTD_GREEN_INSTR_INDCTR")</f>
        <v>#NAME?</v>
      </c>
      <c r="L1063" t="e">
        <f ca="1">BDP("793071XS Muni","GB_MANAGEMENT_PROCEEDS")</f>
        <v>#NAME?</v>
      </c>
      <c r="M1063" t="e">
        <f ca="1">BDP("793071XS Muni","GB_REPORTING")</f>
        <v>#NAME?</v>
      </c>
      <c r="N1063" t="e">
        <f ca="1">BDP("793071XS Muni","GB_ASSURANCE_PROVIDERS")</f>
        <v>#NAME?</v>
      </c>
      <c r="O1063" t="e">
        <f ca="1">BDP("793071XS Muni","GB_PROJECT_SELECTION_PROCESS")</f>
        <v>#NAME?</v>
      </c>
      <c r="P1063" t="e">
        <f ca="1">BDP("793071XS Muni","ESG_FRAMEWORK_INDICATOR")</f>
        <v>#NAME?</v>
      </c>
      <c r="Q1063" t="e">
        <f ca="1">BDP("793071XS Muni","BLOOMBERG_SECTOR_CODE")</f>
        <v>#NAME?</v>
      </c>
      <c r="R1063" t="e">
        <f ca="1">BDP("793071XS Muni","ISSUER_TYPE")</f>
        <v>#NAME?</v>
      </c>
      <c r="S1063" t="e">
        <f ca="1">BDS("793071XS Muni","ESG_PROJECT_CATEGORY", "aggregate=y")</f>
        <v>#NAME?</v>
      </c>
      <c r="T1063" t="e">
        <f ca="1">BDS("793071XS Muni","ESG_PROJECT_SUBCATEGORY", "aggregate=y")</f>
        <v>#NAME?</v>
      </c>
    </row>
    <row r="1064" spans="1:20" x14ac:dyDescent="0.25">
      <c r="A1064" t="e">
        <f ca="1">BDP("793071XL Muni","ID_CUSIP")</f>
        <v>#NAME?</v>
      </c>
      <c r="B1064" t="e">
        <f ca="1">BDP("793071XL Muni","STATE_CODE")</f>
        <v>#NAME?</v>
      </c>
      <c r="C1064" t="s">
        <v>70</v>
      </c>
      <c r="D1064" t="e">
        <f ca="1">BDP("793071XL Muni","YIELD_ON_ISSUE_DATE")</f>
        <v>#NAME?</v>
      </c>
      <c r="E1064">
        <v>190000</v>
      </c>
      <c r="F1064" t="e">
        <f ca="1">BDP("793071XL Muni","ISSUE_DT")</f>
        <v>#NAME?</v>
      </c>
      <c r="G1064" t="e">
        <f ca="1">BDP("793071XL Muni","MATURITY")</f>
        <v>#NAME?</v>
      </c>
      <c r="H1064" t="e">
        <f ca="1">BDP("793071XL Muni","MUNI_TAX_PROV")</f>
        <v>#NAME?</v>
      </c>
      <c r="I1064" t="e">
        <f ca="1">BDP("793071XL Muni","FINANCING_TYPE")</f>
        <v>#NAME?</v>
      </c>
      <c r="J1064" t="e">
        <f ca="1">BDP("793071XL Muni","BICS_LEVEL_2_INDUSTRY_GROUP_NAME")</f>
        <v>#NAME?</v>
      </c>
      <c r="K1064" t="e">
        <f ca="1">BDP("793071XL Muni","SELF_REPRTD_GREEN_INSTR_INDCTR")</f>
        <v>#NAME?</v>
      </c>
      <c r="L1064" t="e">
        <f ca="1">BDP("793071XL Muni","GB_MANAGEMENT_PROCEEDS")</f>
        <v>#NAME?</v>
      </c>
      <c r="M1064" t="e">
        <f ca="1">BDP("793071XL Muni","GB_REPORTING")</f>
        <v>#NAME?</v>
      </c>
      <c r="N1064" t="e">
        <f ca="1">BDP("793071XL Muni","GB_ASSURANCE_PROVIDERS")</f>
        <v>#NAME?</v>
      </c>
      <c r="O1064" t="e">
        <f ca="1">BDP("793071XL Muni","GB_PROJECT_SELECTION_PROCESS")</f>
        <v>#NAME?</v>
      </c>
      <c r="P1064" t="e">
        <f ca="1">BDP("793071XL Muni","ESG_FRAMEWORK_INDICATOR")</f>
        <v>#NAME?</v>
      </c>
      <c r="Q1064" t="e">
        <f ca="1">BDP("793071XL Muni","BLOOMBERG_SECTOR_CODE")</f>
        <v>#NAME?</v>
      </c>
      <c r="R1064" t="e">
        <f ca="1">BDP("793071XL Muni","ISSUER_TYPE")</f>
        <v>#NAME?</v>
      </c>
      <c r="S1064" t="e">
        <f ca="1">BDS("793071XL Muni","ESG_PROJECT_CATEGORY", "aggregate=y")</f>
        <v>#NAME?</v>
      </c>
      <c r="T1064" t="e">
        <f ca="1">BDS("793071XL Muni","ESG_PROJECT_SUBCATEGORY", "aggregate=y")</f>
        <v>#NAME?</v>
      </c>
    </row>
    <row r="1065" spans="1:20" x14ac:dyDescent="0.25">
      <c r="A1065" t="e">
        <f ca="1">BDP("793071XR Muni","ID_CUSIP")</f>
        <v>#NAME?</v>
      </c>
      <c r="B1065" t="e">
        <f ca="1">BDP("793071XR Muni","STATE_CODE")</f>
        <v>#NAME?</v>
      </c>
      <c r="C1065" t="s">
        <v>70</v>
      </c>
      <c r="D1065" t="e">
        <f ca="1">BDP("793071XR Muni","YIELD_ON_ISSUE_DATE")</f>
        <v>#NAME?</v>
      </c>
      <c r="E1065">
        <v>415000</v>
      </c>
      <c r="F1065" t="e">
        <f ca="1">BDP("793071XR Muni","ISSUE_DT")</f>
        <v>#NAME?</v>
      </c>
      <c r="G1065" t="e">
        <f ca="1">BDP("793071XR Muni","MATURITY")</f>
        <v>#NAME?</v>
      </c>
      <c r="H1065" t="e">
        <f ca="1">BDP("793071XR Muni","MUNI_TAX_PROV")</f>
        <v>#NAME?</v>
      </c>
      <c r="I1065" t="e">
        <f ca="1">BDP("793071XR Muni","FINANCING_TYPE")</f>
        <v>#NAME?</v>
      </c>
      <c r="J1065" t="e">
        <f ca="1">BDP("793071XR Muni","BICS_LEVEL_2_INDUSTRY_GROUP_NAME")</f>
        <v>#NAME?</v>
      </c>
      <c r="K1065" t="e">
        <f ca="1">BDP("793071XR Muni","SELF_REPRTD_GREEN_INSTR_INDCTR")</f>
        <v>#NAME?</v>
      </c>
      <c r="L1065" t="e">
        <f ca="1">BDP("793071XR Muni","GB_MANAGEMENT_PROCEEDS")</f>
        <v>#NAME?</v>
      </c>
      <c r="M1065" t="e">
        <f ca="1">BDP("793071XR Muni","GB_REPORTING")</f>
        <v>#NAME?</v>
      </c>
      <c r="N1065" t="e">
        <f ca="1">BDP("793071XR Muni","GB_ASSURANCE_PROVIDERS")</f>
        <v>#NAME?</v>
      </c>
      <c r="O1065" t="e">
        <f ca="1">BDP("793071XR Muni","GB_PROJECT_SELECTION_PROCESS")</f>
        <v>#NAME?</v>
      </c>
      <c r="P1065" t="e">
        <f ca="1">BDP("793071XR Muni","ESG_FRAMEWORK_INDICATOR")</f>
        <v>#NAME?</v>
      </c>
      <c r="Q1065" t="e">
        <f ca="1">BDP("793071XR Muni","BLOOMBERG_SECTOR_CODE")</f>
        <v>#NAME?</v>
      </c>
      <c r="R1065" t="e">
        <f ca="1">BDP("793071XR Muni","ISSUER_TYPE")</f>
        <v>#NAME?</v>
      </c>
      <c r="S1065" t="e">
        <f ca="1">BDS("793071XR Muni","ESG_PROJECT_CATEGORY", "aggregate=y")</f>
        <v>#NAME?</v>
      </c>
      <c r="T1065" t="e">
        <f ca="1">BDS("793071XR Muni","ESG_PROJECT_SUBCATEGORY", "aggregate=y")</f>
        <v>#NAME?</v>
      </c>
    </row>
    <row r="1066" spans="1:20" x14ac:dyDescent="0.25">
      <c r="A1066" t="e">
        <f ca="1">BDP("793071XN Muni","ID_CUSIP")</f>
        <v>#NAME?</v>
      </c>
      <c r="B1066" t="e">
        <f ca="1">BDP("793071XN Muni","STATE_CODE")</f>
        <v>#NAME?</v>
      </c>
      <c r="C1066" t="s">
        <v>70</v>
      </c>
      <c r="D1066" t="e">
        <f ca="1">BDP("793071XN Muni","YIELD_ON_ISSUE_DATE")</f>
        <v>#NAME?</v>
      </c>
      <c r="E1066">
        <v>355000</v>
      </c>
      <c r="F1066" t="e">
        <f ca="1">BDP("793071XN Muni","ISSUE_DT")</f>
        <v>#NAME?</v>
      </c>
      <c r="G1066" t="e">
        <f ca="1">BDP("793071XN Muni","MATURITY")</f>
        <v>#NAME?</v>
      </c>
      <c r="H1066" t="e">
        <f ca="1">BDP("793071XN Muni","MUNI_TAX_PROV")</f>
        <v>#NAME?</v>
      </c>
      <c r="I1066" t="e">
        <f ca="1">BDP("793071XN Muni","FINANCING_TYPE")</f>
        <v>#NAME?</v>
      </c>
      <c r="J1066" t="e">
        <f ca="1">BDP("793071XN Muni","BICS_LEVEL_2_INDUSTRY_GROUP_NAME")</f>
        <v>#NAME?</v>
      </c>
      <c r="K1066" t="e">
        <f ca="1">BDP("793071XN Muni","SELF_REPRTD_GREEN_INSTR_INDCTR")</f>
        <v>#NAME?</v>
      </c>
      <c r="L1066" t="e">
        <f ca="1">BDP("793071XN Muni","GB_MANAGEMENT_PROCEEDS")</f>
        <v>#NAME?</v>
      </c>
      <c r="M1066" t="e">
        <f ca="1">BDP("793071XN Muni","GB_REPORTING")</f>
        <v>#NAME?</v>
      </c>
      <c r="N1066" t="e">
        <f ca="1">BDP("793071XN Muni","GB_ASSURANCE_PROVIDERS")</f>
        <v>#NAME?</v>
      </c>
      <c r="O1066" t="e">
        <f ca="1">BDP("793071XN Muni","GB_PROJECT_SELECTION_PROCESS")</f>
        <v>#NAME?</v>
      </c>
      <c r="P1066" t="e">
        <f ca="1">BDP("793071XN Muni","ESG_FRAMEWORK_INDICATOR")</f>
        <v>#NAME?</v>
      </c>
      <c r="Q1066" t="e">
        <f ca="1">BDP("793071XN Muni","BLOOMBERG_SECTOR_CODE")</f>
        <v>#NAME?</v>
      </c>
      <c r="R1066" t="e">
        <f ca="1">BDP("793071XN Muni","ISSUER_TYPE")</f>
        <v>#NAME?</v>
      </c>
      <c r="S1066" t="e">
        <f ca="1">BDS("793071XN Muni","ESG_PROJECT_CATEGORY", "aggregate=y")</f>
        <v>#NAME?</v>
      </c>
      <c r="T1066" t="e">
        <f ca="1">BDS("793071XN Muni","ESG_PROJECT_SUBCATEGORY", "aggregate=y")</f>
        <v>#NAME?</v>
      </c>
    </row>
    <row r="1067" spans="1:20" x14ac:dyDescent="0.25">
      <c r="A1067" t="e">
        <f ca="1">BDP("793071XQ Muni","ID_CUSIP")</f>
        <v>#NAME?</v>
      </c>
      <c r="B1067" t="e">
        <f ca="1">BDP("793071XQ Muni","STATE_CODE")</f>
        <v>#NAME?</v>
      </c>
      <c r="C1067" t="s">
        <v>70</v>
      </c>
      <c r="D1067" t="e">
        <f ca="1">BDP("793071XQ Muni","YIELD_ON_ISSUE_DATE")</f>
        <v>#NAME?</v>
      </c>
      <c r="E1067">
        <v>395000</v>
      </c>
      <c r="F1067" t="e">
        <f ca="1">BDP("793071XQ Muni","ISSUE_DT")</f>
        <v>#NAME?</v>
      </c>
      <c r="G1067" t="e">
        <f ca="1">BDP("793071XQ Muni","MATURITY")</f>
        <v>#NAME?</v>
      </c>
      <c r="H1067" t="e">
        <f ca="1">BDP("793071XQ Muni","MUNI_TAX_PROV")</f>
        <v>#NAME?</v>
      </c>
      <c r="I1067" t="e">
        <f ca="1">BDP("793071XQ Muni","FINANCING_TYPE")</f>
        <v>#NAME?</v>
      </c>
      <c r="J1067" t="e">
        <f ca="1">BDP("793071XQ Muni","BICS_LEVEL_2_INDUSTRY_GROUP_NAME")</f>
        <v>#NAME?</v>
      </c>
      <c r="K1067" t="e">
        <f ca="1">BDP("793071XQ Muni","SELF_REPRTD_GREEN_INSTR_INDCTR")</f>
        <v>#NAME?</v>
      </c>
      <c r="L1067" t="e">
        <f ca="1">BDP("793071XQ Muni","GB_MANAGEMENT_PROCEEDS")</f>
        <v>#NAME?</v>
      </c>
      <c r="M1067" t="e">
        <f ca="1">BDP("793071XQ Muni","GB_REPORTING")</f>
        <v>#NAME?</v>
      </c>
      <c r="N1067" t="e">
        <f ca="1">BDP("793071XQ Muni","GB_ASSURANCE_PROVIDERS")</f>
        <v>#NAME?</v>
      </c>
      <c r="O1067" t="e">
        <f ca="1">BDP("793071XQ Muni","GB_PROJECT_SELECTION_PROCESS")</f>
        <v>#NAME?</v>
      </c>
      <c r="P1067" t="e">
        <f ca="1">BDP("793071XQ Muni","ESG_FRAMEWORK_INDICATOR")</f>
        <v>#NAME?</v>
      </c>
      <c r="Q1067" t="e">
        <f ca="1">BDP("793071XQ Muni","BLOOMBERG_SECTOR_CODE")</f>
        <v>#NAME?</v>
      </c>
      <c r="R1067" t="e">
        <f ca="1">BDP("793071XQ Muni","ISSUER_TYPE")</f>
        <v>#NAME?</v>
      </c>
      <c r="S1067" t="e">
        <f ca="1">BDS("793071XQ Muni","ESG_PROJECT_CATEGORY", "aggregate=y")</f>
        <v>#NAME?</v>
      </c>
      <c r="T1067" t="e">
        <f ca="1">BDS("793071XQ Muni","ESG_PROJECT_SUBCATEGORY", "aggregate=y")</f>
        <v>#NAME?</v>
      </c>
    </row>
    <row r="1068" spans="1:20" x14ac:dyDescent="0.25">
      <c r="A1068" t="e">
        <f ca="1">BDP("793071XV Muni","ID_CUSIP")</f>
        <v>#NAME?</v>
      </c>
      <c r="B1068" t="e">
        <f ca="1">BDP("793071XV Muni","STATE_CODE")</f>
        <v>#NAME?</v>
      </c>
      <c r="C1068" t="s">
        <v>70</v>
      </c>
      <c r="D1068" t="e">
        <f ca="1">BDP("793071XV Muni","YIELD_ON_ISSUE_DATE")</f>
        <v>#NAME?</v>
      </c>
      <c r="E1068">
        <v>500000</v>
      </c>
      <c r="F1068" t="e">
        <f ca="1">BDP("793071XV Muni","ISSUE_DT")</f>
        <v>#NAME?</v>
      </c>
      <c r="G1068" t="e">
        <f ca="1">BDP("793071XV Muni","MATURITY")</f>
        <v>#NAME?</v>
      </c>
      <c r="H1068" t="e">
        <f ca="1">BDP("793071XV Muni","MUNI_TAX_PROV")</f>
        <v>#NAME?</v>
      </c>
      <c r="I1068" t="e">
        <f ca="1">BDP("793071XV Muni","FINANCING_TYPE")</f>
        <v>#NAME?</v>
      </c>
      <c r="J1068" t="e">
        <f ca="1">BDP("793071XV Muni","BICS_LEVEL_2_INDUSTRY_GROUP_NAME")</f>
        <v>#NAME?</v>
      </c>
      <c r="K1068" t="e">
        <f ca="1">BDP("793071XV Muni","SELF_REPRTD_GREEN_INSTR_INDCTR")</f>
        <v>#NAME?</v>
      </c>
      <c r="L1068" t="e">
        <f ca="1">BDP("793071XV Muni","GB_MANAGEMENT_PROCEEDS")</f>
        <v>#NAME?</v>
      </c>
      <c r="M1068" t="e">
        <f ca="1">BDP("793071XV Muni","GB_REPORTING")</f>
        <v>#NAME?</v>
      </c>
      <c r="N1068" t="e">
        <f ca="1">BDP("793071XV Muni","GB_ASSURANCE_PROVIDERS")</f>
        <v>#NAME?</v>
      </c>
      <c r="O1068" t="e">
        <f ca="1">BDP("793071XV Muni","GB_PROJECT_SELECTION_PROCESS")</f>
        <v>#NAME?</v>
      </c>
      <c r="P1068" t="e">
        <f ca="1">BDP("793071XV Muni","ESG_FRAMEWORK_INDICATOR")</f>
        <v>#NAME?</v>
      </c>
      <c r="Q1068" t="e">
        <f ca="1">BDP("793071XV Muni","BLOOMBERG_SECTOR_CODE")</f>
        <v>#NAME?</v>
      </c>
      <c r="R1068" t="e">
        <f ca="1">BDP("793071XV Muni","ISSUER_TYPE")</f>
        <v>#NAME?</v>
      </c>
      <c r="S1068" t="e">
        <f ca="1">BDS("793071XV Muni","ESG_PROJECT_CATEGORY", "aggregate=y")</f>
        <v>#NAME?</v>
      </c>
      <c r="T1068" t="e">
        <f ca="1">BDS("793071XV Muni","ESG_PROJECT_SUBCATEGORY", "aggregate=y")</f>
        <v>#NAME?</v>
      </c>
    </row>
    <row r="1069" spans="1:20" x14ac:dyDescent="0.25">
      <c r="A1069" t="e">
        <f ca="1">BDP("78764HBC Muni","ID_CUSIP")</f>
        <v>#NAME?</v>
      </c>
      <c r="B1069" t="e">
        <f ca="1">BDP("78764HBC Muni","STATE_CODE")</f>
        <v>#NAME?</v>
      </c>
      <c r="C1069" t="s">
        <v>71</v>
      </c>
      <c r="D1069" t="e">
        <f ca="1">BDP("78764HBC Muni","YIELD_ON_ISSUE_DATE")</f>
        <v>#NAME?</v>
      </c>
      <c r="E1069">
        <v>27300000</v>
      </c>
      <c r="F1069" t="e">
        <f ca="1">BDP("78764HBC Muni","ISSUE_DT")</f>
        <v>#NAME?</v>
      </c>
      <c r="G1069" t="e">
        <f ca="1">BDP("78764HBC Muni","MATURITY")</f>
        <v>#NAME?</v>
      </c>
      <c r="H1069" t="e">
        <f ca="1">BDP("78764HBC Muni","MUNI_TAX_PROV")</f>
        <v>#NAME?</v>
      </c>
      <c r="I1069" t="e">
        <f ca="1">BDP("78764HBC Muni","FINANCING_TYPE")</f>
        <v>#NAME?</v>
      </c>
      <c r="J1069" t="e">
        <f ca="1">BDP("78764HBC Muni","BICS_LEVEL_2_INDUSTRY_GROUP_NAME")</f>
        <v>#NAME?</v>
      </c>
      <c r="K1069" t="e">
        <f ca="1">BDP("78764HBC Muni","SELF_REPRTD_GREEN_INSTR_INDCTR")</f>
        <v>#NAME?</v>
      </c>
      <c r="L1069" t="e">
        <f ca="1">BDP("78764HBC Muni","GB_MANAGEMENT_PROCEEDS")</f>
        <v>#NAME?</v>
      </c>
      <c r="M1069" t="e">
        <f ca="1">BDP("78764HBC Muni","GB_REPORTING")</f>
        <v>#NAME?</v>
      </c>
      <c r="N1069" t="e">
        <f ca="1">BDP("78764HBC Muni","GB_ASSURANCE_PROVIDERS")</f>
        <v>#NAME?</v>
      </c>
      <c r="O1069" t="e">
        <f ca="1">BDP("78764HBC Muni","GB_PROJECT_SELECTION_PROCESS")</f>
        <v>#NAME?</v>
      </c>
      <c r="P1069" t="e">
        <f ca="1">BDP("78764HBC Muni","ESG_FRAMEWORK_INDICATOR")</f>
        <v>#NAME?</v>
      </c>
      <c r="Q1069" t="e">
        <f ca="1">BDP("78764HBC Muni","BLOOMBERG_SECTOR_CODE")</f>
        <v>#NAME?</v>
      </c>
      <c r="R1069" t="e">
        <f ca="1">BDP("78764HBC Muni","ISSUER_TYPE")</f>
        <v>#NAME?</v>
      </c>
      <c r="S1069" t="e">
        <f ca="1">BDS("78764HBC Muni","ESG_PROJECT_CATEGORY", "aggregate=y")</f>
        <v>#NAME?</v>
      </c>
      <c r="T1069" t="e">
        <f ca="1">BDS("78764HBC Muni","ESG_PROJECT_SUBCATEGORY", "aggregate=y")</f>
        <v>#NAME?</v>
      </c>
    </row>
    <row r="1070" spans="1:20" x14ac:dyDescent="0.25">
      <c r="A1070" t="e">
        <f ca="1">BDP("076280JA Muni","ID_CUSIP")</f>
        <v>#NAME?</v>
      </c>
      <c r="B1070" t="e">
        <f ca="1">BDP("076280JA Muni","STATE_CODE")</f>
        <v>#NAME?</v>
      </c>
      <c r="C1070" t="s">
        <v>72</v>
      </c>
      <c r="D1070" t="e">
        <f ca="1">BDP("076280JA Muni","YIELD_ON_ISSUE_DATE")</f>
        <v>#NAME?</v>
      </c>
      <c r="E1070">
        <v>290000</v>
      </c>
      <c r="F1070" t="e">
        <f ca="1">BDP("076280JA Muni","ISSUE_DT")</f>
        <v>#NAME?</v>
      </c>
      <c r="G1070" t="e">
        <f ca="1">BDP("076280JA Muni","MATURITY")</f>
        <v>#NAME?</v>
      </c>
      <c r="H1070" t="e">
        <f ca="1">BDP("076280JA Muni","MUNI_TAX_PROV")</f>
        <v>#NAME?</v>
      </c>
      <c r="I1070" t="e">
        <f ca="1">BDP("076280JA Muni","FINANCING_TYPE")</f>
        <v>#NAME?</v>
      </c>
      <c r="J1070" t="e">
        <f ca="1">BDP("076280JA Muni","BICS_LEVEL_2_INDUSTRY_GROUP_NAME")</f>
        <v>#NAME?</v>
      </c>
      <c r="K1070" t="e">
        <f ca="1">BDP("076280JA Muni","SELF_REPRTD_GREEN_INSTR_INDCTR")</f>
        <v>#NAME?</v>
      </c>
      <c r="L1070" t="e">
        <f ca="1">BDP("076280JA Muni","GB_MANAGEMENT_PROCEEDS")</f>
        <v>#NAME?</v>
      </c>
      <c r="M1070" t="e">
        <f ca="1">BDP("076280JA Muni","GB_REPORTING")</f>
        <v>#NAME?</v>
      </c>
      <c r="N1070" t="e">
        <f ca="1">BDP("076280JA Muni","GB_ASSURANCE_PROVIDERS")</f>
        <v>#NAME?</v>
      </c>
      <c r="O1070" t="e">
        <f ca="1">BDP("076280JA Muni","GB_PROJECT_SELECTION_PROCESS")</f>
        <v>#NAME?</v>
      </c>
      <c r="P1070" t="e">
        <f ca="1">BDP("076280JA Muni","ESG_FRAMEWORK_INDICATOR")</f>
        <v>#NAME?</v>
      </c>
      <c r="Q1070" t="e">
        <f ca="1">BDP("076280JA Muni","BLOOMBERG_SECTOR_CODE")</f>
        <v>#NAME?</v>
      </c>
      <c r="R1070" t="e">
        <f ca="1">BDP("076280JA Muni","ISSUER_TYPE")</f>
        <v>#NAME?</v>
      </c>
      <c r="S1070" t="e">
        <f ca="1">BDS("076280JA Muni","ESG_PROJECT_CATEGORY", "aggregate=y")</f>
        <v>#NAME?</v>
      </c>
      <c r="T1070" t="e">
        <f ca="1">BDS("076280JA Muni","ESG_PROJECT_SUBCATEGORY", "aggregate=y")</f>
        <v>#NAME?</v>
      </c>
    </row>
    <row r="1071" spans="1:20" x14ac:dyDescent="0.25">
      <c r="A1071" t="e">
        <f ca="1">BDP("076280HZ Muni","ID_CUSIP")</f>
        <v>#NAME?</v>
      </c>
      <c r="B1071" t="e">
        <f ca="1">BDP("076280HZ Muni","STATE_CODE")</f>
        <v>#NAME?</v>
      </c>
      <c r="C1071" t="s">
        <v>72</v>
      </c>
      <c r="D1071" t="e">
        <f ca="1">BDP("076280HZ Muni","YIELD_ON_ISSUE_DATE")</f>
        <v>#NAME?</v>
      </c>
      <c r="E1071">
        <v>290000</v>
      </c>
      <c r="F1071" t="e">
        <f ca="1">BDP("076280HZ Muni","ISSUE_DT")</f>
        <v>#NAME?</v>
      </c>
      <c r="G1071" t="e">
        <f ca="1">BDP("076280HZ Muni","MATURITY")</f>
        <v>#NAME?</v>
      </c>
      <c r="H1071" t="e">
        <f ca="1">BDP("076280HZ Muni","MUNI_TAX_PROV")</f>
        <v>#NAME?</v>
      </c>
      <c r="I1071" t="e">
        <f ca="1">BDP("076280HZ Muni","FINANCING_TYPE")</f>
        <v>#NAME?</v>
      </c>
      <c r="J1071" t="e">
        <f ca="1">BDP("076280HZ Muni","BICS_LEVEL_2_INDUSTRY_GROUP_NAME")</f>
        <v>#NAME?</v>
      </c>
      <c r="K1071" t="e">
        <f ca="1">BDP("076280HZ Muni","SELF_REPRTD_GREEN_INSTR_INDCTR")</f>
        <v>#NAME?</v>
      </c>
      <c r="L1071" t="e">
        <f ca="1">BDP("076280HZ Muni","GB_MANAGEMENT_PROCEEDS")</f>
        <v>#NAME?</v>
      </c>
      <c r="M1071" t="e">
        <f ca="1">BDP("076280HZ Muni","GB_REPORTING")</f>
        <v>#NAME?</v>
      </c>
      <c r="N1071" t="e">
        <f ca="1">BDP("076280HZ Muni","GB_ASSURANCE_PROVIDERS")</f>
        <v>#NAME?</v>
      </c>
      <c r="O1071" t="e">
        <f ca="1">BDP("076280HZ Muni","GB_PROJECT_SELECTION_PROCESS")</f>
        <v>#NAME?</v>
      </c>
      <c r="P1071" t="e">
        <f ca="1">BDP("076280HZ Muni","ESG_FRAMEWORK_INDICATOR")</f>
        <v>#NAME?</v>
      </c>
      <c r="Q1071" t="e">
        <f ca="1">BDP("076280HZ Muni","BLOOMBERG_SECTOR_CODE")</f>
        <v>#NAME?</v>
      </c>
      <c r="R1071" t="e">
        <f ca="1">BDP("076280HZ Muni","ISSUER_TYPE")</f>
        <v>#NAME?</v>
      </c>
      <c r="S1071" t="e">
        <f ca="1">BDS("076280HZ Muni","ESG_PROJECT_CATEGORY", "aggregate=y")</f>
        <v>#NAME?</v>
      </c>
      <c r="T1071" t="e">
        <f ca="1">BDS("076280HZ Muni","ESG_PROJECT_SUBCATEGORY", "aggregate=y")</f>
        <v>#NAME?</v>
      </c>
    </row>
    <row r="1072" spans="1:20" x14ac:dyDescent="0.25">
      <c r="A1072" t="e">
        <f ca="1">BDP("076280JB Muni","ID_CUSIP")</f>
        <v>#NAME?</v>
      </c>
      <c r="B1072" t="e">
        <f ca="1">BDP("076280JB Muni","STATE_CODE")</f>
        <v>#NAME?</v>
      </c>
      <c r="C1072" t="s">
        <v>72</v>
      </c>
      <c r="D1072" t="e">
        <f ca="1">BDP("076280JB Muni","YIELD_ON_ISSUE_DATE")</f>
        <v>#NAME?</v>
      </c>
      <c r="E1072">
        <v>290000</v>
      </c>
      <c r="F1072" t="e">
        <f ca="1">BDP("076280JB Muni","ISSUE_DT")</f>
        <v>#NAME?</v>
      </c>
      <c r="G1072" t="e">
        <f ca="1">BDP("076280JB Muni","MATURITY")</f>
        <v>#NAME?</v>
      </c>
      <c r="H1072" t="e">
        <f ca="1">BDP("076280JB Muni","MUNI_TAX_PROV")</f>
        <v>#NAME?</v>
      </c>
      <c r="I1072" t="e">
        <f ca="1">BDP("076280JB Muni","FINANCING_TYPE")</f>
        <v>#NAME?</v>
      </c>
      <c r="J1072" t="e">
        <f ca="1">BDP("076280JB Muni","BICS_LEVEL_2_INDUSTRY_GROUP_NAME")</f>
        <v>#NAME?</v>
      </c>
      <c r="K1072" t="e">
        <f ca="1">BDP("076280JB Muni","SELF_REPRTD_GREEN_INSTR_INDCTR")</f>
        <v>#NAME?</v>
      </c>
      <c r="L1072" t="e">
        <f ca="1">BDP("076280JB Muni","GB_MANAGEMENT_PROCEEDS")</f>
        <v>#NAME?</v>
      </c>
      <c r="M1072" t="e">
        <f ca="1">BDP("076280JB Muni","GB_REPORTING")</f>
        <v>#NAME?</v>
      </c>
      <c r="N1072" t="e">
        <f ca="1">BDP("076280JB Muni","GB_ASSURANCE_PROVIDERS")</f>
        <v>#NAME?</v>
      </c>
      <c r="O1072" t="e">
        <f ca="1">BDP("076280JB Muni","GB_PROJECT_SELECTION_PROCESS")</f>
        <v>#NAME?</v>
      </c>
      <c r="P1072" t="e">
        <f ca="1">BDP("076280JB Muni","ESG_FRAMEWORK_INDICATOR")</f>
        <v>#NAME?</v>
      </c>
      <c r="Q1072" t="e">
        <f ca="1">BDP("076280JB Muni","BLOOMBERG_SECTOR_CODE")</f>
        <v>#NAME?</v>
      </c>
      <c r="R1072" t="e">
        <f ca="1">BDP("076280JB Muni","ISSUER_TYPE")</f>
        <v>#NAME?</v>
      </c>
      <c r="S1072" t="e">
        <f ca="1">BDS("076280JB Muni","ESG_PROJECT_CATEGORY", "aggregate=y")</f>
        <v>#NAME?</v>
      </c>
      <c r="T1072" t="e">
        <f ca="1">BDS("076280JB Muni","ESG_PROJECT_SUBCATEGORY", "aggregate=y")</f>
        <v>#NAME?</v>
      </c>
    </row>
    <row r="1073" spans="1:20" x14ac:dyDescent="0.25">
      <c r="A1073" t="e">
        <f ca="1">BDP("076280HX Muni","ID_CUSIP")</f>
        <v>#NAME?</v>
      </c>
      <c r="B1073" t="e">
        <f ca="1">BDP("076280HX Muni","STATE_CODE")</f>
        <v>#NAME?</v>
      </c>
      <c r="C1073" t="s">
        <v>72</v>
      </c>
      <c r="D1073" t="e">
        <f ca="1">BDP("076280HX Muni","YIELD_ON_ISSUE_DATE")</f>
        <v>#NAME?</v>
      </c>
      <c r="E1073">
        <v>285000</v>
      </c>
      <c r="F1073" t="e">
        <f ca="1">BDP("076280HX Muni","ISSUE_DT")</f>
        <v>#NAME?</v>
      </c>
      <c r="G1073" t="e">
        <f ca="1">BDP("076280HX Muni","MATURITY")</f>
        <v>#NAME?</v>
      </c>
      <c r="H1073" t="e">
        <f ca="1">BDP("076280HX Muni","MUNI_TAX_PROV")</f>
        <v>#NAME?</v>
      </c>
      <c r="I1073" t="e">
        <f ca="1">BDP("076280HX Muni","FINANCING_TYPE")</f>
        <v>#NAME?</v>
      </c>
      <c r="J1073" t="e">
        <f ca="1">BDP("076280HX Muni","BICS_LEVEL_2_INDUSTRY_GROUP_NAME")</f>
        <v>#NAME?</v>
      </c>
      <c r="K1073" t="e">
        <f ca="1">BDP("076280HX Muni","SELF_REPRTD_GREEN_INSTR_INDCTR")</f>
        <v>#NAME?</v>
      </c>
      <c r="L1073" t="e">
        <f ca="1">BDP("076280HX Muni","GB_MANAGEMENT_PROCEEDS")</f>
        <v>#NAME?</v>
      </c>
      <c r="M1073" t="e">
        <f ca="1">BDP("076280HX Muni","GB_REPORTING")</f>
        <v>#NAME?</v>
      </c>
      <c r="N1073" t="e">
        <f ca="1">BDP("076280HX Muni","GB_ASSURANCE_PROVIDERS")</f>
        <v>#NAME?</v>
      </c>
      <c r="O1073" t="e">
        <f ca="1">BDP("076280HX Muni","GB_PROJECT_SELECTION_PROCESS")</f>
        <v>#NAME?</v>
      </c>
      <c r="P1073" t="e">
        <f ca="1">BDP("076280HX Muni","ESG_FRAMEWORK_INDICATOR")</f>
        <v>#NAME?</v>
      </c>
      <c r="Q1073" t="e">
        <f ca="1">BDP("076280HX Muni","BLOOMBERG_SECTOR_CODE")</f>
        <v>#NAME?</v>
      </c>
      <c r="R1073" t="e">
        <f ca="1">BDP("076280HX Muni","ISSUER_TYPE")</f>
        <v>#NAME?</v>
      </c>
      <c r="S1073" t="e">
        <f ca="1">BDS("076280HX Muni","ESG_PROJECT_CATEGORY", "aggregate=y")</f>
        <v>#NAME?</v>
      </c>
      <c r="T1073" t="e">
        <f ca="1">BDS("076280HX Muni","ESG_PROJECT_SUBCATEGORY", "aggregate=y")</f>
        <v>#NAME?</v>
      </c>
    </row>
    <row r="1074" spans="1:20" x14ac:dyDescent="0.25">
      <c r="A1074" t="e">
        <f ca="1">BDP("076280HY Muni","ID_CUSIP")</f>
        <v>#NAME?</v>
      </c>
      <c r="B1074" t="e">
        <f ca="1">BDP("076280HY Muni","STATE_CODE")</f>
        <v>#NAME?</v>
      </c>
      <c r="C1074" t="s">
        <v>72</v>
      </c>
      <c r="D1074" t="e">
        <f ca="1">BDP("076280HY Muni","YIELD_ON_ISSUE_DATE")</f>
        <v>#NAME?</v>
      </c>
      <c r="E1074">
        <v>290000</v>
      </c>
      <c r="F1074" t="e">
        <f ca="1">BDP("076280HY Muni","ISSUE_DT")</f>
        <v>#NAME?</v>
      </c>
      <c r="G1074" t="e">
        <f ca="1">BDP("076280HY Muni","MATURITY")</f>
        <v>#NAME?</v>
      </c>
      <c r="H1074" t="e">
        <f ca="1">BDP("076280HY Muni","MUNI_TAX_PROV")</f>
        <v>#NAME?</v>
      </c>
      <c r="I1074" t="e">
        <f ca="1">BDP("076280HY Muni","FINANCING_TYPE")</f>
        <v>#NAME?</v>
      </c>
      <c r="J1074" t="e">
        <f ca="1">BDP("076280HY Muni","BICS_LEVEL_2_INDUSTRY_GROUP_NAME")</f>
        <v>#NAME?</v>
      </c>
      <c r="K1074" t="e">
        <f ca="1">BDP("076280HY Muni","SELF_REPRTD_GREEN_INSTR_INDCTR")</f>
        <v>#NAME?</v>
      </c>
      <c r="L1074" t="e">
        <f ca="1">BDP("076280HY Muni","GB_MANAGEMENT_PROCEEDS")</f>
        <v>#NAME?</v>
      </c>
      <c r="M1074" t="e">
        <f ca="1">BDP("076280HY Muni","GB_REPORTING")</f>
        <v>#NAME?</v>
      </c>
      <c r="N1074" t="e">
        <f ca="1">BDP("076280HY Muni","GB_ASSURANCE_PROVIDERS")</f>
        <v>#NAME?</v>
      </c>
      <c r="O1074" t="e">
        <f ca="1">BDP("076280HY Muni","GB_PROJECT_SELECTION_PROCESS")</f>
        <v>#NAME?</v>
      </c>
      <c r="P1074" t="e">
        <f ca="1">BDP("076280HY Muni","ESG_FRAMEWORK_INDICATOR")</f>
        <v>#NAME?</v>
      </c>
      <c r="Q1074" t="e">
        <f ca="1">BDP("076280HY Muni","BLOOMBERG_SECTOR_CODE")</f>
        <v>#NAME?</v>
      </c>
      <c r="R1074" t="e">
        <f ca="1">BDP("076280HY Muni","ISSUER_TYPE")</f>
        <v>#NAME?</v>
      </c>
      <c r="S1074" t="e">
        <f ca="1">BDS("076280HY Muni","ESG_PROJECT_CATEGORY", "aggregate=y")</f>
        <v>#NAME?</v>
      </c>
      <c r="T1074" t="e">
        <f ca="1">BDS("076280HY Muni","ESG_PROJECT_SUBCATEGORY", "aggregate=y")</f>
        <v>#NAME?</v>
      </c>
    </row>
    <row r="1075" spans="1:20" x14ac:dyDescent="0.25">
      <c r="A1075" t="e">
        <f ca="1">BDP("076280JC Muni","ID_CUSIP")</f>
        <v>#NAME?</v>
      </c>
      <c r="B1075" t="e">
        <f ca="1">BDP("076280JC Muni","STATE_CODE")</f>
        <v>#NAME?</v>
      </c>
      <c r="C1075" t="s">
        <v>72</v>
      </c>
      <c r="D1075" t="e">
        <f ca="1">BDP("076280JC Muni","YIELD_ON_ISSUE_DATE")</f>
        <v>#NAME?</v>
      </c>
      <c r="E1075">
        <v>290000</v>
      </c>
      <c r="F1075" t="e">
        <f ca="1">BDP("076280JC Muni","ISSUE_DT")</f>
        <v>#NAME?</v>
      </c>
      <c r="G1075" t="e">
        <f ca="1">BDP("076280JC Muni","MATURITY")</f>
        <v>#NAME?</v>
      </c>
      <c r="H1075" t="e">
        <f ca="1">BDP("076280JC Muni","MUNI_TAX_PROV")</f>
        <v>#NAME?</v>
      </c>
      <c r="I1075" t="e">
        <f ca="1">BDP("076280JC Muni","FINANCING_TYPE")</f>
        <v>#NAME?</v>
      </c>
      <c r="J1075" t="e">
        <f ca="1">BDP("076280JC Muni","BICS_LEVEL_2_INDUSTRY_GROUP_NAME")</f>
        <v>#NAME?</v>
      </c>
      <c r="K1075" t="e">
        <f ca="1">BDP("076280JC Muni","SELF_REPRTD_GREEN_INSTR_INDCTR")</f>
        <v>#NAME?</v>
      </c>
      <c r="L1075" t="e">
        <f ca="1">BDP("076280JC Muni","GB_MANAGEMENT_PROCEEDS")</f>
        <v>#NAME?</v>
      </c>
      <c r="M1075" t="e">
        <f ca="1">BDP("076280JC Muni","GB_REPORTING")</f>
        <v>#NAME?</v>
      </c>
      <c r="N1075" t="e">
        <f ca="1">BDP("076280JC Muni","GB_ASSURANCE_PROVIDERS")</f>
        <v>#NAME?</v>
      </c>
      <c r="O1075" t="e">
        <f ca="1">BDP("076280JC Muni","GB_PROJECT_SELECTION_PROCESS")</f>
        <v>#NAME?</v>
      </c>
      <c r="P1075" t="e">
        <f ca="1">BDP("076280JC Muni","ESG_FRAMEWORK_INDICATOR")</f>
        <v>#NAME?</v>
      </c>
      <c r="Q1075" t="e">
        <f ca="1">BDP("076280JC Muni","BLOOMBERG_SECTOR_CODE")</f>
        <v>#NAME?</v>
      </c>
      <c r="R1075" t="e">
        <f ca="1">BDP("076280JC Muni","ISSUER_TYPE")</f>
        <v>#NAME?</v>
      </c>
      <c r="S1075" t="e">
        <f ca="1">BDS("076280JC Muni","ESG_PROJECT_CATEGORY", "aggregate=y")</f>
        <v>#NAME?</v>
      </c>
      <c r="T1075" t="e">
        <f ca="1">BDS("076280JC Muni","ESG_PROJECT_SUBCATEGORY", "aggregate=y")</f>
        <v>#NAME?</v>
      </c>
    </row>
    <row r="1076" spans="1:20" x14ac:dyDescent="0.25">
      <c r="A1076" t="e">
        <f ca="1">BDP("076280HW Muni","ID_CUSIP")</f>
        <v>#NAME?</v>
      </c>
      <c r="B1076" t="e">
        <f ca="1">BDP("076280HW Muni","STATE_CODE")</f>
        <v>#NAME?</v>
      </c>
      <c r="C1076" t="s">
        <v>72</v>
      </c>
      <c r="D1076" t="e">
        <f ca="1">BDP("076280HW Muni","YIELD_ON_ISSUE_DATE")</f>
        <v>#NAME?</v>
      </c>
      <c r="E1076">
        <v>285000</v>
      </c>
      <c r="F1076" t="e">
        <f ca="1">BDP("076280HW Muni","ISSUE_DT")</f>
        <v>#NAME?</v>
      </c>
      <c r="G1076" t="e">
        <f ca="1">BDP("076280HW Muni","MATURITY")</f>
        <v>#NAME?</v>
      </c>
      <c r="H1076" t="e">
        <f ca="1">BDP("076280HW Muni","MUNI_TAX_PROV")</f>
        <v>#NAME?</v>
      </c>
      <c r="I1076" t="e">
        <f ca="1">BDP("076280HW Muni","FINANCING_TYPE")</f>
        <v>#NAME?</v>
      </c>
      <c r="J1076" t="e">
        <f ca="1">BDP("076280HW Muni","BICS_LEVEL_2_INDUSTRY_GROUP_NAME")</f>
        <v>#NAME?</v>
      </c>
      <c r="K1076" t="e">
        <f ca="1">BDP("076280HW Muni","SELF_REPRTD_GREEN_INSTR_INDCTR")</f>
        <v>#NAME?</v>
      </c>
      <c r="L1076" t="e">
        <f ca="1">BDP("076280HW Muni","GB_MANAGEMENT_PROCEEDS")</f>
        <v>#NAME?</v>
      </c>
      <c r="M1076" t="e">
        <f ca="1">BDP("076280HW Muni","GB_REPORTING")</f>
        <v>#NAME?</v>
      </c>
      <c r="N1076" t="e">
        <f ca="1">BDP("076280HW Muni","GB_ASSURANCE_PROVIDERS")</f>
        <v>#NAME?</v>
      </c>
      <c r="O1076" t="e">
        <f ca="1">BDP("076280HW Muni","GB_PROJECT_SELECTION_PROCESS")</f>
        <v>#NAME?</v>
      </c>
      <c r="P1076" t="e">
        <f ca="1">BDP("076280HW Muni","ESG_FRAMEWORK_INDICATOR")</f>
        <v>#NAME?</v>
      </c>
      <c r="Q1076" t="e">
        <f ca="1">BDP("076280HW Muni","BLOOMBERG_SECTOR_CODE")</f>
        <v>#NAME?</v>
      </c>
      <c r="R1076" t="e">
        <f ca="1">BDP("076280HW Muni","ISSUER_TYPE")</f>
        <v>#NAME?</v>
      </c>
      <c r="S1076" t="e">
        <f ca="1">BDS("076280HW Muni","ESG_PROJECT_CATEGORY", "aggregate=y")</f>
        <v>#NAME?</v>
      </c>
      <c r="T1076" t="e">
        <f ca="1">BDS("076280HW Muni","ESG_PROJECT_SUBCATEGORY", "aggregate=y")</f>
        <v>#NAME?</v>
      </c>
    </row>
    <row r="1077" spans="1:20" x14ac:dyDescent="0.25">
      <c r="A1077" t="e">
        <f ca="1">BDP("076280JF Muni","ID_CUSIP")</f>
        <v>#NAME?</v>
      </c>
      <c r="B1077" t="e">
        <f ca="1">BDP("076280JF Muni","STATE_CODE")</f>
        <v>#NAME?</v>
      </c>
      <c r="C1077" t="s">
        <v>72</v>
      </c>
      <c r="D1077" t="e">
        <f ca="1">BDP("076280JF Muni","YIELD_ON_ISSUE_DATE")</f>
        <v>#NAME?</v>
      </c>
      <c r="E1077">
        <v>290000</v>
      </c>
      <c r="F1077" t="e">
        <f ca="1">BDP("076280JF Muni","ISSUE_DT")</f>
        <v>#NAME?</v>
      </c>
      <c r="G1077" t="e">
        <f ca="1">BDP("076280JF Muni","MATURITY")</f>
        <v>#NAME?</v>
      </c>
      <c r="H1077" t="e">
        <f ca="1">BDP("076280JF Muni","MUNI_TAX_PROV")</f>
        <v>#NAME?</v>
      </c>
      <c r="I1077" t="e">
        <f ca="1">BDP("076280JF Muni","FINANCING_TYPE")</f>
        <v>#NAME?</v>
      </c>
      <c r="J1077" t="e">
        <f ca="1">BDP("076280JF Muni","BICS_LEVEL_2_INDUSTRY_GROUP_NAME")</f>
        <v>#NAME?</v>
      </c>
      <c r="K1077" t="e">
        <f ca="1">BDP("076280JF Muni","SELF_REPRTD_GREEN_INSTR_INDCTR")</f>
        <v>#NAME?</v>
      </c>
      <c r="L1077" t="e">
        <f ca="1">BDP("076280JF Muni","GB_MANAGEMENT_PROCEEDS")</f>
        <v>#NAME?</v>
      </c>
      <c r="M1077" t="e">
        <f ca="1">BDP("076280JF Muni","GB_REPORTING")</f>
        <v>#NAME?</v>
      </c>
      <c r="N1077" t="e">
        <f ca="1">BDP("076280JF Muni","GB_ASSURANCE_PROVIDERS")</f>
        <v>#NAME?</v>
      </c>
      <c r="O1077" t="e">
        <f ca="1">BDP("076280JF Muni","GB_PROJECT_SELECTION_PROCESS")</f>
        <v>#NAME?</v>
      </c>
      <c r="P1077" t="e">
        <f ca="1">BDP("076280JF Muni","ESG_FRAMEWORK_INDICATOR")</f>
        <v>#NAME?</v>
      </c>
      <c r="Q1077" t="e">
        <f ca="1">BDP("076280JF Muni","BLOOMBERG_SECTOR_CODE")</f>
        <v>#NAME?</v>
      </c>
      <c r="R1077" t="e">
        <f ca="1">BDP("076280JF Muni","ISSUER_TYPE")</f>
        <v>#NAME?</v>
      </c>
      <c r="S1077" t="e">
        <f ca="1">BDS("076280JF Muni","ESG_PROJECT_CATEGORY", "aggregate=y")</f>
        <v>#NAME?</v>
      </c>
      <c r="T1077" t="e">
        <f ca="1">BDS("076280JF Muni","ESG_PROJECT_SUBCATEGORY", "aggregate=y")</f>
        <v>#NAME?</v>
      </c>
    </row>
    <row r="1078" spans="1:20" x14ac:dyDescent="0.25">
      <c r="A1078" t="e">
        <f ca="1">BDP("076280JE Muni","ID_CUSIP")</f>
        <v>#NAME?</v>
      </c>
      <c r="B1078" t="e">
        <f ca="1">BDP("076280JE Muni","STATE_CODE")</f>
        <v>#NAME?</v>
      </c>
      <c r="C1078" t="s">
        <v>72</v>
      </c>
      <c r="D1078" t="e">
        <f ca="1">BDP("076280JE Muni","YIELD_ON_ISSUE_DATE")</f>
        <v>#NAME?</v>
      </c>
      <c r="E1078">
        <v>290000</v>
      </c>
      <c r="F1078" t="e">
        <f ca="1">BDP("076280JE Muni","ISSUE_DT")</f>
        <v>#NAME?</v>
      </c>
      <c r="G1078" t="e">
        <f ca="1">BDP("076280JE Muni","MATURITY")</f>
        <v>#NAME?</v>
      </c>
      <c r="H1078" t="e">
        <f ca="1">BDP("076280JE Muni","MUNI_TAX_PROV")</f>
        <v>#NAME?</v>
      </c>
      <c r="I1078" t="e">
        <f ca="1">BDP("076280JE Muni","FINANCING_TYPE")</f>
        <v>#NAME?</v>
      </c>
      <c r="J1078" t="e">
        <f ca="1">BDP("076280JE Muni","BICS_LEVEL_2_INDUSTRY_GROUP_NAME")</f>
        <v>#NAME?</v>
      </c>
      <c r="K1078" t="e">
        <f ca="1">BDP("076280JE Muni","SELF_REPRTD_GREEN_INSTR_INDCTR")</f>
        <v>#NAME?</v>
      </c>
      <c r="L1078" t="e">
        <f ca="1">BDP("076280JE Muni","GB_MANAGEMENT_PROCEEDS")</f>
        <v>#NAME?</v>
      </c>
      <c r="M1078" t="e">
        <f ca="1">BDP("076280JE Muni","GB_REPORTING")</f>
        <v>#NAME?</v>
      </c>
      <c r="N1078" t="e">
        <f ca="1">BDP("076280JE Muni","GB_ASSURANCE_PROVIDERS")</f>
        <v>#NAME?</v>
      </c>
      <c r="O1078" t="e">
        <f ca="1">BDP("076280JE Muni","GB_PROJECT_SELECTION_PROCESS")</f>
        <v>#NAME?</v>
      </c>
      <c r="P1078" t="e">
        <f ca="1">BDP("076280JE Muni","ESG_FRAMEWORK_INDICATOR")</f>
        <v>#NAME?</v>
      </c>
      <c r="Q1078" t="e">
        <f ca="1">BDP("076280JE Muni","BLOOMBERG_SECTOR_CODE")</f>
        <v>#NAME?</v>
      </c>
      <c r="R1078" t="e">
        <f ca="1">BDP("076280JE Muni","ISSUER_TYPE")</f>
        <v>#NAME?</v>
      </c>
      <c r="S1078" t="e">
        <f ca="1">BDS("076280JE Muni","ESG_PROJECT_CATEGORY", "aggregate=y")</f>
        <v>#NAME?</v>
      </c>
      <c r="T1078" t="e">
        <f ca="1">BDS("076280JE Muni","ESG_PROJECT_SUBCATEGORY", "aggregate=y")</f>
        <v>#NAME?</v>
      </c>
    </row>
    <row r="1079" spans="1:20" x14ac:dyDescent="0.25">
      <c r="A1079" t="e">
        <f ca="1">BDP("076280JD Muni","ID_CUSIP")</f>
        <v>#NAME?</v>
      </c>
      <c r="B1079" t="e">
        <f ca="1">BDP("076280JD Muni","STATE_CODE")</f>
        <v>#NAME?</v>
      </c>
      <c r="C1079" t="s">
        <v>72</v>
      </c>
      <c r="D1079" t="e">
        <f ca="1">BDP("076280JD Muni","YIELD_ON_ISSUE_DATE")</f>
        <v>#NAME?</v>
      </c>
      <c r="E1079">
        <v>290000</v>
      </c>
      <c r="F1079" t="e">
        <f ca="1">BDP("076280JD Muni","ISSUE_DT")</f>
        <v>#NAME?</v>
      </c>
      <c r="G1079" t="e">
        <f ca="1">BDP("076280JD Muni","MATURITY")</f>
        <v>#NAME?</v>
      </c>
      <c r="H1079" t="e">
        <f ca="1">BDP("076280JD Muni","MUNI_TAX_PROV")</f>
        <v>#NAME?</v>
      </c>
      <c r="I1079" t="e">
        <f ca="1">BDP("076280JD Muni","FINANCING_TYPE")</f>
        <v>#NAME?</v>
      </c>
      <c r="J1079" t="e">
        <f ca="1">BDP("076280JD Muni","BICS_LEVEL_2_INDUSTRY_GROUP_NAME")</f>
        <v>#NAME?</v>
      </c>
      <c r="K1079" t="e">
        <f ca="1">BDP("076280JD Muni","SELF_REPRTD_GREEN_INSTR_INDCTR")</f>
        <v>#NAME?</v>
      </c>
      <c r="L1079" t="e">
        <f ca="1">BDP("076280JD Muni","GB_MANAGEMENT_PROCEEDS")</f>
        <v>#NAME?</v>
      </c>
      <c r="M1079" t="e">
        <f ca="1">BDP("076280JD Muni","GB_REPORTING")</f>
        <v>#NAME?</v>
      </c>
      <c r="N1079" t="e">
        <f ca="1">BDP("076280JD Muni","GB_ASSURANCE_PROVIDERS")</f>
        <v>#NAME?</v>
      </c>
      <c r="O1079" t="e">
        <f ca="1">BDP("076280JD Muni","GB_PROJECT_SELECTION_PROCESS")</f>
        <v>#NAME?</v>
      </c>
      <c r="P1079" t="e">
        <f ca="1">BDP("076280JD Muni","ESG_FRAMEWORK_INDICATOR")</f>
        <v>#NAME?</v>
      </c>
      <c r="Q1079" t="e">
        <f ca="1">BDP("076280JD Muni","BLOOMBERG_SECTOR_CODE")</f>
        <v>#NAME?</v>
      </c>
      <c r="R1079" t="e">
        <f ca="1">BDP("076280JD Muni","ISSUER_TYPE")</f>
        <v>#NAME?</v>
      </c>
      <c r="S1079" t="e">
        <f ca="1">BDS("076280JD Muni","ESG_PROJECT_CATEGORY", "aggregate=y")</f>
        <v>#NAME?</v>
      </c>
      <c r="T1079" t="e">
        <f ca="1">BDS("076280JD Muni","ESG_PROJECT_SUBCATEGORY", "aggregate=y")</f>
        <v>#NAME?</v>
      </c>
    </row>
    <row r="1080" spans="1:20" x14ac:dyDescent="0.25">
      <c r="A1080" t="e">
        <f ca="1">BDP("915710BS Muni","ID_CUSIP")</f>
        <v>#NAME?</v>
      </c>
      <c r="B1080" t="e">
        <f ca="1">BDP("915710BS Muni","STATE_CODE")</f>
        <v>#NAME?</v>
      </c>
      <c r="C1080" t="s">
        <v>73</v>
      </c>
      <c r="D1080" t="e">
        <f ca="1">BDP("915710BS Muni","YIELD_ON_ISSUE_DATE")</f>
        <v>#NAME?</v>
      </c>
      <c r="E1080">
        <v>15000</v>
      </c>
      <c r="F1080" t="e">
        <f ca="1">BDP("915710BS Muni","ISSUE_DT")</f>
        <v>#NAME?</v>
      </c>
      <c r="G1080" t="e">
        <f ca="1">BDP("915710BS Muni","MATURITY")</f>
        <v>#NAME?</v>
      </c>
      <c r="H1080" t="e">
        <f ca="1">BDP("915710BS Muni","MUNI_TAX_PROV")</f>
        <v>#NAME?</v>
      </c>
      <c r="I1080" t="e">
        <f ca="1">BDP("915710BS Muni","FINANCING_TYPE")</f>
        <v>#NAME?</v>
      </c>
      <c r="J1080" t="e">
        <f ca="1">BDP("915710BS Muni","BICS_LEVEL_2_INDUSTRY_GROUP_NAME")</f>
        <v>#NAME?</v>
      </c>
      <c r="K1080" t="e">
        <f ca="1">BDP("915710BS Muni","SELF_REPRTD_GREEN_INSTR_INDCTR")</f>
        <v>#NAME?</v>
      </c>
      <c r="L1080" t="e">
        <f ca="1">BDP("915710BS Muni","GB_MANAGEMENT_PROCEEDS")</f>
        <v>#NAME?</v>
      </c>
      <c r="M1080" t="e">
        <f ca="1">BDP("915710BS Muni","GB_REPORTING")</f>
        <v>#NAME?</v>
      </c>
      <c r="N1080" t="e">
        <f ca="1">BDP("915710BS Muni","GB_ASSURANCE_PROVIDERS")</f>
        <v>#NAME?</v>
      </c>
      <c r="O1080" t="e">
        <f ca="1">BDP("915710BS Muni","GB_PROJECT_SELECTION_PROCESS")</f>
        <v>#NAME?</v>
      </c>
      <c r="P1080" t="e">
        <f ca="1">BDP("915710BS Muni","ESG_FRAMEWORK_INDICATOR")</f>
        <v>#NAME?</v>
      </c>
      <c r="Q1080" t="e">
        <f ca="1">BDP("915710BS Muni","BLOOMBERG_SECTOR_CODE")</f>
        <v>#NAME?</v>
      </c>
      <c r="R1080" t="e">
        <f ca="1">BDP("915710BS Muni","ISSUER_TYPE")</f>
        <v>#NAME?</v>
      </c>
      <c r="S1080" t="e">
        <f ca="1">BDS("915710BS Muni","ESG_PROJECT_CATEGORY", "aggregate=y")</f>
        <v>#NAME?</v>
      </c>
      <c r="T1080" t="e">
        <f ca="1">BDS("915710BS Muni","ESG_PROJECT_SUBCATEGORY", "aggregate=y")</f>
        <v>#NAME?</v>
      </c>
    </row>
    <row r="1081" spans="1:20" x14ac:dyDescent="0.25">
      <c r="A1081" t="e">
        <f ca="1">BDP("915710BT Muni","ID_CUSIP")</f>
        <v>#NAME?</v>
      </c>
      <c r="B1081" t="e">
        <f ca="1">BDP("915710BT Muni","STATE_CODE")</f>
        <v>#NAME?</v>
      </c>
      <c r="C1081" t="s">
        <v>73</v>
      </c>
      <c r="D1081" t="e">
        <f ca="1">BDP("915710BT Muni","YIELD_ON_ISSUE_DATE")</f>
        <v>#NAME?</v>
      </c>
      <c r="E1081">
        <v>120000</v>
      </c>
      <c r="F1081" t="e">
        <f ca="1">BDP("915710BT Muni","ISSUE_DT")</f>
        <v>#NAME?</v>
      </c>
      <c r="G1081" t="e">
        <f ca="1">BDP("915710BT Muni","MATURITY")</f>
        <v>#NAME?</v>
      </c>
      <c r="H1081" t="e">
        <f ca="1">BDP("915710BT Muni","MUNI_TAX_PROV")</f>
        <v>#NAME?</v>
      </c>
      <c r="I1081" t="e">
        <f ca="1">BDP("915710BT Muni","FINANCING_TYPE")</f>
        <v>#NAME?</v>
      </c>
      <c r="J1081" t="e">
        <f ca="1">BDP("915710BT Muni","BICS_LEVEL_2_INDUSTRY_GROUP_NAME")</f>
        <v>#NAME?</v>
      </c>
      <c r="K1081" t="e">
        <f ca="1">BDP("915710BT Muni","SELF_REPRTD_GREEN_INSTR_INDCTR")</f>
        <v>#NAME?</v>
      </c>
      <c r="L1081" t="e">
        <f ca="1">BDP("915710BT Muni","GB_MANAGEMENT_PROCEEDS")</f>
        <v>#NAME?</v>
      </c>
      <c r="M1081" t="e">
        <f ca="1">BDP("915710BT Muni","GB_REPORTING")</f>
        <v>#NAME?</v>
      </c>
      <c r="N1081" t="e">
        <f ca="1">BDP("915710BT Muni","GB_ASSURANCE_PROVIDERS")</f>
        <v>#NAME?</v>
      </c>
      <c r="O1081" t="e">
        <f ca="1">BDP("915710BT Muni","GB_PROJECT_SELECTION_PROCESS")</f>
        <v>#NAME?</v>
      </c>
      <c r="P1081" t="e">
        <f ca="1">BDP("915710BT Muni","ESG_FRAMEWORK_INDICATOR")</f>
        <v>#NAME?</v>
      </c>
      <c r="Q1081" t="e">
        <f ca="1">BDP("915710BT Muni","BLOOMBERG_SECTOR_CODE")</f>
        <v>#NAME?</v>
      </c>
      <c r="R1081" t="e">
        <f ca="1">BDP("915710BT Muni","ISSUER_TYPE")</f>
        <v>#NAME?</v>
      </c>
      <c r="S1081" t="e">
        <f ca="1">BDS("915710BT Muni","ESG_PROJECT_CATEGORY", "aggregate=y")</f>
        <v>#NAME?</v>
      </c>
      <c r="T1081" t="e">
        <f ca="1">BDS("915710BT Muni","ESG_PROJECT_SUBCATEGORY", "aggregate=y")</f>
        <v>#NAME?</v>
      </c>
    </row>
    <row r="1082" spans="1:20" x14ac:dyDescent="0.25">
      <c r="A1082" t="e">
        <f ca="1">BDP("915710BU Muni","ID_CUSIP")</f>
        <v>#NAME?</v>
      </c>
      <c r="B1082" t="e">
        <f ca="1">BDP("915710BU Muni","STATE_CODE")</f>
        <v>#NAME?</v>
      </c>
      <c r="C1082" t="s">
        <v>73</v>
      </c>
      <c r="D1082" t="e">
        <f ca="1">BDP("915710BU Muni","YIELD_ON_ISSUE_DATE")</f>
        <v>#NAME?</v>
      </c>
      <c r="E1082">
        <v>130000</v>
      </c>
      <c r="F1082" t="e">
        <f ca="1">BDP("915710BU Muni","ISSUE_DT")</f>
        <v>#NAME?</v>
      </c>
      <c r="G1082" t="e">
        <f ca="1">BDP("915710BU Muni","MATURITY")</f>
        <v>#NAME?</v>
      </c>
      <c r="H1082" t="e">
        <f ca="1">BDP("915710BU Muni","MUNI_TAX_PROV")</f>
        <v>#NAME?</v>
      </c>
      <c r="I1082" t="e">
        <f ca="1">BDP("915710BU Muni","FINANCING_TYPE")</f>
        <v>#NAME?</v>
      </c>
      <c r="J1082" t="e">
        <f ca="1">BDP("915710BU Muni","BICS_LEVEL_2_INDUSTRY_GROUP_NAME")</f>
        <v>#NAME?</v>
      </c>
      <c r="K1082" t="e">
        <f ca="1">BDP("915710BU Muni","SELF_REPRTD_GREEN_INSTR_INDCTR")</f>
        <v>#NAME?</v>
      </c>
      <c r="L1082" t="e">
        <f ca="1">BDP("915710BU Muni","GB_MANAGEMENT_PROCEEDS")</f>
        <v>#NAME?</v>
      </c>
      <c r="M1082" t="e">
        <f ca="1">BDP("915710BU Muni","GB_REPORTING")</f>
        <v>#NAME?</v>
      </c>
      <c r="N1082" t="e">
        <f ca="1">BDP("915710BU Muni","GB_ASSURANCE_PROVIDERS")</f>
        <v>#NAME?</v>
      </c>
      <c r="O1082" t="e">
        <f ca="1">BDP("915710BU Muni","GB_PROJECT_SELECTION_PROCESS")</f>
        <v>#NAME?</v>
      </c>
      <c r="P1082" t="e">
        <f ca="1">BDP("915710BU Muni","ESG_FRAMEWORK_INDICATOR")</f>
        <v>#NAME?</v>
      </c>
      <c r="Q1082" t="e">
        <f ca="1">BDP("915710BU Muni","BLOOMBERG_SECTOR_CODE")</f>
        <v>#NAME?</v>
      </c>
      <c r="R1082" t="e">
        <f ca="1">BDP("915710BU Muni","ISSUER_TYPE")</f>
        <v>#NAME?</v>
      </c>
      <c r="S1082" t="e">
        <f ca="1">BDS("915710BU Muni","ESG_PROJECT_CATEGORY", "aggregate=y")</f>
        <v>#NAME?</v>
      </c>
      <c r="T1082" t="e">
        <f ca="1">BDS("915710BU Muni","ESG_PROJECT_SUBCATEGORY", "aggregate=y")</f>
        <v>#NAME?</v>
      </c>
    </row>
    <row r="1083" spans="1:20" x14ac:dyDescent="0.25">
      <c r="A1083" t="e">
        <f ca="1">BDP("915710BV Muni","ID_CUSIP")</f>
        <v>#NAME?</v>
      </c>
      <c r="B1083" t="e">
        <f ca="1">BDP("915710BV Muni","STATE_CODE")</f>
        <v>#NAME?</v>
      </c>
      <c r="C1083" t="s">
        <v>73</v>
      </c>
      <c r="D1083" t="e">
        <f ca="1">BDP("915710BV Muni","YIELD_ON_ISSUE_DATE")</f>
        <v>#NAME?</v>
      </c>
      <c r="E1083">
        <v>60000</v>
      </c>
      <c r="F1083" t="e">
        <f ca="1">BDP("915710BV Muni","ISSUE_DT")</f>
        <v>#NAME?</v>
      </c>
      <c r="G1083" t="e">
        <f ca="1">BDP("915710BV Muni","MATURITY")</f>
        <v>#NAME?</v>
      </c>
      <c r="H1083" t="e">
        <f ca="1">BDP("915710BV Muni","MUNI_TAX_PROV")</f>
        <v>#NAME?</v>
      </c>
      <c r="I1083" t="e">
        <f ca="1">BDP("915710BV Muni","FINANCING_TYPE")</f>
        <v>#NAME?</v>
      </c>
      <c r="J1083" t="e">
        <f ca="1">BDP("915710BV Muni","BICS_LEVEL_2_INDUSTRY_GROUP_NAME")</f>
        <v>#NAME?</v>
      </c>
      <c r="K1083" t="e">
        <f ca="1">BDP("915710BV Muni","SELF_REPRTD_GREEN_INSTR_INDCTR")</f>
        <v>#NAME?</v>
      </c>
      <c r="L1083" t="e">
        <f ca="1">BDP("915710BV Muni","GB_MANAGEMENT_PROCEEDS")</f>
        <v>#NAME?</v>
      </c>
      <c r="M1083" t="e">
        <f ca="1">BDP("915710BV Muni","GB_REPORTING")</f>
        <v>#NAME?</v>
      </c>
      <c r="N1083" t="e">
        <f ca="1">BDP("915710BV Muni","GB_ASSURANCE_PROVIDERS")</f>
        <v>#NAME?</v>
      </c>
      <c r="O1083" t="e">
        <f ca="1">BDP("915710BV Muni","GB_PROJECT_SELECTION_PROCESS")</f>
        <v>#NAME?</v>
      </c>
      <c r="P1083" t="e">
        <f ca="1">BDP("915710BV Muni","ESG_FRAMEWORK_INDICATOR")</f>
        <v>#NAME?</v>
      </c>
      <c r="Q1083" t="e">
        <f ca="1">BDP("915710BV Muni","BLOOMBERG_SECTOR_CODE")</f>
        <v>#NAME?</v>
      </c>
      <c r="R1083" t="e">
        <f ca="1">BDP("915710BV Muni","ISSUER_TYPE")</f>
        <v>#NAME?</v>
      </c>
      <c r="S1083" t="e">
        <f ca="1">BDS("915710BV Muni","ESG_PROJECT_CATEGORY", "aggregate=y")</f>
        <v>#NAME?</v>
      </c>
      <c r="T1083" t="e">
        <f ca="1">BDS("915710BV Muni","ESG_PROJECT_SUBCATEGORY", "aggregate=y")</f>
        <v>#NAME?</v>
      </c>
    </row>
    <row r="1084" spans="1:20" x14ac:dyDescent="0.25">
      <c r="A1084" t="e">
        <f ca="1">BDP("915710BW Muni","ID_CUSIP")</f>
        <v>#NAME?</v>
      </c>
      <c r="B1084" t="e">
        <f ca="1">BDP("915710BW Muni","STATE_CODE")</f>
        <v>#NAME?</v>
      </c>
      <c r="C1084" t="s">
        <v>73</v>
      </c>
      <c r="D1084" t="e">
        <f ca="1">BDP("915710BW Muni","YIELD_ON_ISSUE_DATE")</f>
        <v>#NAME?</v>
      </c>
      <c r="E1084">
        <v>65000</v>
      </c>
      <c r="F1084" t="e">
        <f ca="1">BDP("915710BW Muni","ISSUE_DT")</f>
        <v>#NAME?</v>
      </c>
      <c r="G1084" t="e">
        <f ca="1">BDP("915710BW Muni","MATURITY")</f>
        <v>#NAME?</v>
      </c>
      <c r="H1084" t="e">
        <f ca="1">BDP("915710BW Muni","MUNI_TAX_PROV")</f>
        <v>#NAME?</v>
      </c>
      <c r="I1084" t="e">
        <f ca="1">BDP("915710BW Muni","FINANCING_TYPE")</f>
        <v>#NAME?</v>
      </c>
      <c r="J1084" t="e">
        <f ca="1">BDP("915710BW Muni","BICS_LEVEL_2_INDUSTRY_GROUP_NAME")</f>
        <v>#NAME?</v>
      </c>
      <c r="K1084" t="e">
        <f ca="1">BDP("915710BW Muni","SELF_REPRTD_GREEN_INSTR_INDCTR")</f>
        <v>#NAME?</v>
      </c>
      <c r="L1084" t="e">
        <f ca="1">BDP("915710BW Muni","GB_MANAGEMENT_PROCEEDS")</f>
        <v>#NAME?</v>
      </c>
      <c r="M1084" t="e">
        <f ca="1">BDP("915710BW Muni","GB_REPORTING")</f>
        <v>#NAME?</v>
      </c>
      <c r="N1084" t="e">
        <f ca="1">BDP("915710BW Muni","GB_ASSURANCE_PROVIDERS")</f>
        <v>#NAME?</v>
      </c>
      <c r="O1084" t="e">
        <f ca="1">BDP("915710BW Muni","GB_PROJECT_SELECTION_PROCESS")</f>
        <v>#NAME?</v>
      </c>
      <c r="P1084" t="e">
        <f ca="1">BDP("915710BW Muni","ESG_FRAMEWORK_INDICATOR")</f>
        <v>#NAME?</v>
      </c>
      <c r="Q1084" t="e">
        <f ca="1">BDP("915710BW Muni","BLOOMBERG_SECTOR_CODE")</f>
        <v>#NAME?</v>
      </c>
      <c r="R1084" t="e">
        <f ca="1">BDP("915710BW Muni","ISSUER_TYPE")</f>
        <v>#NAME?</v>
      </c>
      <c r="S1084" t="e">
        <f ca="1">BDS("915710BW Muni","ESG_PROJECT_CATEGORY", "aggregate=y")</f>
        <v>#NAME?</v>
      </c>
      <c r="T1084" t="e">
        <f ca="1">BDS("915710BW Muni","ESG_PROJECT_SUBCATEGORY", "aggregate=y")</f>
        <v>#NAME?</v>
      </c>
    </row>
    <row r="1085" spans="1:20" x14ac:dyDescent="0.25">
      <c r="A1085" t="e">
        <f ca="1">BDP("915710BX Muni","ID_CUSIP")</f>
        <v>#NAME?</v>
      </c>
      <c r="B1085" t="e">
        <f ca="1">BDP("915710BX Muni","STATE_CODE")</f>
        <v>#NAME?</v>
      </c>
      <c r="C1085" t="s">
        <v>73</v>
      </c>
      <c r="D1085" t="e">
        <f ca="1">BDP("915710BX Muni","YIELD_ON_ISSUE_DATE")</f>
        <v>#NAME?</v>
      </c>
      <c r="E1085">
        <v>70000</v>
      </c>
      <c r="F1085" t="e">
        <f ca="1">BDP("915710BX Muni","ISSUE_DT")</f>
        <v>#NAME?</v>
      </c>
      <c r="G1085" t="e">
        <f ca="1">BDP("915710BX Muni","MATURITY")</f>
        <v>#NAME?</v>
      </c>
      <c r="H1085" t="e">
        <f ca="1">BDP("915710BX Muni","MUNI_TAX_PROV")</f>
        <v>#NAME?</v>
      </c>
      <c r="I1085" t="e">
        <f ca="1">BDP("915710BX Muni","FINANCING_TYPE")</f>
        <v>#NAME?</v>
      </c>
      <c r="J1085" t="e">
        <f ca="1">BDP("915710BX Muni","BICS_LEVEL_2_INDUSTRY_GROUP_NAME")</f>
        <v>#NAME?</v>
      </c>
      <c r="K1085" t="e">
        <f ca="1">BDP("915710BX Muni","SELF_REPRTD_GREEN_INSTR_INDCTR")</f>
        <v>#NAME?</v>
      </c>
      <c r="L1085" t="e">
        <f ca="1">BDP("915710BX Muni","GB_MANAGEMENT_PROCEEDS")</f>
        <v>#NAME?</v>
      </c>
      <c r="M1085" t="e">
        <f ca="1">BDP("915710BX Muni","GB_REPORTING")</f>
        <v>#NAME?</v>
      </c>
      <c r="N1085" t="e">
        <f ca="1">BDP("915710BX Muni","GB_ASSURANCE_PROVIDERS")</f>
        <v>#NAME?</v>
      </c>
      <c r="O1085" t="e">
        <f ca="1">BDP("915710BX Muni","GB_PROJECT_SELECTION_PROCESS")</f>
        <v>#NAME?</v>
      </c>
      <c r="P1085" t="e">
        <f ca="1">BDP("915710BX Muni","ESG_FRAMEWORK_INDICATOR")</f>
        <v>#NAME?</v>
      </c>
      <c r="Q1085" t="e">
        <f ca="1">BDP("915710BX Muni","BLOOMBERG_SECTOR_CODE")</f>
        <v>#NAME?</v>
      </c>
      <c r="R1085" t="e">
        <f ca="1">BDP("915710BX Muni","ISSUER_TYPE")</f>
        <v>#NAME?</v>
      </c>
      <c r="S1085" t="e">
        <f ca="1">BDS("915710BX Muni","ESG_PROJECT_CATEGORY", "aggregate=y")</f>
        <v>#NAME?</v>
      </c>
      <c r="T1085" t="e">
        <f ca="1">BDS("915710BX Muni","ESG_PROJECT_SUBCATEGORY", "aggregate=y")</f>
        <v>#NAME?</v>
      </c>
    </row>
    <row r="1086" spans="1:20" x14ac:dyDescent="0.25">
      <c r="A1086" t="e">
        <f ca="1">BDP("915710BY Muni","ID_CUSIP")</f>
        <v>#NAME?</v>
      </c>
      <c r="B1086" t="e">
        <f ca="1">BDP("915710BY Muni","STATE_CODE")</f>
        <v>#NAME?</v>
      </c>
      <c r="C1086" t="s">
        <v>73</v>
      </c>
      <c r="D1086" t="e">
        <f ca="1">BDP("915710BY Muni","YIELD_ON_ISSUE_DATE")</f>
        <v>#NAME?</v>
      </c>
      <c r="E1086">
        <v>65000</v>
      </c>
      <c r="F1086" t="e">
        <f ca="1">BDP("915710BY Muni","ISSUE_DT")</f>
        <v>#NAME?</v>
      </c>
      <c r="G1086" t="e">
        <f ca="1">BDP("915710BY Muni","MATURITY")</f>
        <v>#NAME?</v>
      </c>
      <c r="H1086" t="e">
        <f ca="1">BDP("915710BY Muni","MUNI_TAX_PROV")</f>
        <v>#NAME?</v>
      </c>
      <c r="I1086" t="e">
        <f ca="1">BDP("915710BY Muni","FINANCING_TYPE")</f>
        <v>#NAME?</v>
      </c>
      <c r="J1086" t="e">
        <f ca="1">BDP("915710BY Muni","BICS_LEVEL_2_INDUSTRY_GROUP_NAME")</f>
        <v>#NAME?</v>
      </c>
      <c r="K1086" t="e">
        <f ca="1">BDP("915710BY Muni","SELF_REPRTD_GREEN_INSTR_INDCTR")</f>
        <v>#NAME?</v>
      </c>
      <c r="L1086" t="e">
        <f ca="1">BDP("915710BY Muni","GB_MANAGEMENT_PROCEEDS")</f>
        <v>#NAME?</v>
      </c>
      <c r="M1086" t="e">
        <f ca="1">BDP("915710BY Muni","GB_REPORTING")</f>
        <v>#NAME?</v>
      </c>
      <c r="N1086" t="e">
        <f ca="1">BDP("915710BY Muni","GB_ASSURANCE_PROVIDERS")</f>
        <v>#NAME?</v>
      </c>
      <c r="O1086" t="e">
        <f ca="1">BDP("915710BY Muni","GB_PROJECT_SELECTION_PROCESS")</f>
        <v>#NAME?</v>
      </c>
      <c r="P1086" t="e">
        <f ca="1">BDP("915710BY Muni","ESG_FRAMEWORK_INDICATOR")</f>
        <v>#NAME?</v>
      </c>
      <c r="Q1086" t="e">
        <f ca="1">BDP("915710BY Muni","BLOOMBERG_SECTOR_CODE")</f>
        <v>#NAME?</v>
      </c>
      <c r="R1086" t="e">
        <f ca="1">BDP("915710BY Muni","ISSUER_TYPE")</f>
        <v>#NAME?</v>
      </c>
      <c r="S1086" t="e">
        <f ca="1">BDS("915710BY Muni","ESG_PROJECT_CATEGORY", "aggregate=y")</f>
        <v>#NAME?</v>
      </c>
      <c r="T1086" t="e">
        <f ca="1">BDS("915710BY Muni","ESG_PROJECT_SUBCATEGORY", "aggregate=y")</f>
        <v>#NAME?</v>
      </c>
    </row>
    <row r="1087" spans="1:20" x14ac:dyDescent="0.25">
      <c r="A1087" t="e">
        <f ca="1">BDP("915710BZ Muni","ID_CUSIP")</f>
        <v>#NAME?</v>
      </c>
      <c r="B1087" t="e">
        <f ca="1">BDP("915710BZ Muni","STATE_CODE")</f>
        <v>#NAME?</v>
      </c>
      <c r="C1087" t="s">
        <v>73</v>
      </c>
      <c r="D1087" t="e">
        <f ca="1">BDP("915710BZ Muni","YIELD_ON_ISSUE_DATE")</f>
        <v>#NAME?</v>
      </c>
      <c r="E1087">
        <v>70000</v>
      </c>
      <c r="F1087" t="e">
        <f ca="1">BDP("915710BZ Muni","ISSUE_DT")</f>
        <v>#NAME?</v>
      </c>
      <c r="G1087" t="e">
        <f ca="1">BDP("915710BZ Muni","MATURITY")</f>
        <v>#NAME?</v>
      </c>
      <c r="H1087" t="e">
        <f ca="1">BDP("915710BZ Muni","MUNI_TAX_PROV")</f>
        <v>#NAME?</v>
      </c>
      <c r="I1087" t="e">
        <f ca="1">BDP("915710BZ Muni","FINANCING_TYPE")</f>
        <v>#NAME?</v>
      </c>
      <c r="J1087" t="e">
        <f ca="1">BDP("915710BZ Muni","BICS_LEVEL_2_INDUSTRY_GROUP_NAME")</f>
        <v>#NAME?</v>
      </c>
      <c r="K1087" t="e">
        <f ca="1">BDP("915710BZ Muni","SELF_REPRTD_GREEN_INSTR_INDCTR")</f>
        <v>#NAME?</v>
      </c>
      <c r="L1087" t="e">
        <f ca="1">BDP("915710BZ Muni","GB_MANAGEMENT_PROCEEDS")</f>
        <v>#NAME?</v>
      </c>
      <c r="M1087" t="e">
        <f ca="1">BDP("915710BZ Muni","GB_REPORTING")</f>
        <v>#NAME?</v>
      </c>
      <c r="N1087" t="e">
        <f ca="1">BDP("915710BZ Muni","GB_ASSURANCE_PROVIDERS")</f>
        <v>#NAME?</v>
      </c>
      <c r="O1087" t="e">
        <f ca="1">BDP("915710BZ Muni","GB_PROJECT_SELECTION_PROCESS")</f>
        <v>#NAME?</v>
      </c>
      <c r="P1087" t="e">
        <f ca="1">BDP("915710BZ Muni","ESG_FRAMEWORK_INDICATOR")</f>
        <v>#NAME?</v>
      </c>
      <c r="Q1087" t="e">
        <f ca="1">BDP("915710BZ Muni","BLOOMBERG_SECTOR_CODE")</f>
        <v>#NAME?</v>
      </c>
      <c r="R1087" t="e">
        <f ca="1">BDP("915710BZ Muni","ISSUER_TYPE")</f>
        <v>#NAME?</v>
      </c>
      <c r="S1087" t="e">
        <f ca="1">BDS("915710BZ Muni","ESG_PROJECT_CATEGORY", "aggregate=y")</f>
        <v>#NAME?</v>
      </c>
      <c r="T1087" t="e">
        <f ca="1">BDS("915710BZ Muni","ESG_PROJECT_SUBCATEGORY", "aggregate=y")</f>
        <v>#NAME?</v>
      </c>
    </row>
    <row r="1088" spans="1:20" x14ac:dyDescent="0.25">
      <c r="A1088" t="e">
        <f ca="1">BDP("915710CA Muni","ID_CUSIP")</f>
        <v>#NAME?</v>
      </c>
      <c r="B1088" t="e">
        <f ca="1">BDP("915710CA Muni","STATE_CODE")</f>
        <v>#NAME?</v>
      </c>
      <c r="C1088" t="s">
        <v>73</v>
      </c>
      <c r="D1088" t="e">
        <f ca="1">BDP("915710CA Muni","YIELD_ON_ISSUE_DATE")</f>
        <v>#NAME?</v>
      </c>
      <c r="E1088">
        <v>80000</v>
      </c>
      <c r="F1088" t="e">
        <f ca="1">BDP("915710CA Muni","ISSUE_DT")</f>
        <v>#NAME?</v>
      </c>
      <c r="G1088" t="e">
        <f ca="1">BDP("915710CA Muni","MATURITY")</f>
        <v>#NAME?</v>
      </c>
      <c r="H1088" t="e">
        <f ca="1">BDP("915710CA Muni","MUNI_TAX_PROV")</f>
        <v>#NAME?</v>
      </c>
      <c r="I1088" t="e">
        <f ca="1">BDP("915710CA Muni","FINANCING_TYPE")</f>
        <v>#NAME?</v>
      </c>
      <c r="J1088" t="e">
        <f ca="1">BDP("915710CA Muni","BICS_LEVEL_2_INDUSTRY_GROUP_NAME")</f>
        <v>#NAME?</v>
      </c>
      <c r="K1088" t="e">
        <f ca="1">BDP("915710CA Muni","SELF_REPRTD_GREEN_INSTR_INDCTR")</f>
        <v>#NAME?</v>
      </c>
      <c r="L1088" t="e">
        <f ca="1">BDP("915710CA Muni","GB_MANAGEMENT_PROCEEDS")</f>
        <v>#NAME?</v>
      </c>
      <c r="M1088" t="e">
        <f ca="1">BDP("915710CA Muni","GB_REPORTING")</f>
        <v>#NAME?</v>
      </c>
      <c r="N1088" t="e">
        <f ca="1">BDP("915710CA Muni","GB_ASSURANCE_PROVIDERS")</f>
        <v>#NAME?</v>
      </c>
      <c r="O1088" t="e">
        <f ca="1">BDP("915710CA Muni","GB_PROJECT_SELECTION_PROCESS")</f>
        <v>#NAME?</v>
      </c>
      <c r="P1088" t="e">
        <f ca="1">BDP("915710CA Muni","ESG_FRAMEWORK_INDICATOR")</f>
        <v>#NAME?</v>
      </c>
      <c r="Q1088" t="e">
        <f ca="1">BDP("915710CA Muni","BLOOMBERG_SECTOR_CODE")</f>
        <v>#NAME?</v>
      </c>
      <c r="R1088" t="e">
        <f ca="1">BDP("915710CA Muni","ISSUER_TYPE")</f>
        <v>#NAME?</v>
      </c>
      <c r="S1088" t="e">
        <f ca="1">BDS("915710CA Muni","ESG_PROJECT_CATEGORY", "aggregate=y")</f>
        <v>#NAME?</v>
      </c>
      <c r="T1088" t="e">
        <f ca="1">BDS("915710CA Muni","ESG_PROJECT_SUBCATEGORY", "aggregate=y")</f>
        <v>#NAME?</v>
      </c>
    </row>
    <row r="1089" spans="1:20" x14ac:dyDescent="0.25">
      <c r="A1089" t="e">
        <f ca="1">BDP("915710CB Muni","ID_CUSIP")</f>
        <v>#NAME?</v>
      </c>
      <c r="B1089" t="e">
        <f ca="1">BDP("915710CB Muni","STATE_CODE")</f>
        <v>#NAME?</v>
      </c>
      <c r="C1089" t="s">
        <v>73</v>
      </c>
      <c r="D1089" t="e">
        <f ca="1">BDP("915710CB Muni","YIELD_ON_ISSUE_DATE")</f>
        <v>#NAME?</v>
      </c>
      <c r="E1089">
        <v>85000</v>
      </c>
      <c r="F1089" t="e">
        <f ca="1">BDP("915710CB Muni","ISSUE_DT")</f>
        <v>#NAME?</v>
      </c>
      <c r="G1089" t="e">
        <f ca="1">BDP("915710CB Muni","MATURITY")</f>
        <v>#NAME?</v>
      </c>
      <c r="H1089" t="e">
        <f ca="1">BDP("915710CB Muni","MUNI_TAX_PROV")</f>
        <v>#NAME?</v>
      </c>
      <c r="I1089" t="e">
        <f ca="1">BDP("915710CB Muni","FINANCING_TYPE")</f>
        <v>#NAME?</v>
      </c>
      <c r="J1089" t="e">
        <f ca="1">BDP("915710CB Muni","BICS_LEVEL_2_INDUSTRY_GROUP_NAME")</f>
        <v>#NAME?</v>
      </c>
      <c r="K1089" t="e">
        <f ca="1">BDP("915710CB Muni","SELF_REPRTD_GREEN_INSTR_INDCTR")</f>
        <v>#NAME?</v>
      </c>
      <c r="L1089" t="e">
        <f ca="1">BDP("915710CB Muni","GB_MANAGEMENT_PROCEEDS")</f>
        <v>#NAME?</v>
      </c>
      <c r="M1089" t="e">
        <f ca="1">BDP("915710CB Muni","GB_REPORTING")</f>
        <v>#NAME?</v>
      </c>
      <c r="N1089" t="e">
        <f ca="1">BDP("915710CB Muni","GB_ASSURANCE_PROVIDERS")</f>
        <v>#NAME?</v>
      </c>
      <c r="O1089" t="e">
        <f ca="1">BDP("915710CB Muni","GB_PROJECT_SELECTION_PROCESS")</f>
        <v>#NAME?</v>
      </c>
      <c r="P1089" t="e">
        <f ca="1">BDP("915710CB Muni","ESG_FRAMEWORK_INDICATOR")</f>
        <v>#NAME?</v>
      </c>
      <c r="Q1089" t="e">
        <f ca="1">BDP("915710CB Muni","BLOOMBERG_SECTOR_CODE")</f>
        <v>#NAME?</v>
      </c>
      <c r="R1089" t="e">
        <f ca="1">BDP("915710CB Muni","ISSUER_TYPE")</f>
        <v>#NAME?</v>
      </c>
      <c r="S1089" t="e">
        <f ca="1">BDS("915710CB Muni","ESG_PROJECT_CATEGORY", "aggregate=y")</f>
        <v>#NAME?</v>
      </c>
      <c r="T1089" t="e">
        <f ca="1">BDS("915710CB Muni","ESG_PROJECT_SUBCATEGORY", "aggregate=y")</f>
        <v>#NAME?</v>
      </c>
    </row>
    <row r="1090" spans="1:20" x14ac:dyDescent="0.25">
      <c r="A1090" t="e">
        <f ca="1">BDP("915710CC Muni","ID_CUSIP")</f>
        <v>#NAME?</v>
      </c>
      <c r="B1090" t="e">
        <f ca="1">BDP("915710CC Muni","STATE_CODE")</f>
        <v>#NAME?</v>
      </c>
      <c r="C1090" t="s">
        <v>73</v>
      </c>
      <c r="D1090" t="e">
        <f ca="1">BDP("915710CC Muni","YIELD_ON_ISSUE_DATE")</f>
        <v>#NAME?</v>
      </c>
      <c r="E1090">
        <v>95000</v>
      </c>
      <c r="F1090" t="e">
        <f ca="1">BDP("915710CC Muni","ISSUE_DT")</f>
        <v>#NAME?</v>
      </c>
      <c r="G1090" t="e">
        <f ca="1">BDP("915710CC Muni","MATURITY")</f>
        <v>#NAME?</v>
      </c>
      <c r="H1090" t="e">
        <f ca="1">BDP("915710CC Muni","MUNI_TAX_PROV")</f>
        <v>#NAME?</v>
      </c>
      <c r="I1090" t="e">
        <f ca="1">BDP("915710CC Muni","FINANCING_TYPE")</f>
        <v>#NAME?</v>
      </c>
      <c r="J1090" t="e">
        <f ca="1">BDP("915710CC Muni","BICS_LEVEL_2_INDUSTRY_GROUP_NAME")</f>
        <v>#NAME?</v>
      </c>
      <c r="K1090" t="e">
        <f ca="1">BDP("915710CC Muni","SELF_REPRTD_GREEN_INSTR_INDCTR")</f>
        <v>#NAME?</v>
      </c>
      <c r="L1090" t="e">
        <f ca="1">BDP("915710CC Muni","GB_MANAGEMENT_PROCEEDS")</f>
        <v>#NAME?</v>
      </c>
      <c r="M1090" t="e">
        <f ca="1">BDP("915710CC Muni","GB_REPORTING")</f>
        <v>#NAME?</v>
      </c>
      <c r="N1090" t="e">
        <f ca="1">BDP("915710CC Muni","GB_ASSURANCE_PROVIDERS")</f>
        <v>#NAME?</v>
      </c>
      <c r="O1090" t="e">
        <f ca="1">BDP("915710CC Muni","GB_PROJECT_SELECTION_PROCESS")</f>
        <v>#NAME?</v>
      </c>
      <c r="P1090" t="e">
        <f ca="1">BDP("915710CC Muni","ESG_FRAMEWORK_INDICATOR")</f>
        <v>#NAME?</v>
      </c>
      <c r="Q1090" t="e">
        <f ca="1">BDP("915710CC Muni","BLOOMBERG_SECTOR_CODE")</f>
        <v>#NAME?</v>
      </c>
      <c r="R1090" t="e">
        <f ca="1">BDP("915710CC Muni","ISSUER_TYPE")</f>
        <v>#NAME?</v>
      </c>
      <c r="S1090" t="e">
        <f ca="1">BDS("915710CC Muni","ESG_PROJECT_CATEGORY", "aggregate=y")</f>
        <v>#NAME?</v>
      </c>
      <c r="T1090" t="e">
        <f ca="1">BDS("915710CC Muni","ESG_PROJECT_SUBCATEGORY", "aggregate=y")</f>
        <v>#NAME?</v>
      </c>
    </row>
    <row r="1091" spans="1:20" x14ac:dyDescent="0.25">
      <c r="A1091" t="e">
        <f ca="1">BDP("915710CD Muni","ID_CUSIP")</f>
        <v>#NAME?</v>
      </c>
      <c r="B1091" t="e">
        <f ca="1">BDP("915710CD Muni","STATE_CODE")</f>
        <v>#NAME?</v>
      </c>
      <c r="C1091" t="s">
        <v>73</v>
      </c>
      <c r="D1091" t="e">
        <f ca="1">BDP("915710CD Muni","YIELD_ON_ISSUE_DATE")</f>
        <v>#NAME?</v>
      </c>
      <c r="E1091">
        <v>100000</v>
      </c>
      <c r="F1091" t="e">
        <f ca="1">BDP("915710CD Muni","ISSUE_DT")</f>
        <v>#NAME?</v>
      </c>
      <c r="G1091" t="e">
        <f ca="1">BDP("915710CD Muni","MATURITY")</f>
        <v>#NAME?</v>
      </c>
      <c r="H1091" t="e">
        <f ca="1">BDP("915710CD Muni","MUNI_TAX_PROV")</f>
        <v>#NAME?</v>
      </c>
      <c r="I1091" t="e">
        <f ca="1">BDP("915710CD Muni","FINANCING_TYPE")</f>
        <v>#NAME?</v>
      </c>
      <c r="J1091" t="e">
        <f ca="1">BDP("915710CD Muni","BICS_LEVEL_2_INDUSTRY_GROUP_NAME")</f>
        <v>#NAME?</v>
      </c>
      <c r="K1091" t="e">
        <f ca="1">BDP("915710CD Muni","SELF_REPRTD_GREEN_INSTR_INDCTR")</f>
        <v>#NAME?</v>
      </c>
      <c r="L1091" t="e">
        <f ca="1">BDP("915710CD Muni","GB_MANAGEMENT_PROCEEDS")</f>
        <v>#NAME?</v>
      </c>
      <c r="M1091" t="e">
        <f ca="1">BDP("915710CD Muni","GB_REPORTING")</f>
        <v>#NAME?</v>
      </c>
      <c r="N1091" t="e">
        <f ca="1">BDP("915710CD Muni","GB_ASSURANCE_PROVIDERS")</f>
        <v>#NAME?</v>
      </c>
      <c r="O1091" t="e">
        <f ca="1">BDP("915710CD Muni","GB_PROJECT_SELECTION_PROCESS")</f>
        <v>#NAME?</v>
      </c>
      <c r="P1091" t="e">
        <f ca="1">BDP("915710CD Muni","ESG_FRAMEWORK_INDICATOR")</f>
        <v>#NAME?</v>
      </c>
      <c r="Q1091" t="e">
        <f ca="1">BDP("915710CD Muni","BLOOMBERG_SECTOR_CODE")</f>
        <v>#NAME?</v>
      </c>
      <c r="R1091" t="e">
        <f ca="1">BDP("915710CD Muni","ISSUER_TYPE")</f>
        <v>#NAME?</v>
      </c>
      <c r="S1091" t="e">
        <f ca="1">BDS("915710CD Muni","ESG_PROJECT_CATEGORY", "aggregate=y")</f>
        <v>#NAME?</v>
      </c>
      <c r="T1091" t="e">
        <f ca="1">BDS("915710CD Muni","ESG_PROJECT_SUBCATEGORY", "aggregate=y")</f>
        <v>#NAME?</v>
      </c>
    </row>
    <row r="1092" spans="1:20" x14ac:dyDescent="0.25">
      <c r="A1092" t="e">
        <f ca="1">BDP("915710CE Muni","ID_CUSIP")</f>
        <v>#NAME?</v>
      </c>
      <c r="B1092" t="e">
        <f ca="1">BDP("915710CE Muni","STATE_CODE")</f>
        <v>#NAME?</v>
      </c>
      <c r="C1092" t="s">
        <v>73</v>
      </c>
      <c r="D1092" t="e">
        <f ca="1">BDP("915710CE Muni","YIELD_ON_ISSUE_DATE")</f>
        <v>#NAME?</v>
      </c>
      <c r="E1092">
        <v>110000</v>
      </c>
      <c r="F1092" t="e">
        <f ca="1">BDP("915710CE Muni","ISSUE_DT")</f>
        <v>#NAME?</v>
      </c>
      <c r="G1092" t="e">
        <f ca="1">BDP("915710CE Muni","MATURITY")</f>
        <v>#NAME?</v>
      </c>
      <c r="H1092" t="e">
        <f ca="1">BDP("915710CE Muni","MUNI_TAX_PROV")</f>
        <v>#NAME?</v>
      </c>
      <c r="I1092" t="e">
        <f ca="1">BDP("915710CE Muni","FINANCING_TYPE")</f>
        <v>#NAME?</v>
      </c>
      <c r="J1092" t="e">
        <f ca="1">BDP("915710CE Muni","BICS_LEVEL_2_INDUSTRY_GROUP_NAME")</f>
        <v>#NAME?</v>
      </c>
      <c r="K1092" t="e">
        <f ca="1">BDP("915710CE Muni","SELF_REPRTD_GREEN_INSTR_INDCTR")</f>
        <v>#NAME?</v>
      </c>
      <c r="L1092" t="e">
        <f ca="1">BDP("915710CE Muni","GB_MANAGEMENT_PROCEEDS")</f>
        <v>#NAME?</v>
      </c>
      <c r="M1092" t="e">
        <f ca="1">BDP("915710CE Muni","GB_REPORTING")</f>
        <v>#NAME?</v>
      </c>
      <c r="N1092" t="e">
        <f ca="1">BDP("915710CE Muni","GB_ASSURANCE_PROVIDERS")</f>
        <v>#NAME?</v>
      </c>
      <c r="O1092" t="e">
        <f ca="1">BDP("915710CE Muni","GB_PROJECT_SELECTION_PROCESS")</f>
        <v>#NAME?</v>
      </c>
      <c r="P1092" t="e">
        <f ca="1">BDP("915710CE Muni","ESG_FRAMEWORK_INDICATOR")</f>
        <v>#NAME?</v>
      </c>
      <c r="Q1092" t="e">
        <f ca="1">BDP("915710CE Muni","BLOOMBERG_SECTOR_CODE")</f>
        <v>#NAME?</v>
      </c>
      <c r="R1092" t="e">
        <f ca="1">BDP("915710CE Muni","ISSUER_TYPE")</f>
        <v>#NAME?</v>
      </c>
      <c r="S1092" t="e">
        <f ca="1">BDS("915710CE Muni","ESG_PROJECT_CATEGORY", "aggregate=y")</f>
        <v>#NAME?</v>
      </c>
      <c r="T1092" t="e">
        <f ca="1">BDS("915710CE Muni","ESG_PROJECT_SUBCATEGORY", "aggregate=y")</f>
        <v>#NAME?</v>
      </c>
    </row>
    <row r="1093" spans="1:20" x14ac:dyDescent="0.25">
      <c r="A1093" t="e">
        <f ca="1">BDP("915710CF Muni","ID_CUSIP")</f>
        <v>#NAME?</v>
      </c>
      <c r="B1093" t="e">
        <f ca="1">BDP("915710CF Muni","STATE_CODE")</f>
        <v>#NAME?</v>
      </c>
      <c r="C1093" t="s">
        <v>73</v>
      </c>
      <c r="D1093" t="e">
        <f ca="1">BDP("915710CF Muni","YIELD_ON_ISSUE_DATE")</f>
        <v>#NAME?</v>
      </c>
      <c r="E1093">
        <v>120000</v>
      </c>
      <c r="F1093" t="e">
        <f ca="1">BDP("915710CF Muni","ISSUE_DT")</f>
        <v>#NAME?</v>
      </c>
      <c r="G1093" t="e">
        <f ca="1">BDP("915710CF Muni","MATURITY")</f>
        <v>#NAME?</v>
      </c>
      <c r="H1093" t="e">
        <f ca="1">BDP("915710CF Muni","MUNI_TAX_PROV")</f>
        <v>#NAME?</v>
      </c>
      <c r="I1093" t="e">
        <f ca="1">BDP("915710CF Muni","FINANCING_TYPE")</f>
        <v>#NAME?</v>
      </c>
      <c r="J1093" t="e">
        <f ca="1">BDP("915710CF Muni","BICS_LEVEL_2_INDUSTRY_GROUP_NAME")</f>
        <v>#NAME?</v>
      </c>
      <c r="K1093" t="e">
        <f ca="1">BDP("915710CF Muni","SELF_REPRTD_GREEN_INSTR_INDCTR")</f>
        <v>#NAME?</v>
      </c>
      <c r="L1093" t="e">
        <f ca="1">BDP("915710CF Muni","GB_MANAGEMENT_PROCEEDS")</f>
        <v>#NAME?</v>
      </c>
      <c r="M1093" t="e">
        <f ca="1">BDP("915710CF Muni","GB_REPORTING")</f>
        <v>#NAME?</v>
      </c>
      <c r="N1093" t="e">
        <f ca="1">BDP("915710CF Muni","GB_ASSURANCE_PROVIDERS")</f>
        <v>#NAME?</v>
      </c>
      <c r="O1093" t="e">
        <f ca="1">BDP("915710CF Muni","GB_PROJECT_SELECTION_PROCESS")</f>
        <v>#NAME?</v>
      </c>
      <c r="P1093" t="e">
        <f ca="1">BDP("915710CF Muni","ESG_FRAMEWORK_INDICATOR")</f>
        <v>#NAME?</v>
      </c>
      <c r="Q1093" t="e">
        <f ca="1">BDP("915710CF Muni","BLOOMBERG_SECTOR_CODE")</f>
        <v>#NAME?</v>
      </c>
      <c r="R1093" t="e">
        <f ca="1">BDP("915710CF Muni","ISSUER_TYPE")</f>
        <v>#NAME?</v>
      </c>
      <c r="S1093" t="e">
        <f ca="1">BDS("915710CF Muni","ESG_PROJECT_CATEGORY", "aggregate=y")</f>
        <v>#NAME?</v>
      </c>
      <c r="T1093" t="e">
        <f ca="1">BDS("915710CF Muni","ESG_PROJECT_SUBCATEGORY", "aggregate=y")</f>
        <v>#NAME?</v>
      </c>
    </row>
    <row r="1094" spans="1:20" x14ac:dyDescent="0.25">
      <c r="A1094" t="e">
        <f ca="1">BDP("915710CK Muni","ID_CUSIP")</f>
        <v>#NAME?</v>
      </c>
      <c r="B1094" t="e">
        <f ca="1">BDP("915710CK Muni","STATE_CODE")</f>
        <v>#NAME?</v>
      </c>
      <c r="C1094" t="s">
        <v>73</v>
      </c>
      <c r="D1094" t="e">
        <f ca="1">BDP("915710CK Muni","YIELD_ON_ISSUE_DATE")</f>
        <v>#NAME?</v>
      </c>
      <c r="E1094">
        <v>155000</v>
      </c>
      <c r="F1094" t="e">
        <f ca="1">BDP("915710CK Muni","ISSUE_DT")</f>
        <v>#NAME?</v>
      </c>
      <c r="G1094" t="e">
        <f ca="1">BDP("915710CK Muni","MATURITY")</f>
        <v>#NAME?</v>
      </c>
      <c r="H1094" t="e">
        <f ca="1">BDP("915710CK Muni","MUNI_TAX_PROV")</f>
        <v>#NAME?</v>
      </c>
      <c r="I1094" t="e">
        <f ca="1">BDP("915710CK Muni","FINANCING_TYPE")</f>
        <v>#NAME?</v>
      </c>
      <c r="J1094" t="e">
        <f ca="1">BDP("915710CK Muni","BICS_LEVEL_2_INDUSTRY_GROUP_NAME")</f>
        <v>#NAME?</v>
      </c>
      <c r="K1094" t="e">
        <f ca="1">BDP("915710CK Muni","SELF_REPRTD_GREEN_INSTR_INDCTR")</f>
        <v>#NAME?</v>
      </c>
      <c r="L1094" t="e">
        <f ca="1">BDP("915710CK Muni","GB_MANAGEMENT_PROCEEDS")</f>
        <v>#NAME?</v>
      </c>
      <c r="M1094" t="e">
        <f ca="1">BDP("915710CK Muni","GB_REPORTING")</f>
        <v>#NAME?</v>
      </c>
      <c r="N1094" t="e">
        <f ca="1">BDP("915710CK Muni","GB_ASSURANCE_PROVIDERS")</f>
        <v>#NAME?</v>
      </c>
      <c r="O1094" t="e">
        <f ca="1">BDP("915710CK Muni","GB_PROJECT_SELECTION_PROCESS")</f>
        <v>#NAME?</v>
      </c>
      <c r="P1094" t="e">
        <f ca="1">BDP("915710CK Muni","ESG_FRAMEWORK_INDICATOR")</f>
        <v>#NAME?</v>
      </c>
      <c r="Q1094" t="e">
        <f ca="1">BDP("915710CK Muni","BLOOMBERG_SECTOR_CODE")</f>
        <v>#NAME?</v>
      </c>
      <c r="R1094" t="e">
        <f ca="1">BDP("915710CK Muni","ISSUER_TYPE")</f>
        <v>#NAME?</v>
      </c>
      <c r="S1094" t="e">
        <f ca="1">BDS("915710CK Muni","ESG_PROJECT_CATEGORY", "aggregate=y")</f>
        <v>#NAME?</v>
      </c>
      <c r="T1094" t="e">
        <f ca="1">BDS("915710CK Muni","ESG_PROJECT_SUBCATEGORY", "aggregate=y")</f>
        <v>#NAME?</v>
      </c>
    </row>
    <row r="1095" spans="1:20" x14ac:dyDescent="0.25">
      <c r="A1095" t="e">
        <f ca="1">BDP("915710CL Muni","ID_CUSIP")</f>
        <v>#NAME?</v>
      </c>
      <c r="B1095" t="e">
        <f ca="1">BDP("915710CL Muni","STATE_CODE")</f>
        <v>#NAME?</v>
      </c>
      <c r="C1095" t="s">
        <v>73</v>
      </c>
      <c r="D1095" t="e">
        <f ca="1">BDP("915710CL Muni","YIELD_ON_ISSUE_DATE")</f>
        <v>#NAME?</v>
      </c>
      <c r="E1095">
        <v>165000</v>
      </c>
      <c r="F1095" t="e">
        <f ca="1">BDP("915710CL Muni","ISSUE_DT")</f>
        <v>#NAME?</v>
      </c>
      <c r="G1095" t="e">
        <f ca="1">BDP("915710CL Muni","MATURITY")</f>
        <v>#NAME?</v>
      </c>
      <c r="H1095" t="e">
        <f ca="1">BDP("915710CL Muni","MUNI_TAX_PROV")</f>
        <v>#NAME?</v>
      </c>
      <c r="I1095" t="e">
        <f ca="1">BDP("915710CL Muni","FINANCING_TYPE")</f>
        <v>#NAME?</v>
      </c>
      <c r="J1095" t="e">
        <f ca="1">BDP("915710CL Muni","BICS_LEVEL_2_INDUSTRY_GROUP_NAME")</f>
        <v>#NAME?</v>
      </c>
      <c r="K1095" t="e">
        <f ca="1">BDP("915710CL Muni","SELF_REPRTD_GREEN_INSTR_INDCTR")</f>
        <v>#NAME?</v>
      </c>
      <c r="L1095" t="e">
        <f ca="1">BDP("915710CL Muni","GB_MANAGEMENT_PROCEEDS")</f>
        <v>#NAME?</v>
      </c>
      <c r="M1095" t="e">
        <f ca="1">BDP("915710CL Muni","GB_REPORTING")</f>
        <v>#NAME?</v>
      </c>
      <c r="N1095" t="e">
        <f ca="1">BDP("915710CL Muni","GB_ASSURANCE_PROVIDERS")</f>
        <v>#NAME?</v>
      </c>
      <c r="O1095" t="e">
        <f ca="1">BDP("915710CL Muni","GB_PROJECT_SELECTION_PROCESS")</f>
        <v>#NAME?</v>
      </c>
      <c r="P1095" t="e">
        <f ca="1">BDP("915710CL Muni","ESG_FRAMEWORK_INDICATOR")</f>
        <v>#NAME?</v>
      </c>
      <c r="Q1095" t="e">
        <f ca="1">BDP("915710CL Muni","BLOOMBERG_SECTOR_CODE")</f>
        <v>#NAME?</v>
      </c>
      <c r="R1095" t="e">
        <f ca="1">BDP("915710CL Muni","ISSUER_TYPE")</f>
        <v>#NAME?</v>
      </c>
      <c r="S1095" t="e">
        <f ca="1">BDS("915710CL Muni","ESG_PROJECT_CATEGORY", "aggregate=y")</f>
        <v>#NAME?</v>
      </c>
      <c r="T1095" t="e">
        <f ca="1">BDS("915710CL Muni","ESG_PROJECT_SUBCATEGORY", "aggregate=y")</f>
        <v>#NAME?</v>
      </c>
    </row>
    <row r="1096" spans="1:20" x14ac:dyDescent="0.25">
      <c r="A1096" t="e">
        <f ca="1">BDP("915710CM Muni","ID_CUSIP")</f>
        <v>#NAME?</v>
      </c>
      <c r="B1096" t="e">
        <f ca="1">BDP("915710CM Muni","STATE_CODE")</f>
        <v>#NAME?</v>
      </c>
      <c r="C1096" t="s">
        <v>73</v>
      </c>
      <c r="D1096" t="e">
        <f ca="1">BDP("915710CM Muni","YIELD_ON_ISSUE_DATE")</f>
        <v>#NAME?</v>
      </c>
      <c r="E1096">
        <v>180000</v>
      </c>
      <c r="F1096" t="e">
        <f ca="1">BDP("915710CM Muni","ISSUE_DT")</f>
        <v>#NAME?</v>
      </c>
      <c r="G1096" t="e">
        <f ca="1">BDP("915710CM Muni","MATURITY")</f>
        <v>#NAME?</v>
      </c>
      <c r="H1096" t="e">
        <f ca="1">BDP("915710CM Muni","MUNI_TAX_PROV")</f>
        <v>#NAME?</v>
      </c>
      <c r="I1096" t="e">
        <f ca="1">BDP("915710CM Muni","FINANCING_TYPE")</f>
        <v>#NAME?</v>
      </c>
      <c r="J1096" t="e">
        <f ca="1">BDP("915710CM Muni","BICS_LEVEL_2_INDUSTRY_GROUP_NAME")</f>
        <v>#NAME?</v>
      </c>
      <c r="K1096" t="e">
        <f ca="1">BDP("915710CM Muni","SELF_REPRTD_GREEN_INSTR_INDCTR")</f>
        <v>#NAME?</v>
      </c>
      <c r="L1096" t="e">
        <f ca="1">BDP("915710CM Muni","GB_MANAGEMENT_PROCEEDS")</f>
        <v>#NAME?</v>
      </c>
      <c r="M1096" t="e">
        <f ca="1">BDP("915710CM Muni","GB_REPORTING")</f>
        <v>#NAME?</v>
      </c>
      <c r="N1096" t="e">
        <f ca="1">BDP("915710CM Muni","GB_ASSURANCE_PROVIDERS")</f>
        <v>#NAME?</v>
      </c>
      <c r="O1096" t="e">
        <f ca="1">BDP("915710CM Muni","GB_PROJECT_SELECTION_PROCESS")</f>
        <v>#NAME?</v>
      </c>
      <c r="P1096" t="e">
        <f ca="1">BDP("915710CM Muni","ESG_FRAMEWORK_INDICATOR")</f>
        <v>#NAME?</v>
      </c>
      <c r="Q1096" t="e">
        <f ca="1">BDP("915710CM Muni","BLOOMBERG_SECTOR_CODE")</f>
        <v>#NAME?</v>
      </c>
      <c r="R1096" t="e">
        <f ca="1">BDP("915710CM Muni","ISSUER_TYPE")</f>
        <v>#NAME?</v>
      </c>
      <c r="S1096" t="e">
        <f ca="1">BDS("915710CM Muni","ESG_PROJECT_CATEGORY", "aggregate=y")</f>
        <v>#NAME?</v>
      </c>
      <c r="T1096" t="e">
        <f ca="1">BDS("915710CM Muni","ESG_PROJECT_SUBCATEGORY", "aggregate=y")</f>
        <v>#NAME?</v>
      </c>
    </row>
    <row r="1097" spans="1:20" x14ac:dyDescent="0.25">
      <c r="A1097" t="e">
        <f ca="1">BDP("924736HE Muni","ID_CUSIP")</f>
        <v>#NAME?</v>
      </c>
      <c r="B1097" t="e">
        <f ca="1">BDP("924736HE Muni","STATE_CODE")</f>
        <v>#NAME?</v>
      </c>
      <c r="C1097" t="s">
        <v>74</v>
      </c>
      <c r="D1097" t="e">
        <f ca="1">BDP("924736HE Muni","YIELD_ON_ISSUE_DATE")</f>
        <v>#NAME?</v>
      </c>
      <c r="E1097">
        <v>275000</v>
      </c>
      <c r="F1097" t="e">
        <f ca="1">BDP("924736HE Muni","ISSUE_DT")</f>
        <v>#NAME?</v>
      </c>
      <c r="G1097" t="e">
        <f ca="1">BDP("924736HE Muni","MATURITY")</f>
        <v>#NAME?</v>
      </c>
      <c r="H1097" t="e">
        <f ca="1">BDP("924736HE Muni","MUNI_TAX_PROV")</f>
        <v>#NAME?</v>
      </c>
      <c r="I1097" t="e">
        <f ca="1">BDP("924736HE Muni","FINANCING_TYPE")</f>
        <v>#NAME?</v>
      </c>
      <c r="J1097" t="e">
        <f ca="1">BDP("924736HE Muni","BICS_LEVEL_2_INDUSTRY_GROUP_NAME")</f>
        <v>#NAME?</v>
      </c>
      <c r="K1097" t="e">
        <f ca="1">BDP("924736HE Muni","SELF_REPRTD_GREEN_INSTR_INDCTR")</f>
        <v>#NAME?</v>
      </c>
      <c r="L1097" t="e">
        <f ca="1">BDP("924736HE Muni","GB_MANAGEMENT_PROCEEDS")</f>
        <v>#NAME?</v>
      </c>
      <c r="M1097" t="e">
        <f ca="1">BDP("924736HE Muni","GB_REPORTING")</f>
        <v>#NAME?</v>
      </c>
      <c r="N1097" t="e">
        <f ca="1">BDP("924736HE Muni","GB_ASSURANCE_PROVIDERS")</f>
        <v>#NAME?</v>
      </c>
      <c r="O1097" t="e">
        <f ca="1">BDP("924736HE Muni","GB_PROJECT_SELECTION_PROCESS")</f>
        <v>#NAME?</v>
      </c>
      <c r="P1097" t="e">
        <f ca="1">BDP("924736HE Muni","ESG_FRAMEWORK_INDICATOR")</f>
        <v>#NAME?</v>
      </c>
      <c r="Q1097" t="e">
        <f ca="1">BDP("924736HE Muni","BLOOMBERG_SECTOR_CODE")</f>
        <v>#NAME?</v>
      </c>
      <c r="R1097" t="e">
        <f ca="1">BDP("924736HE Muni","ISSUER_TYPE")</f>
        <v>#NAME?</v>
      </c>
      <c r="S1097" t="e">
        <f ca="1">BDS("924736HE Muni","ESG_PROJECT_CATEGORY", "aggregate=y")</f>
        <v>#NAME?</v>
      </c>
      <c r="T1097" t="e">
        <f ca="1">BDS("924736HE Muni","ESG_PROJECT_SUBCATEGORY", "aggregate=y")</f>
        <v>#NAME?</v>
      </c>
    </row>
    <row r="1098" spans="1:20" x14ac:dyDescent="0.25">
      <c r="A1098" t="e">
        <f ca="1">BDP("924736HF Muni","ID_CUSIP")</f>
        <v>#NAME?</v>
      </c>
      <c r="B1098" t="e">
        <f ca="1">BDP("924736HF Muni","STATE_CODE")</f>
        <v>#NAME?</v>
      </c>
      <c r="C1098" t="s">
        <v>74</v>
      </c>
      <c r="D1098" t="e">
        <f ca="1">BDP("924736HF Muni","YIELD_ON_ISSUE_DATE")</f>
        <v>#NAME?</v>
      </c>
      <c r="E1098">
        <v>185000</v>
      </c>
      <c r="F1098" t="e">
        <f ca="1">BDP("924736HF Muni","ISSUE_DT")</f>
        <v>#NAME?</v>
      </c>
      <c r="G1098" t="e">
        <f ca="1">BDP("924736HF Muni","MATURITY")</f>
        <v>#NAME?</v>
      </c>
      <c r="H1098" t="e">
        <f ca="1">BDP("924736HF Muni","MUNI_TAX_PROV")</f>
        <v>#NAME?</v>
      </c>
      <c r="I1098" t="e">
        <f ca="1">BDP("924736HF Muni","FINANCING_TYPE")</f>
        <v>#NAME?</v>
      </c>
      <c r="J1098" t="e">
        <f ca="1">BDP("924736HF Muni","BICS_LEVEL_2_INDUSTRY_GROUP_NAME")</f>
        <v>#NAME?</v>
      </c>
      <c r="K1098" t="e">
        <f ca="1">BDP("924736HF Muni","SELF_REPRTD_GREEN_INSTR_INDCTR")</f>
        <v>#NAME?</v>
      </c>
      <c r="L1098" t="e">
        <f ca="1">BDP("924736HF Muni","GB_MANAGEMENT_PROCEEDS")</f>
        <v>#NAME?</v>
      </c>
      <c r="M1098" t="e">
        <f ca="1">BDP("924736HF Muni","GB_REPORTING")</f>
        <v>#NAME?</v>
      </c>
      <c r="N1098" t="e">
        <f ca="1">BDP("924736HF Muni","GB_ASSURANCE_PROVIDERS")</f>
        <v>#NAME?</v>
      </c>
      <c r="O1098" t="e">
        <f ca="1">BDP("924736HF Muni","GB_PROJECT_SELECTION_PROCESS")</f>
        <v>#NAME?</v>
      </c>
      <c r="P1098" t="e">
        <f ca="1">BDP("924736HF Muni","ESG_FRAMEWORK_INDICATOR")</f>
        <v>#NAME?</v>
      </c>
      <c r="Q1098" t="e">
        <f ca="1">BDP("924736HF Muni","BLOOMBERG_SECTOR_CODE")</f>
        <v>#NAME?</v>
      </c>
      <c r="R1098" t="e">
        <f ca="1">BDP("924736HF Muni","ISSUER_TYPE")</f>
        <v>#NAME?</v>
      </c>
      <c r="S1098" t="e">
        <f ca="1">BDS("924736HF Muni","ESG_PROJECT_CATEGORY", "aggregate=y")</f>
        <v>#NAME?</v>
      </c>
      <c r="T1098" t="e">
        <f ca="1">BDS("924736HF Muni","ESG_PROJECT_SUBCATEGORY", "aggregate=y")</f>
        <v>#NAME?</v>
      </c>
    </row>
    <row r="1099" spans="1:20" x14ac:dyDescent="0.25">
      <c r="A1099" t="e">
        <f ca="1">BDP("924736HG Muni","ID_CUSIP")</f>
        <v>#NAME?</v>
      </c>
      <c r="B1099" t="e">
        <f ca="1">BDP("924736HG Muni","STATE_CODE")</f>
        <v>#NAME?</v>
      </c>
      <c r="C1099" t="s">
        <v>74</v>
      </c>
      <c r="D1099" t="e">
        <f ca="1">BDP("924736HG Muni","YIELD_ON_ISSUE_DATE")</f>
        <v>#NAME?</v>
      </c>
      <c r="E1099">
        <v>200000</v>
      </c>
      <c r="F1099" t="e">
        <f ca="1">BDP("924736HG Muni","ISSUE_DT")</f>
        <v>#NAME?</v>
      </c>
      <c r="G1099" t="e">
        <f ca="1">BDP("924736HG Muni","MATURITY")</f>
        <v>#NAME?</v>
      </c>
      <c r="H1099" t="e">
        <f ca="1">BDP("924736HG Muni","MUNI_TAX_PROV")</f>
        <v>#NAME?</v>
      </c>
      <c r="I1099" t="e">
        <f ca="1">BDP("924736HG Muni","FINANCING_TYPE")</f>
        <v>#NAME?</v>
      </c>
      <c r="J1099" t="e">
        <f ca="1">BDP("924736HG Muni","BICS_LEVEL_2_INDUSTRY_GROUP_NAME")</f>
        <v>#NAME?</v>
      </c>
      <c r="K1099" t="e">
        <f ca="1">BDP("924736HG Muni","SELF_REPRTD_GREEN_INSTR_INDCTR")</f>
        <v>#NAME?</v>
      </c>
      <c r="L1099" t="e">
        <f ca="1">BDP("924736HG Muni","GB_MANAGEMENT_PROCEEDS")</f>
        <v>#NAME?</v>
      </c>
      <c r="M1099" t="e">
        <f ca="1">BDP("924736HG Muni","GB_REPORTING")</f>
        <v>#NAME?</v>
      </c>
      <c r="N1099" t="e">
        <f ca="1">BDP("924736HG Muni","GB_ASSURANCE_PROVIDERS")</f>
        <v>#NAME?</v>
      </c>
      <c r="O1099" t="e">
        <f ca="1">BDP("924736HG Muni","GB_PROJECT_SELECTION_PROCESS")</f>
        <v>#NAME?</v>
      </c>
      <c r="P1099" t="e">
        <f ca="1">BDP("924736HG Muni","ESG_FRAMEWORK_INDICATOR")</f>
        <v>#NAME?</v>
      </c>
      <c r="Q1099" t="e">
        <f ca="1">BDP("924736HG Muni","BLOOMBERG_SECTOR_CODE")</f>
        <v>#NAME?</v>
      </c>
      <c r="R1099" t="e">
        <f ca="1">BDP("924736HG Muni","ISSUER_TYPE")</f>
        <v>#NAME?</v>
      </c>
      <c r="S1099" t="e">
        <f ca="1">BDS("924736HG Muni","ESG_PROJECT_CATEGORY", "aggregate=y")</f>
        <v>#NAME?</v>
      </c>
      <c r="T1099" t="e">
        <f ca="1">BDS("924736HG Muni","ESG_PROJECT_SUBCATEGORY", "aggregate=y")</f>
        <v>#NAME?</v>
      </c>
    </row>
    <row r="1100" spans="1:20" x14ac:dyDescent="0.25">
      <c r="A1100" t="e">
        <f ca="1">BDP("924736HH Muni","ID_CUSIP")</f>
        <v>#NAME?</v>
      </c>
      <c r="B1100" t="e">
        <f ca="1">BDP("924736HH Muni","STATE_CODE")</f>
        <v>#NAME?</v>
      </c>
      <c r="C1100" t="s">
        <v>74</v>
      </c>
      <c r="D1100" t="e">
        <f ca="1">BDP("924736HH Muni","YIELD_ON_ISSUE_DATE")</f>
        <v>#NAME?</v>
      </c>
      <c r="E1100">
        <v>215000</v>
      </c>
      <c r="F1100" t="e">
        <f ca="1">BDP("924736HH Muni","ISSUE_DT")</f>
        <v>#NAME?</v>
      </c>
      <c r="G1100" t="e">
        <f ca="1">BDP("924736HH Muni","MATURITY")</f>
        <v>#NAME?</v>
      </c>
      <c r="H1100" t="e">
        <f ca="1">BDP("924736HH Muni","MUNI_TAX_PROV")</f>
        <v>#NAME?</v>
      </c>
      <c r="I1100" t="e">
        <f ca="1">BDP("924736HH Muni","FINANCING_TYPE")</f>
        <v>#NAME?</v>
      </c>
      <c r="J1100" t="e">
        <f ca="1">BDP("924736HH Muni","BICS_LEVEL_2_INDUSTRY_GROUP_NAME")</f>
        <v>#NAME?</v>
      </c>
      <c r="K1100" t="e">
        <f ca="1">BDP("924736HH Muni","SELF_REPRTD_GREEN_INSTR_INDCTR")</f>
        <v>#NAME?</v>
      </c>
      <c r="L1100" t="e">
        <f ca="1">BDP("924736HH Muni","GB_MANAGEMENT_PROCEEDS")</f>
        <v>#NAME?</v>
      </c>
      <c r="M1100" t="e">
        <f ca="1">BDP("924736HH Muni","GB_REPORTING")</f>
        <v>#NAME?</v>
      </c>
      <c r="N1100" t="e">
        <f ca="1">BDP("924736HH Muni","GB_ASSURANCE_PROVIDERS")</f>
        <v>#NAME?</v>
      </c>
      <c r="O1100" t="e">
        <f ca="1">BDP("924736HH Muni","GB_PROJECT_SELECTION_PROCESS")</f>
        <v>#NAME?</v>
      </c>
      <c r="P1100" t="e">
        <f ca="1">BDP("924736HH Muni","ESG_FRAMEWORK_INDICATOR")</f>
        <v>#NAME?</v>
      </c>
      <c r="Q1100" t="e">
        <f ca="1">BDP("924736HH Muni","BLOOMBERG_SECTOR_CODE")</f>
        <v>#NAME?</v>
      </c>
      <c r="R1100" t="e">
        <f ca="1">BDP("924736HH Muni","ISSUER_TYPE")</f>
        <v>#NAME?</v>
      </c>
      <c r="S1100" t="e">
        <f ca="1">BDS("924736HH Muni","ESG_PROJECT_CATEGORY", "aggregate=y")</f>
        <v>#NAME?</v>
      </c>
      <c r="T1100" t="e">
        <f ca="1">BDS("924736HH Muni","ESG_PROJECT_SUBCATEGORY", "aggregate=y")</f>
        <v>#NAME?</v>
      </c>
    </row>
    <row r="1101" spans="1:20" x14ac:dyDescent="0.25">
      <c r="A1101" t="e">
        <f ca="1">BDP("924736HJ Muni","ID_CUSIP")</f>
        <v>#NAME?</v>
      </c>
      <c r="B1101" t="e">
        <f ca="1">BDP("924736HJ Muni","STATE_CODE")</f>
        <v>#NAME?</v>
      </c>
      <c r="C1101" t="s">
        <v>74</v>
      </c>
      <c r="D1101" t="e">
        <f ca="1">BDP("924736HJ Muni","YIELD_ON_ISSUE_DATE")</f>
        <v>#NAME?</v>
      </c>
      <c r="E1101">
        <v>175000</v>
      </c>
      <c r="F1101" t="e">
        <f ca="1">BDP("924736HJ Muni","ISSUE_DT")</f>
        <v>#NAME?</v>
      </c>
      <c r="G1101" t="e">
        <f ca="1">BDP("924736HJ Muni","MATURITY")</f>
        <v>#NAME?</v>
      </c>
      <c r="H1101" t="e">
        <f ca="1">BDP("924736HJ Muni","MUNI_TAX_PROV")</f>
        <v>#NAME?</v>
      </c>
      <c r="I1101" t="e">
        <f ca="1">BDP("924736HJ Muni","FINANCING_TYPE")</f>
        <v>#NAME?</v>
      </c>
      <c r="J1101" t="e">
        <f ca="1">BDP("924736HJ Muni","BICS_LEVEL_2_INDUSTRY_GROUP_NAME")</f>
        <v>#NAME?</v>
      </c>
      <c r="K1101" t="e">
        <f ca="1">BDP("924736HJ Muni","SELF_REPRTD_GREEN_INSTR_INDCTR")</f>
        <v>#NAME?</v>
      </c>
      <c r="L1101" t="e">
        <f ca="1">BDP("924736HJ Muni","GB_MANAGEMENT_PROCEEDS")</f>
        <v>#NAME?</v>
      </c>
      <c r="M1101" t="e">
        <f ca="1">BDP("924736HJ Muni","GB_REPORTING")</f>
        <v>#NAME?</v>
      </c>
      <c r="N1101" t="e">
        <f ca="1">BDP("924736HJ Muni","GB_ASSURANCE_PROVIDERS")</f>
        <v>#NAME?</v>
      </c>
      <c r="O1101" t="e">
        <f ca="1">BDP("924736HJ Muni","GB_PROJECT_SELECTION_PROCESS")</f>
        <v>#NAME?</v>
      </c>
      <c r="P1101" t="e">
        <f ca="1">BDP("924736HJ Muni","ESG_FRAMEWORK_INDICATOR")</f>
        <v>#NAME?</v>
      </c>
      <c r="Q1101" t="e">
        <f ca="1">BDP("924736HJ Muni","BLOOMBERG_SECTOR_CODE")</f>
        <v>#NAME?</v>
      </c>
      <c r="R1101" t="e">
        <f ca="1">BDP("924736HJ Muni","ISSUER_TYPE")</f>
        <v>#NAME?</v>
      </c>
      <c r="S1101" t="e">
        <f ca="1">BDS("924736HJ Muni","ESG_PROJECT_CATEGORY", "aggregate=y")</f>
        <v>#NAME?</v>
      </c>
      <c r="T1101" t="e">
        <f ca="1">BDS("924736HJ Muni","ESG_PROJECT_SUBCATEGORY", "aggregate=y")</f>
        <v>#NAME?</v>
      </c>
    </row>
    <row r="1102" spans="1:20" x14ac:dyDescent="0.25">
      <c r="A1102" t="e">
        <f ca="1">BDP("924736HP Muni","ID_CUSIP")</f>
        <v>#NAME?</v>
      </c>
      <c r="B1102" t="e">
        <f ca="1">BDP("924736HP Muni","STATE_CODE")</f>
        <v>#NAME?</v>
      </c>
      <c r="C1102" t="s">
        <v>74</v>
      </c>
      <c r="D1102" t="e">
        <f ca="1">BDP("924736HP Muni","YIELD_ON_ISSUE_DATE")</f>
        <v>#NAME?</v>
      </c>
      <c r="E1102">
        <v>260000</v>
      </c>
      <c r="F1102" t="e">
        <f ca="1">BDP("924736HP Muni","ISSUE_DT")</f>
        <v>#NAME?</v>
      </c>
      <c r="G1102" t="e">
        <f ca="1">BDP("924736HP Muni","MATURITY")</f>
        <v>#NAME?</v>
      </c>
      <c r="H1102" t="e">
        <f ca="1">BDP("924736HP Muni","MUNI_TAX_PROV")</f>
        <v>#NAME?</v>
      </c>
      <c r="I1102" t="e">
        <f ca="1">BDP("924736HP Muni","FINANCING_TYPE")</f>
        <v>#NAME?</v>
      </c>
      <c r="J1102" t="e">
        <f ca="1">BDP("924736HP Muni","BICS_LEVEL_2_INDUSTRY_GROUP_NAME")</f>
        <v>#NAME?</v>
      </c>
      <c r="K1102" t="e">
        <f ca="1">BDP("924736HP Muni","SELF_REPRTD_GREEN_INSTR_INDCTR")</f>
        <v>#NAME?</v>
      </c>
      <c r="L1102" t="e">
        <f ca="1">BDP("924736HP Muni","GB_MANAGEMENT_PROCEEDS")</f>
        <v>#NAME?</v>
      </c>
      <c r="M1102" t="e">
        <f ca="1">BDP("924736HP Muni","GB_REPORTING")</f>
        <v>#NAME?</v>
      </c>
      <c r="N1102" t="e">
        <f ca="1">BDP("924736HP Muni","GB_ASSURANCE_PROVIDERS")</f>
        <v>#NAME?</v>
      </c>
      <c r="O1102" t="e">
        <f ca="1">BDP("924736HP Muni","GB_PROJECT_SELECTION_PROCESS")</f>
        <v>#NAME?</v>
      </c>
      <c r="P1102" t="e">
        <f ca="1">BDP("924736HP Muni","ESG_FRAMEWORK_INDICATOR")</f>
        <v>#NAME?</v>
      </c>
      <c r="Q1102" t="e">
        <f ca="1">BDP("924736HP Muni","BLOOMBERG_SECTOR_CODE")</f>
        <v>#NAME?</v>
      </c>
      <c r="R1102" t="e">
        <f ca="1">BDP("924736HP Muni","ISSUER_TYPE")</f>
        <v>#NAME?</v>
      </c>
      <c r="S1102" t="e">
        <f ca="1">BDS("924736HP Muni","ESG_PROJECT_CATEGORY", "aggregate=y")</f>
        <v>#NAME?</v>
      </c>
      <c r="T1102" t="e">
        <f ca="1">BDS("924736HP Muni","ESG_PROJECT_SUBCATEGORY", "aggregate=y")</f>
        <v>#NAME?</v>
      </c>
    </row>
    <row r="1103" spans="1:20" x14ac:dyDescent="0.25">
      <c r="A1103" t="e">
        <f ca="1">BDP("924736HX Muni","ID_CUSIP")</f>
        <v>#NAME?</v>
      </c>
      <c r="B1103" t="e">
        <f ca="1">BDP("924736HX Muni","STATE_CODE")</f>
        <v>#NAME?</v>
      </c>
      <c r="C1103" t="s">
        <v>74</v>
      </c>
      <c r="D1103" t="e">
        <f ca="1">BDP("924736HX Muni","YIELD_ON_ISSUE_DATE")</f>
        <v>#NAME?</v>
      </c>
      <c r="E1103">
        <v>355000</v>
      </c>
      <c r="F1103" t="e">
        <f ca="1">BDP("924736HX Muni","ISSUE_DT")</f>
        <v>#NAME?</v>
      </c>
      <c r="G1103" t="e">
        <f ca="1">BDP("924736HX Muni","MATURITY")</f>
        <v>#NAME?</v>
      </c>
      <c r="H1103" t="e">
        <f ca="1">BDP("924736HX Muni","MUNI_TAX_PROV")</f>
        <v>#NAME?</v>
      </c>
      <c r="I1103" t="e">
        <f ca="1">BDP("924736HX Muni","FINANCING_TYPE")</f>
        <v>#NAME?</v>
      </c>
      <c r="J1103" t="e">
        <f ca="1">BDP("924736HX Muni","BICS_LEVEL_2_INDUSTRY_GROUP_NAME")</f>
        <v>#NAME?</v>
      </c>
      <c r="K1103" t="e">
        <f ca="1">BDP("924736HX Muni","SELF_REPRTD_GREEN_INSTR_INDCTR")</f>
        <v>#NAME?</v>
      </c>
      <c r="L1103" t="e">
        <f ca="1">BDP("924736HX Muni","GB_MANAGEMENT_PROCEEDS")</f>
        <v>#NAME?</v>
      </c>
      <c r="M1103" t="e">
        <f ca="1">BDP("924736HX Muni","GB_REPORTING")</f>
        <v>#NAME?</v>
      </c>
      <c r="N1103" t="e">
        <f ca="1">BDP("924736HX Muni","GB_ASSURANCE_PROVIDERS")</f>
        <v>#NAME?</v>
      </c>
      <c r="O1103" t="e">
        <f ca="1">BDP("924736HX Muni","GB_PROJECT_SELECTION_PROCESS")</f>
        <v>#NAME?</v>
      </c>
      <c r="P1103" t="e">
        <f ca="1">BDP("924736HX Muni","ESG_FRAMEWORK_INDICATOR")</f>
        <v>#NAME?</v>
      </c>
      <c r="Q1103" t="e">
        <f ca="1">BDP("924736HX Muni","BLOOMBERG_SECTOR_CODE")</f>
        <v>#NAME?</v>
      </c>
      <c r="R1103" t="e">
        <f ca="1">BDP("924736HX Muni","ISSUER_TYPE")</f>
        <v>#NAME?</v>
      </c>
      <c r="S1103" t="e">
        <f ca="1">BDS("924736HX Muni","ESG_PROJECT_CATEGORY", "aggregate=y")</f>
        <v>#NAME?</v>
      </c>
      <c r="T1103" t="e">
        <f ca="1">BDS("924736HX Muni","ESG_PROJECT_SUBCATEGORY", "aggregate=y")</f>
        <v>#NAME?</v>
      </c>
    </row>
    <row r="1104" spans="1:20" x14ac:dyDescent="0.25">
      <c r="A1104" t="e">
        <f ca="1">BDP("924736HY Muni","ID_CUSIP")</f>
        <v>#NAME?</v>
      </c>
      <c r="B1104" t="e">
        <f ca="1">BDP("924736HY Muni","STATE_CODE")</f>
        <v>#NAME?</v>
      </c>
      <c r="C1104" t="s">
        <v>74</v>
      </c>
      <c r="D1104" t="e">
        <f ca="1">BDP("924736HY Muni","YIELD_ON_ISSUE_DATE")</f>
        <v>#NAME?</v>
      </c>
      <c r="E1104">
        <v>380000</v>
      </c>
      <c r="F1104" t="e">
        <f ca="1">BDP("924736HY Muni","ISSUE_DT")</f>
        <v>#NAME?</v>
      </c>
      <c r="G1104" t="e">
        <f ca="1">BDP("924736HY Muni","MATURITY")</f>
        <v>#NAME?</v>
      </c>
      <c r="H1104" t="e">
        <f ca="1">BDP("924736HY Muni","MUNI_TAX_PROV")</f>
        <v>#NAME?</v>
      </c>
      <c r="I1104" t="e">
        <f ca="1">BDP("924736HY Muni","FINANCING_TYPE")</f>
        <v>#NAME?</v>
      </c>
      <c r="J1104" t="e">
        <f ca="1">BDP("924736HY Muni","BICS_LEVEL_2_INDUSTRY_GROUP_NAME")</f>
        <v>#NAME?</v>
      </c>
      <c r="K1104" t="e">
        <f ca="1">BDP("924736HY Muni","SELF_REPRTD_GREEN_INSTR_INDCTR")</f>
        <v>#NAME?</v>
      </c>
      <c r="L1104" t="e">
        <f ca="1">BDP("924736HY Muni","GB_MANAGEMENT_PROCEEDS")</f>
        <v>#NAME?</v>
      </c>
      <c r="M1104" t="e">
        <f ca="1">BDP("924736HY Muni","GB_REPORTING")</f>
        <v>#NAME?</v>
      </c>
      <c r="N1104" t="e">
        <f ca="1">BDP("924736HY Muni","GB_ASSURANCE_PROVIDERS")</f>
        <v>#NAME?</v>
      </c>
      <c r="O1104" t="e">
        <f ca="1">BDP("924736HY Muni","GB_PROJECT_SELECTION_PROCESS")</f>
        <v>#NAME?</v>
      </c>
      <c r="P1104" t="e">
        <f ca="1">BDP("924736HY Muni","ESG_FRAMEWORK_INDICATOR")</f>
        <v>#NAME?</v>
      </c>
      <c r="Q1104" t="e">
        <f ca="1">BDP("924736HY Muni","BLOOMBERG_SECTOR_CODE")</f>
        <v>#NAME?</v>
      </c>
      <c r="R1104" t="e">
        <f ca="1">BDP("924736HY Muni","ISSUER_TYPE")</f>
        <v>#NAME?</v>
      </c>
      <c r="S1104" t="e">
        <f ca="1">BDS("924736HY Muni","ESG_PROJECT_CATEGORY", "aggregate=y")</f>
        <v>#NAME?</v>
      </c>
      <c r="T1104" t="e">
        <f ca="1">BDS("924736HY Muni","ESG_PROJECT_SUBCATEGORY", "aggregate=y")</f>
        <v>#NAME?</v>
      </c>
    </row>
    <row r="1105" spans="1:20" x14ac:dyDescent="0.25">
      <c r="A1105" t="e">
        <f ca="1">BDP("927405AL Muni","ID_CUSIP")</f>
        <v>#NAME?</v>
      </c>
      <c r="B1105" t="e">
        <f ca="1">BDP("927405AL Muni","STATE_CODE")</f>
        <v>#NAME?</v>
      </c>
      <c r="C1105" t="s">
        <v>75</v>
      </c>
      <c r="D1105" t="e">
        <f ca="1">BDP("927405AL Muni","YIELD_ON_ISSUE_DATE")</f>
        <v>#NAME?</v>
      </c>
      <c r="E1105">
        <v>70000</v>
      </c>
      <c r="F1105" t="e">
        <f ca="1">BDP("927405AL Muni","ISSUE_DT")</f>
        <v>#NAME?</v>
      </c>
      <c r="G1105" t="e">
        <f ca="1">BDP("927405AL Muni","MATURITY")</f>
        <v>#NAME?</v>
      </c>
      <c r="H1105" t="e">
        <f ca="1">BDP("927405AL Muni","MUNI_TAX_PROV")</f>
        <v>#NAME?</v>
      </c>
      <c r="I1105" t="e">
        <f ca="1">BDP("927405AL Muni","FINANCING_TYPE")</f>
        <v>#NAME?</v>
      </c>
      <c r="J1105" t="e">
        <f ca="1">BDP("927405AL Muni","BICS_LEVEL_2_INDUSTRY_GROUP_NAME")</f>
        <v>#NAME?</v>
      </c>
      <c r="K1105" t="e">
        <f ca="1">BDP("927405AL Muni","SELF_REPRTD_GREEN_INSTR_INDCTR")</f>
        <v>#NAME?</v>
      </c>
      <c r="L1105" t="e">
        <f ca="1">BDP("927405AL Muni","GB_MANAGEMENT_PROCEEDS")</f>
        <v>#NAME?</v>
      </c>
      <c r="M1105" t="e">
        <f ca="1">BDP("927405AL Muni","GB_REPORTING")</f>
        <v>#NAME?</v>
      </c>
      <c r="N1105" t="e">
        <f ca="1">BDP("927405AL Muni","GB_ASSURANCE_PROVIDERS")</f>
        <v>#NAME?</v>
      </c>
      <c r="O1105" t="e">
        <f ca="1">BDP("927405AL Muni","GB_PROJECT_SELECTION_PROCESS")</f>
        <v>#NAME?</v>
      </c>
      <c r="P1105" t="e">
        <f ca="1">BDP("927405AL Muni","ESG_FRAMEWORK_INDICATOR")</f>
        <v>#NAME?</v>
      </c>
      <c r="Q1105" t="e">
        <f ca="1">BDP("927405AL Muni","BLOOMBERG_SECTOR_CODE")</f>
        <v>#NAME?</v>
      </c>
      <c r="R1105" t="e">
        <f ca="1">BDP("927405AL Muni","ISSUER_TYPE")</f>
        <v>#NAME?</v>
      </c>
      <c r="S1105" t="e">
        <f ca="1">BDS("927405AL Muni","ESG_PROJECT_CATEGORY", "aggregate=y")</f>
        <v>#NAME?</v>
      </c>
      <c r="T1105" t="e">
        <f ca="1">BDS("927405AL Muni","ESG_PROJECT_SUBCATEGORY", "aggregate=y")</f>
        <v>#NAME?</v>
      </c>
    </row>
    <row r="1106" spans="1:20" x14ac:dyDescent="0.25">
      <c r="A1106" t="e">
        <f ca="1">BDP("927405AM Muni","ID_CUSIP")</f>
        <v>#NAME?</v>
      </c>
      <c r="B1106" t="e">
        <f ca="1">BDP("927405AM Muni","STATE_CODE")</f>
        <v>#NAME?</v>
      </c>
      <c r="C1106" t="s">
        <v>75</v>
      </c>
      <c r="D1106" t="e">
        <f ca="1">BDP("927405AM Muni","YIELD_ON_ISSUE_DATE")</f>
        <v>#NAME?</v>
      </c>
      <c r="E1106">
        <v>460000</v>
      </c>
      <c r="F1106" t="e">
        <f ca="1">BDP("927405AM Muni","ISSUE_DT")</f>
        <v>#NAME?</v>
      </c>
      <c r="G1106" t="e">
        <f ca="1">BDP("927405AM Muni","MATURITY")</f>
        <v>#NAME?</v>
      </c>
      <c r="H1106" t="e">
        <f ca="1">BDP("927405AM Muni","MUNI_TAX_PROV")</f>
        <v>#NAME?</v>
      </c>
      <c r="I1106" t="e">
        <f ca="1">BDP("927405AM Muni","FINANCING_TYPE")</f>
        <v>#NAME?</v>
      </c>
      <c r="J1106" t="e">
        <f ca="1">BDP("927405AM Muni","BICS_LEVEL_2_INDUSTRY_GROUP_NAME")</f>
        <v>#NAME?</v>
      </c>
      <c r="K1106" t="e">
        <f ca="1">BDP("927405AM Muni","SELF_REPRTD_GREEN_INSTR_INDCTR")</f>
        <v>#NAME?</v>
      </c>
      <c r="L1106" t="e">
        <f ca="1">BDP("927405AM Muni","GB_MANAGEMENT_PROCEEDS")</f>
        <v>#NAME?</v>
      </c>
      <c r="M1106" t="e">
        <f ca="1">BDP("927405AM Muni","GB_REPORTING")</f>
        <v>#NAME?</v>
      </c>
      <c r="N1106" t="e">
        <f ca="1">BDP("927405AM Muni","GB_ASSURANCE_PROVIDERS")</f>
        <v>#NAME?</v>
      </c>
      <c r="O1106" t="e">
        <f ca="1">BDP("927405AM Muni","GB_PROJECT_SELECTION_PROCESS")</f>
        <v>#NAME?</v>
      </c>
      <c r="P1106" t="e">
        <f ca="1">BDP("927405AM Muni","ESG_FRAMEWORK_INDICATOR")</f>
        <v>#NAME?</v>
      </c>
      <c r="Q1106" t="e">
        <f ca="1">BDP("927405AM Muni","BLOOMBERG_SECTOR_CODE")</f>
        <v>#NAME?</v>
      </c>
      <c r="R1106" t="e">
        <f ca="1">BDP("927405AM Muni","ISSUER_TYPE")</f>
        <v>#NAME?</v>
      </c>
      <c r="S1106" t="e">
        <f ca="1">BDS("927405AM Muni","ESG_PROJECT_CATEGORY", "aggregate=y")</f>
        <v>#NAME?</v>
      </c>
      <c r="T1106" t="e">
        <f ca="1">BDS("927405AM Muni","ESG_PROJECT_SUBCATEGORY", "aggregate=y")</f>
        <v>#NAME?</v>
      </c>
    </row>
    <row r="1107" spans="1:20" x14ac:dyDescent="0.25">
      <c r="A1107" t="e">
        <f ca="1">BDP("927405AN Muni","ID_CUSIP")</f>
        <v>#NAME?</v>
      </c>
      <c r="B1107" t="e">
        <f ca="1">BDP("927405AN Muni","STATE_CODE")</f>
        <v>#NAME?</v>
      </c>
      <c r="C1107" t="s">
        <v>75</v>
      </c>
      <c r="D1107" t="e">
        <f ca="1">BDP("927405AN Muni","YIELD_ON_ISSUE_DATE")</f>
        <v>#NAME?</v>
      </c>
      <c r="E1107">
        <v>475000</v>
      </c>
      <c r="F1107" t="e">
        <f ca="1">BDP("927405AN Muni","ISSUE_DT")</f>
        <v>#NAME?</v>
      </c>
      <c r="G1107" t="e">
        <f ca="1">BDP("927405AN Muni","MATURITY")</f>
        <v>#NAME?</v>
      </c>
      <c r="H1107" t="e">
        <f ca="1">BDP("927405AN Muni","MUNI_TAX_PROV")</f>
        <v>#NAME?</v>
      </c>
      <c r="I1107" t="e">
        <f ca="1">BDP("927405AN Muni","FINANCING_TYPE")</f>
        <v>#NAME?</v>
      </c>
      <c r="J1107" t="e">
        <f ca="1">BDP("927405AN Muni","BICS_LEVEL_2_INDUSTRY_GROUP_NAME")</f>
        <v>#NAME?</v>
      </c>
      <c r="K1107" t="e">
        <f ca="1">BDP("927405AN Muni","SELF_REPRTD_GREEN_INSTR_INDCTR")</f>
        <v>#NAME?</v>
      </c>
      <c r="L1107" t="e">
        <f ca="1">BDP("927405AN Muni","GB_MANAGEMENT_PROCEEDS")</f>
        <v>#NAME?</v>
      </c>
      <c r="M1107" t="e">
        <f ca="1">BDP("927405AN Muni","GB_REPORTING")</f>
        <v>#NAME?</v>
      </c>
      <c r="N1107" t="e">
        <f ca="1">BDP("927405AN Muni","GB_ASSURANCE_PROVIDERS")</f>
        <v>#NAME?</v>
      </c>
      <c r="O1107" t="e">
        <f ca="1">BDP("927405AN Muni","GB_PROJECT_SELECTION_PROCESS")</f>
        <v>#NAME?</v>
      </c>
      <c r="P1107" t="e">
        <f ca="1">BDP("927405AN Muni","ESG_FRAMEWORK_INDICATOR")</f>
        <v>#NAME?</v>
      </c>
      <c r="Q1107" t="e">
        <f ca="1">BDP("927405AN Muni","BLOOMBERG_SECTOR_CODE")</f>
        <v>#NAME?</v>
      </c>
      <c r="R1107" t="e">
        <f ca="1">BDP("927405AN Muni","ISSUER_TYPE")</f>
        <v>#NAME?</v>
      </c>
      <c r="S1107" t="e">
        <f ca="1">BDS("927405AN Muni","ESG_PROJECT_CATEGORY", "aggregate=y")</f>
        <v>#NAME?</v>
      </c>
      <c r="T1107" t="e">
        <f ca="1">BDS("927405AN Muni","ESG_PROJECT_SUBCATEGORY", "aggregate=y")</f>
        <v>#NAME?</v>
      </c>
    </row>
    <row r="1108" spans="1:20" x14ac:dyDescent="0.25">
      <c r="A1108" t="e">
        <f ca="1">BDP("927405AR Muni","ID_CUSIP")</f>
        <v>#NAME?</v>
      </c>
      <c r="B1108" t="e">
        <f ca="1">BDP("927405AR Muni","STATE_CODE")</f>
        <v>#NAME?</v>
      </c>
      <c r="C1108" t="s">
        <v>75</v>
      </c>
      <c r="D1108" t="e">
        <f ca="1">BDP("927405AR Muni","YIELD_ON_ISSUE_DATE")</f>
        <v>#NAME?</v>
      </c>
      <c r="E1108">
        <v>535000</v>
      </c>
      <c r="F1108" t="e">
        <f ca="1">BDP("927405AR Muni","ISSUE_DT")</f>
        <v>#NAME?</v>
      </c>
      <c r="G1108" t="e">
        <f ca="1">BDP("927405AR Muni","MATURITY")</f>
        <v>#NAME?</v>
      </c>
      <c r="H1108" t="e">
        <f ca="1">BDP("927405AR Muni","MUNI_TAX_PROV")</f>
        <v>#NAME?</v>
      </c>
      <c r="I1108" t="e">
        <f ca="1">BDP("927405AR Muni","FINANCING_TYPE")</f>
        <v>#NAME?</v>
      </c>
      <c r="J1108" t="e">
        <f ca="1">BDP("927405AR Muni","BICS_LEVEL_2_INDUSTRY_GROUP_NAME")</f>
        <v>#NAME?</v>
      </c>
      <c r="K1108" t="e">
        <f ca="1">BDP("927405AR Muni","SELF_REPRTD_GREEN_INSTR_INDCTR")</f>
        <v>#NAME?</v>
      </c>
      <c r="L1108" t="e">
        <f ca="1">BDP("927405AR Muni","GB_MANAGEMENT_PROCEEDS")</f>
        <v>#NAME?</v>
      </c>
      <c r="M1108" t="e">
        <f ca="1">BDP("927405AR Muni","GB_REPORTING")</f>
        <v>#NAME?</v>
      </c>
      <c r="N1108" t="e">
        <f ca="1">BDP("927405AR Muni","GB_ASSURANCE_PROVIDERS")</f>
        <v>#NAME?</v>
      </c>
      <c r="O1108" t="e">
        <f ca="1">BDP("927405AR Muni","GB_PROJECT_SELECTION_PROCESS")</f>
        <v>#NAME?</v>
      </c>
      <c r="P1108" t="e">
        <f ca="1">BDP("927405AR Muni","ESG_FRAMEWORK_INDICATOR")</f>
        <v>#NAME?</v>
      </c>
      <c r="Q1108" t="e">
        <f ca="1">BDP("927405AR Muni","BLOOMBERG_SECTOR_CODE")</f>
        <v>#NAME?</v>
      </c>
      <c r="R1108" t="e">
        <f ca="1">BDP("927405AR Muni","ISSUER_TYPE")</f>
        <v>#NAME?</v>
      </c>
      <c r="S1108" t="e">
        <f ca="1">BDS("927405AR Muni","ESG_PROJECT_CATEGORY", "aggregate=y")</f>
        <v>#NAME?</v>
      </c>
      <c r="T1108" t="e">
        <f ca="1">BDS("927405AR Muni","ESG_PROJECT_SUBCATEGORY", "aggregate=y")</f>
        <v>#NAME?</v>
      </c>
    </row>
    <row r="1109" spans="1:20" x14ac:dyDescent="0.25">
      <c r="A1109" t="e">
        <f ca="1">BDP("927405AT Muni","ID_CUSIP")</f>
        <v>#NAME?</v>
      </c>
      <c r="B1109" t="e">
        <f ca="1">BDP("927405AT Muni","STATE_CODE")</f>
        <v>#NAME?</v>
      </c>
      <c r="C1109" t="s">
        <v>75</v>
      </c>
      <c r="D1109" t="e">
        <f ca="1">BDP("927405AT Muni","YIELD_ON_ISSUE_DATE")</f>
        <v>#NAME?</v>
      </c>
      <c r="E1109">
        <v>590000</v>
      </c>
      <c r="F1109" t="e">
        <f ca="1">BDP("927405AT Muni","ISSUE_DT")</f>
        <v>#NAME?</v>
      </c>
      <c r="G1109" t="e">
        <f ca="1">BDP("927405AT Muni","MATURITY")</f>
        <v>#NAME?</v>
      </c>
      <c r="H1109" t="e">
        <f ca="1">BDP("927405AT Muni","MUNI_TAX_PROV")</f>
        <v>#NAME?</v>
      </c>
      <c r="I1109" t="e">
        <f ca="1">BDP("927405AT Muni","FINANCING_TYPE")</f>
        <v>#NAME?</v>
      </c>
      <c r="J1109" t="e">
        <f ca="1">BDP("927405AT Muni","BICS_LEVEL_2_INDUSTRY_GROUP_NAME")</f>
        <v>#NAME?</v>
      </c>
      <c r="K1109" t="e">
        <f ca="1">BDP("927405AT Muni","SELF_REPRTD_GREEN_INSTR_INDCTR")</f>
        <v>#NAME?</v>
      </c>
      <c r="L1109" t="e">
        <f ca="1">BDP("927405AT Muni","GB_MANAGEMENT_PROCEEDS")</f>
        <v>#NAME?</v>
      </c>
      <c r="M1109" t="e">
        <f ca="1">BDP("927405AT Muni","GB_REPORTING")</f>
        <v>#NAME?</v>
      </c>
      <c r="N1109" t="e">
        <f ca="1">BDP("927405AT Muni","GB_ASSURANCE_PROVIDERS")</f>
        <v>#NAME?</v>
      </c>
      <c r="O1109" t="e">
        <f ca="1">BDP("927405AT Muni","GB_PROJECT_SELECTION_PROCESS")</f>
        <v>#NAME?</v>
      </c>
      <c r="P1109" t="e">
        <f ca="1">BDP("927405AT Muni","ESG_FRAMEWORK_INDICATOR")</f>
        <v>#NAME?</v>
      </c>
      <c r="Q1109" t="e">
        <f ca="1">BDP("927405AT Muni","BLOOMBERG_SECTOR_CODE")</f>
        <v>#NAME?</v>
      </c>
      <c r="R1109" t="e">
        <f ca="1">BDP("927405AT Muni","ISSUER_TYPE")</f>
        <v>#NAME?</v>
      </c>
      <c r="S1109" t="e">
        <f ca="1">BDS("927405AT Muni","ESG_PROJECT_CATEGORY", "aggregate=y")</f>
        <v>#NAME?</v>
      </c>
      <c r="T1109" t="e">
        <f ca="1">BDS("927405AT Muni","ESG_PROJECT_SUBCATEGORY", "aggregate=y")</f>
        <v>#NAME?</v>
      </c>
    </row>
    <row r="1110" spans="1:20" x14ac:dyDescent="0.25">
      <c r="A1110" t="e">
        <f ca="1">BDP("927405AU Muni","ID_CUSIP")</f>
        <v>#NAME?</v>
      </c>
      <c r="B1110" t="e">
        <f ca="1">BDP("927405AU Muni","STATE_CODE")</f>
        <v>#NAME?</v>
      </c>
      <c r="C1110" t="s">
        <v>75</v>
      </c>
      <c r="D1110" t="e">
        <f ca="1">BDP("927405AU Muni","YIELD_ON_ISSUE_DATE")</f>
        <v>#NAME?</v>
      </c>
      <c r="E1110">
        <v>645000</v>
      </c>
      <c r="F1110" t="e">
        <f ca="1">BDP("927405AU Muni","ISSUE_DT")</f>
        <v>#NAME?</v>
      </c>
      <c r="G1110" t="e">
        <f ca="1">BDP("927405AU Muni","MATURITY")</f>
        <v>#NAME?</v>
      </c>
      <c r="H1110" t="e">
        <f ca="1">BDP("927405AU Muni","MUNI_TAX_PROV")</f>
        <v>#NAME?</v>
      </c>
      <c r="I1110" t="e">
        <f ca="1">BDP("927405AU Muni","FINANCING_TYPE")</f>
        <v>#NAME?</v>
      </c>
      <c r="J1110" t="e">
        <f ca="1">BDP("927405AU Muni","BICS_LEVEL_2_INDUSTRY_GROUP_NAME")</f>
        <v>#NAME?</v>
      </c>
      <c r="K1110" t="e">
        <f ca="1">BDP("927405AU Muni","SELF_REPRTD_GREEN_INSTR_INDCTR")</f>
        <v>#NAME?</v>
      </c>
      <c r="L1110" t="e">
        <f ca="1">BDP("927405AU Muni","GB_MANAGEMENT_PROCEEDS")</f>
        <v>#NAME?</v>
      </c>
      <c r="M1110" t="e">
        <f ca="1">BDP("927405AU Muni","GB_REPORTING")</f>
        <v>#NAME?</v>
      </c>
      <c r="N1110" t="e">
        <f ca="1">BDP("927405AU Muni","GB_ASSURANCE_PROVIDERS")</f>
        <v>#NAME?</v>
      </c>
      <c r="O1110" t="e">
        <f ca="1">BDP("927405AU Muni","GB_PROJECT_SELECTION_PROCESS")</f>
        <v>#NAME?</v>
      </c>
      <c r="P1110" t="e">
        <f ca="1">BDP("927405AU Muni","ESG_FRAMEWORK_INDICATOR")</f>
        <v>#NAME?</v>
      </c>
      <c r="Q1110" t="e">
        <f ca="1">BDP("927405AU Muni","BLOOMBERG_SECTOR_CODE")</f>
        <v>#NAME?</v>
      </c>
      <c r="R1110" t="e">
        <f ca="1">BDP("927405AU Muni","ISSUER_TYPE")</f>
        <v>#NAME?</v>
      </c>
      <c r="S1110" t="e">
        <f ca="1">BDS("927405AU Muni","ESG_PROJECT_CATEGORY", "aggregate=y")</f>
        <v>#NAME?</v>
      </c>
      <c r="T1110" t="e">
        <f ca="1">BDS("927405AU Muni","ESG_PROJECT_SUBCATEGORY", "aggregate=y")</f>
        <v>#NAME?</v>
      </c>
    </row>
    <row r="1111" spans="1:20" x14ac:dyDescent="0.25">
      <c r="A1111" t="e">
        <f ca="1">BDP("927405AV Muni","ID_CUSIP")</f>
        <v>#NAME?</v>
      </c>
      <c r="B1111" t="e">
        <f ca="1">BDP("927405AV Muni","STATE_CODE")</f>
        <v>#NAME?</v>
      </c>
      <c r="C1111" t="s">
        <v>75</v>
      </c>
      <c r="D1111" t="e">
        <f ca="1">BDP("927405AV Muni","YIELD_ON_ISSUE_DATE")</f>
        <v>#NAME?</v>
      </c>
      <c r="E1111">
        <v>710000</v>
      </c>
      <c r="F1111" t="e">
        <f ca="1">BDP("927405AV Muni","ISSUE_DT")</f>
        <v>#NAME?</v>
      </c>
      <c r="G1111" t="e">
        <f ca="1">BDP("927405AV Muni","MATURITY")</f>
        <v>#NAME?</v>
      </c>
      <c r="H1111" t="e">
        <f ca="1">BDP("927405AV Muni","MUNI_TAX_PROV")</f>
        <v>#NAME?</v>
      </c>
      <c r="I1111" t="e">
        <f ca="1">BDP("927405AV Muni","FINANCING_TYPE")</f>
        <v>#NAME?</v>
      </c>
      <c r="J1111" t="e">
        <f ca="1">BDP("927405AV Muni","BICS_LEVEL_2_INDUSTRY_GROUP_NAME")</f>
        <v>#NAME?</v>
      </c>
      <c r="K1111" t="e">
        <f ca="1">BDP("927405AV Muni","SELF_REPRTD_GREEN_INSTR_INDCTR")</f>
        <v>#NAME?</v>
      </c>
      <c r="L1111" t="e">
        <f ca="1">BDP("927405AV Muni","GB_MANAGEMENT_PROCEEDS")</f>
        <v>#NAME?</v>
      </c>
      <c r="M1111" t="e">
        <f ca="1">BDP("927405AV Muni","GB_REPORTING")</f>
        <v>#NAME?</v>
      </c>
      <c r="N1111" t="e">
        <f ca="1">BDP("927405AV Muni","GB_ASSURANCE_PROVIDERS")</f>
        <v>#NAME?</v>
      </c>
      <c r="O1111" t="e">
        <f ca="1">BDP("927405AV Muni","GB_PROJECT_SELECTION_PROCESS")</f>
        <v>#NAME?</v>
      </c>
      <c r="P1111" t="e">
        <f ca="1">BDP("927405AV Muni","ESG_FRAMEWORK_INDICATOR")</f>
        <v>#NAME?</v>
      </c>
      <c r="Q1111" t="e">
        <f ca="1">BDP("927405AV Muni","BLOOMBERG_SECTOR_CODE")</f>
        <v>#NAME?</v>
      </c>
      <c r="R1111" t="e">
        <f ca="1">BDP("927405AV Muni","ISSUER_TYPE")</f>
        <v>#NAME?</v>
      </c>
      <c r="S1111" t="e">
        <f ca="1">BDS("927405AV Muni","ESG_PROJECT_CATEGORY", "aggregate=y")</f>
        <v>#NAME?</v>
      </c>
      <c r="T1111" t="e">
        <f ca="1">BDS("927405AV Muni","ESG_PROJECT_SUBCATEGORY", "aggregate=y")</f>
        <v>#NAME?</v>
      </c>
    </row>
    <row r="1112" spans="1:20" x14ac:dyDescent="0.25">
      <c r="A1112" t="e">
        <f ca="1">BDP("927405AW Muni","ID_CUSIP")</f>
        <v>#NAME?</v>
      </c>
      <c r="B1112" t="e">
        <f ca="1">BDP("927405AW Muni","STATE_CODE")</f>
        <v>#NAME?</v>
      </c>
      <c r="C1112" t="s">
        <v>75</v>
      </c>
      <c r="D1112" t="e">
        <f ca="1">BDP("927405AW Muni","YIELD_ON_ISSUE_DATE")</f>
        <v>#NAME?</v>
      </c>
      <c r="E1112">
        <v>780000</v>
      </c>
      <c r="F1112" t="e">
        <f ca="1">BDP("927405AW Muni","ISSUE_DT")</f>
        <v>#NAME?</v>
      </c>
      <c r="G1112" t="e">
        <f ca="1">BDP("927405AW Muni","MATURITY")</f>
        <v>#NAME?</v>
      </c>
      <c r="H1112" t="e">
        <f ca="1">BDP("927405AW Muni","MUNI_TAX_PROV")</f>
        <v>#NAME?</v>
      </c>
      <c r="I1112" t="e">
        <f ca="1">BDP("927405AW Muni","FINANCING_TYPE")</f>
        <v>#NAME?</v>
      </c>
      <c r="J1112" t="e">
        <f ca="1">BDP("927405AW Muni","BICS_LEVEL_2_INDUSTRY_GROUP_NAME")</f>
        <v>#NAME?</v>
      </c>
      <c r="K1112" t="e">
        <f ca="1">BDP("927405AW Muni","SELF_REPRTD_GREEN_INSTR_INDCTR")</f>
        <v>#NAME?</v>
      </c>
      <c r="L1112" t="e">
        <f ca="1">BDP("927405AW Muni","GB_MANAGEMENT_PROCEEDS")</f>
        <v>#NAME?</v>
      </c>
      <c r="M1112" t="e">
        <f ca="1">BDP("927405AW Muni","GB_REPORTING")</f>
        <v>#NAME?</v>
      </c>
      <c r="N1112" t="e">
        <f ca="1">BDP("927405AW Muni","GB_ASSURANCE_PROVIDERS")</f>
        <v>#NAME?</v>
      </c>
      <c r="O1112" t="e">
        <f ca="1">BDP("927405AW Muni","GB_PROJECT_SELECTION_PROCESS")</f>
        <v>#NAME?</v>
      </c>
      <c r="P1112" t="e">
        <f ca="1">BDP("927405AW Muni","ESG_FRAMEWORK_INDICATOR")</f>
        <v>#NAME?</v>
      </c>
      <c r="Q1112" t="e">
        <f ca="1">BDP("927405AW Muni","BLOOMBERG_SECTOR_CODE")</f>
        <v>#NAME?</v>
      </c>
      <c r="R1112" t="e">
        <f ca="1">BDP("927405AW Muni","ISSUER_TYPE")</f>
        <v>#NAME?</v>
      </c>
      <c r="S1112" t="e">
        <f ca="1">BDS("927405AW Muni","ESG_PROJECT_CATEGORY", "aggregate=y")</f>
        <v>#NAME?</v>
      </c>
      <c r="T1112" t="e">
        <f ca="1">BDS("927405AW Muni","ESG_PROJECT_SUBCATEGORY", "aggregate=y")</f>
        <v>#NAME?</v>
      </c>
    </row>
    <row r="1113" spans="1:20" x14ac:dyDescent="0.25">
      <c r="A1113" t="e">
        <f ca="1">BDP("927405AX Muni","ID_CUSIP")</f>
        <v>#NAME?</v>
      </c>
      <c r="B1113" t="e">
        <f ca="1">BDP("927405AX Muni","STATE_CODE")</f>
        <v>#NAME?</v>
      </c>
      <c r="C1113" t="s">
        <v>75</v>
      </c>
      <c r="D1113" t="e">
        <f ca="1">BDP("927405AX Muni","YIELD_ON_ISSUE_DATE")</f>
        <v>#NAME?</v>
      </c>
      <c r="E1113">
        <v>850000</v>
      </c>
      <c r="F1113" t="e">
        <f ca="1">BDP("927405AX Muni","ISSUE_DT")</f>
        <v>#NAME?</v>
      </c>
      <c r="G1113" t="e">
        <f ca="1">BDP("927405AX Muni","MATURITY")</f>
        <v>#NAME?</v>
      </c>
      <c r="H1113" t="e">
        <f ca="1">BDP("927405AX Muni","MUNI_TAX_PROV")</f>
        <v>#NAME?</v>
      </c>
      <c r="I1113" t="e">
        <f ca="1">BDP("927405AX Muni","FINANCING_TYPE")</f>
        <v>#NAME?</v>
      </c>
      <c r="J1113" t="e">
        <f ca="1">BDP("927405AX Muni","BICS_LEVEL_2_INDUSTRY_GROUP_NAME")</f>
        <v>#NAME?</v>
      </c>
      <c r="K1113" t="e">
        <f ca="1">BDP("927405AX Muni","SELF_REPRTD_GREEN_INSTR_INDCTR")</f>
        <v>#NAME?</v>
      </c>
      <c r="L1113" t="e">
        <f ca="1">BDP("927405AX Muni","GB_MANAGEMENT_PROCEEDS")</f>
        <v>#NAME?</v>
      </c>
      <c r="M1113" t="e">
        <f ca="1">BDP("927405AX Muni","GB_REPORTING")</f>
        <v>#NAME?</v>
      </c>
      <c r="N1113" t="e">
        <f ca="1">BDP("927405AX Muni","GB_ASSURANCE_PROVIDERS")</f>
        <v>#NAME?</v>
      </c>
      <c r="O1113" t="e">
        <f ca="1">BDP("927405AX Muni","GB_PROJECT_SELECTION_PROCESS")</f>
        <v>#NAME?</v>
      </c>
      <c r="P1113" t="e">
        <f ca="1">BDP("927405AX Muni","ESG_FRAMEWORK_INDICATOR")</f>
        <v>#NAME?</v>
      </c>
      <c r="Q1113" t="e">
        <f ca="1">BDP("927405AX Muni","BLOOMBERG_SECTOR_CODE")</f>
        <v>#NAME?</v>
      </c>
      <c r="R1113" t="e">
        <f ca="1">BDP("927405AX Muni","ISSUER_TYPE")</f>
        <v>#NAME?</v>
      </c>
      <c r="S1113" t="e">
        <f ca="1">BDS("927405AX Muni","ESG_PROJECT_CATEGORY", "aggregate=y")</f>
        <v>#NAME?</v>
      </c>
      <c r="T1113" t="e">
        <f ca="1">BDS("927405AX Muni","ESG_PROJECT_SUBCATEGORY", "aggregate=y")</f>
        <v>#NAME?</v>
      </c>
    </row>
    <row r="1114" spans="1:20" x14ac:dyDescent="0.25">
      <c r="A1114" t="e">
        <f ca="1">BDP("927405AY Muni","ID_CUSIP")</f>
        <v>#NAME?</v>
      </c>
      <c r="B1114" t="e">
        <f ca="1">BDP("927405AY Muni","STATE_CODE")</f>
        <v>#NAME?</v>
      </c>
      <c r="C1114" t="s">
        <v>75</v>
      </c>
      <c r="D1114" t="e">
        <f ca="1">BDP("927405AY Muni","YIELD_ON_ISSUE_DATE")</f>
        <v>#NAME?</v>
      </c>
      <c r="E1114">
        <v>925000</v>
      </c>
      <c r="F1114" t="e">
        <f ca="1">BDP("927405AY Muni","ISSUE_DT")</f>
        <v>#NAME?</v>
      </c>
      <c r="G1114" t="e">
        <f ca="1">BDP("927405AY Muni","MATURITY")</f>
        <v>#NAME?</v>
      </c>
      <c r="H1114" t="e">
        <f ca="1">BDP("927405AY Muni","MUNI_TAX_PROV")</f>
        <v>#NAME?</v>
      </c>
      <c r="I1114" t="e">
        <f ca="1">BDP("927405AY Muni","FINANCING_TYPE")</f>
        <v>#NAME?</v>
      </c>
      <c r="J1114" t="e">
        <f ca="1">BDP("927405AY Muni","BICS_LEVEL_2_INDUSTRY_GROUP_NAME")</f>
        <v>#NAME?</v>
      </c>
      <c r="K1114" t="e">
        <f ca="1">BDP("927405AY Muni","SELF_REPRTD_GREEN_INSTR_INDCTR")</f>
        <v>#NAME?</v>
      </c>
      <c r="L1114" t="e">
        <f ca="1">BDP("927405AY Muni","GB_MANAGEMENT_PROCEEDS")</f>
        <v>#NAME?</v>
      </c>
      <c r="M1114" t="e">
        <f ca="1">BDP("927405AY Muni","GB_REPORTING")</f>
        <v>#NAME?</v>
      </c>
      <c r="N1114" t="e">
        <f ca="1">BDP("927405AY Muni","GB_ASSURANCE_PROVIDERS")</f>
        <v>#NAME?</v>
      </c>
      <c r="O1114" t="e">
        <f ca="1">BDP("927405AY Muni","GB_PROJECT_SELECTION_PROCESS")</f>
        <v>#NAME?</v>
      </c>
      <c r="P1114" t="e">
        <f ca="1">BDP("927405AY Muni","ESG_FRAMEWORK_INDICATOR")</f>
        <v>#NAME?</v>
      </c>
      <c r="Q1114" t="e">
        <f ca="1">BDP("927405AY Muni","BLOOMBERG_SECTOR_CODE")</f>
        <v>#NAME?</v>
      </c>
      <c r="R1114" t="e">
        <f ca="1">BDP("927405AY Muni","ISSUER_TYPE")</f>
        <v>#NAME?</v>
      </c>
      <c r="S1114" t="e">
        <f ca="1">BDS("927405AY Muni","ESG_PROJECT_CATEGORY", "aggregate=y")</f>
        <v>#NAME?</v>
      </c>
      <c r="T1114" t="e">
        <f ca="1">BDS("927405AY Muni","ESG_PROJECT_SUBCATEGORY", "aggregate=y")</f>
        <v>#NAME?</v>
      </c>
    </row>
    <row r="1115" spans="1:20" x14ac:dyDescent="0.25">
      <c r="A1115" t="e">
        <f ca="1">BDP("927405BA Muni","ID_CUSIP")</f>
        <v>#NAME?</v>
      </c>
      <c r="B1115" t="e">
        <f ca="1">BDP("927405BA Muni","STATE_CODE")</f>
        <v>#NAME?</v>
      </c>
      <c r="C1115" t="s">
        <v>75</v>
      </c>
      <c r="D1115" t="e">
        <f ca="1">BDP("927405BA Muni","YIELD_ON_ISSUE_DATE")</f>
        <v>#NAME?</v>
      </c>
      <c r="E1115">
        <v>1090000</v>
      </c>
      <c r="F1115" t="e">
        <f ca="1">BDP("927405BA Muni","ISSUE_DT")</f>
        <v>#NAME?</v>
      </c>
      <c r="G1115" t="e">
        <f ca="1">BDP("927405BA Muni","MATURITY")</f>
        <v>#NAME?</v>
      </c>
      <c r="H1115" t="e">
        <f ca="1">BDP("927405BA Muni","MUNI_TAX_PROV")</f>
        <v>#NAME?</v>
      </c>
      <c r="I1115" t="e">
        <f ca="1">BDP("927405BA Muni","FINANCING_TYPE")</f>
        <v>#NAME?</v>
      </c>
      <c r="J1115" t="e">
        <f ca="1">BDP("927405BA Muni","BICS_LEVEL_2_INDUSTRY_GROUP_NAME")</f>
        <v>#NAME?</v>
      </c>
      <c r="K1115" t="e">
        <f ca="1">BDP("927405BA Muni","SELF_REPRTD_GREEN_INSTR_INDCTR")</f>
        <v>#NAME?</v>
      </c>
      <c r="L1115" t="e">
        <f ca="1">BDP("927405BA Muni","GB_MANAGEMENT_PROCEEDS")</f>
        <v>#NAME?</v>
      </c>
      <c r="M1115" t="e">
        <f ca="1">BDP("927405BA Muni","GB_REPORTING")</f>
        <v>#NAME?</v>
      </c>
      <c r="N1115" t="e">
        <f ca="1">BDP("927405BA Muni","GB_ASSURANCE_PROVIDERS")</f>
        <v>#NAME?</v>
      </c>
      <c r="O1115" t="e">
        <f ca="1">BDP("927405BA Muni","GB_PROJECT_SELECTION_PROCESS")</f>
        <v>#NAME?</v>
      </c>
      <c r="P1115" t="e">
        <f ca="1">BDP("927405BA Muni","ESG_FRAMEWORK_INDICATOR")</f>
        <v>#NAME?</v>
      </c>
      <c r="Q1115" t="e">
        <f ca="1">BDP("927405BA Muni","BLOOMBERG_SECTOR_CODE")</f>
        <v>#NAME?</v>
      </c>
      <c r="R1115" t="e">
        <f ca="1">BDP("927405BA Muni","ISSUER_TYPE")</f>
        <v>#NAME?</v>
      </c>
      <c r="S1115" t="e">
        <f ca="1">BDS("927405BA Muni","ESG_PROJECT_CATEGORY", "aggregate=y")</f>
        <v>#NAME?</v>
      </c>
      <c r="T1115" t="e">
        <f ca="1">BDS("927405BA Muni","ESG_PROJECT_SUBCATEGORY", "aggregate=y")</f>
        <v>#NAME?</v>
      </c>
    </row>
    <row r="1116" spans="1:20" x14ac:dyDescent="0.25">
      <c r="A1116" t="e">
        <f ca="1">BDP("927405BB Muni","ID_CUSIP")</f>
        <v>#NAME?</v>
      </c>
      <c r="B1116" t="e">
        <f ca="1">BDP("927405BB Muni","STATE_CODE")</f>
        <v>#NAME?</v>
      </c>
      <c r="C1116" t="s">
        <v>75</v>
      </c>
      <c r="D1116" t="e">
        <f ca="1">BDP("927405BB Muni","YIELD_ON_ISSUE_DATE")</f>
        <v>#NAME?</v>
      </c>
      <c r="E1116">
        <v>1180000</v>
      </c>
      <c r="F1116" t="e">
        <f ca="1">BDP("927405BB Muni","ISSUE_DT")</f>
        <v>#NAME?</v>
      </c>
      <c r="G1116" t="e">
        <f ca="1">BDP("927405BB Muni","MATURITY")</f>
        <v>#NAME?</v>
      </c>
      <c r="H1116" t="e">
        <f ca="1">BDP("927405BB Muni","MUNI_TAX_PROV")</f>
        <v>#NAME?</v>
      </c>
      <c r="I1116" t="e">
        <f ca="1">BDP("927405BB Muni","FINANCING_TYPE")</f>
        <v>#NAME?</v>
      </c>
      <c r="J1116" t="e">
        <f ca="1">BDP("927405BB Muni","BICS_LEVEL_2_INDUSTRY_GROUP_NAME")</f>
        <v>#NAME?</v>
      </c>
      <c r="K1116" t="e">
        <f ca="1">BDP("927405BB Muni","SELF_REPRTD_GREEN_INSTR_INDCTR")</f>
        <v>#NAME?</v>
      </c>
      <c r="L1116" t="e">
        <f ca="1">BDP("927405BB Muni","GB_MANAGEMENT_PROCEEDS")</f>
        <v>#NAME?</v>
      </c>
      <c r="M1116" t="e">
        <f ca="1">BDP("927405BB Muni","GB_REPORTING")</f>
        <v>#NAME?</v>
      </c>
      <c r="N1116" t="e">
        <f ca="1">BDP("927405BB Muni","GB_ASSURANCE_PROVIDERS")</f>
        <v>#NAME?</v>
      </c>
      <c r="O1116" t="e">
        <f ca="1">BDP("927405BB Muni","GB_PROJECT_SELECTION_PROCESS")</f>
        <v>#NAME?</v>
      </c>
      <c r="P1116" t="e">
        <f ca="1">BDP("927405BB Muni","ESG_FRAMEWORK_INDICATOR")</f>
        <v>#NAME?</v>
      </c>
      <c r="Q1116" t="e">
        <f ca="1">BDP("927405BB Muni","BLOOMBERG_SECTOR_CODE")</f>
        <v>#NAME?</v>
      </c>
      <c r="R1116" t="e">
        <f ca="1">BDP("927405BB Muni","ISSUER_TYPE")</f>
        <v>#NAME?</v>
      </c>
      <c r="S1116" t="e">
        <f ca="1">BDS("927405BB Muni","ESG_PROJECT_CATEGORY", "aggregate=y")</f>
        <v>#NAME?</v>
      </c>
      <c r="T1116" t="e">
        <f ca="1">BDS("927405BB Muni","ESG_PROJECT_SUBCATEGORY", "aggregate=y")</f>
        <v>#NAME?</v>
      </c>
    </row>
    <row r="1117" spans="1:20" x14ac:dyDescent="0.25">
      <c r="A1117" t="e">
        <f ca="1">BDP("927405BC Muni","ID_CUSIP")</f>
        <v>#NAME?</v>
      </c>
      <c r="B1117" t="e">
        <f ca="1">BDP("927405BC Muni","STATE_CODE")</f>
        <v>#NAME?</v>
      </c>
      <c r="C1117" t="s">
        <v>75</v>
      </c>
      <c r="D1117" t="e">
        <f ca="1">BDP("927405BC Muni","YIELD_ON_ISSUE_DATE")</f>
        <v>#NAME?</v>
      </c>
      <c r="E1117">
        <v>1275000</v>
      </c>
      <c r="F1117" t="e">
        <f ca="1">BDP("927405BC Muni","ISSUE_DT")</f>
        <v>#NAME?</v>
      </c>
      <c r="G1117" t="e">
        <f ca="1">BDP("927405BC Muni","MATURITY")</f>
        <v>#NAME?</v>
      </c>
      <c r="H1117" t="e">
        <f ca="1">BDP("927405BC Muni","MUNI_TAX_PROV")</f>
        <v>#NAME?</v>
      </c>
      <c r="I1117" t="e">
        <f ca="1">BDP("927405BC Muni","FINANCING_TYPE")</f>
        <v>#NAME?</v>
      </c>
      <c r="J1117" t="e">
        <f ca="1">BDP("927405BC Muni","BICS_LEVEL_2_INDUSTRY_GROUP_NAME")</f>
        <v>#NAME?</v>
      </c>
      <c r="K1117" t="e">
        <f ca="1">BDP("927405BC Muni","SELF_REPRTD_GREEN_INSTR_INDCTR")</f>
        <v>#NAME?</v>
      </c>
      <c r="L1117" t="e">
        <f ca="1">BDP("927405BC Muni","GB_MANAGEMENT_PROCEEDS")</f>
        <v>#NAME?</v>
      </c>
      <c r="M1117" t="e">
        <f ca="1">BDP("927405BC Muni","GB_REPORTING")</f>
        <v>#NAME?</v>
      </c>
      <c r="N1117" t="e">
        <f ca="1">BDP("927405BC Muni","GB_ASSURANCE_PROVIDERS")</f>
        <v>#NAME?</v>
      </c>
      <c r="O1117" t="e">
        <f ca="1">BDP("927405BC Muni","GB_PROJECT_SELECTION_PROCESS")</f>
        <v>#NAME?</v>
      </c>
      <c r="P1117" t="e">
        <f ca="1">BDP("927405BC Muni","ESG_FRAMEWORK_INDICATOR")</f>
        <v>#NAME?</v>
      </c>
      <c r="Q1117" t="e">
        <f ca="1">BDP("927405BC Muni","BLOOMBERG_SECTOR_CODE")</f>
        <v>#NAME?</v>
      </c>
      <c r="R1117" t="e">
        <f ca="1">BDP("927405BC Muni","ISSUER_TYPE")</f>
        <v>#NAME?</v>
      </c>
      <c r="S1117" t="e">
        <f ca="1">BDS("927405BC Muni","ESG_PROJECT_CATEGORY", "aggregate=y")</f>
        <v>#NAME?</v>
      </c>
      <c r="T1117" t="e">
        <f ca="1">BDS("927405BC Muni","ESG_PROJECT_SUBCATEGORY", "aggregate=y")</f>
        <v>#NAME?</v>
      </c>
    </row>
    <row r="1118" spans="1:20" x14ac:dyDescent="0.25">
      <c r="A1118" t="e">
        <f ca="1">BDP("927405BE Muni","ID_CUSIP")</f>
        <v>#NAME?</v>
      </c>
      <c r="B1118" t="e">
        <f ca="1">BDP("927405BE Muni","STATE_CODE")</f>
        <v>#NAME?</v>
      </c>
      <c r="C1118" t="s">
        <v>75</v>
      </c>
      <c r="D1118" t="e">
        <f ca="1">BDP("927405BE Muni","YIELD_ON_ISSUE_DATE")</f>
        <v>#NAME?</v>
      </c>
      <c r="E1118">
        <v>1475000</v>
      </c>
      <c r="F1118" t="e">
        <f ca="1">BDP("927405BE Muni","ISSUE_DT")</f>
        <v>#NAME?</v>
      </c>
      <c r="G1118" t="e">
        <f ca="1">BDP("927405BE Muni","MATURITY")</f>
        <v>#NAME?</v>
      </c>
      <c r="H1118" t="e">
        <f ca="1">BDP("927405BE Muni","MUNI_TAX_PROV")</f>
        <v>#NAME?</v>
      </c>
      <c r="I1118" t="e">
        <f ca="1">BDP("927405BE Muni","FINANCING_TYPE")</f>
        <v>#NAME?</v>
      </c>
      <c r="J1118" t="e">
        <f ca="1">BDP("927405BE Muni","BICS_LEVEL_2_INDUSTRY_GROUP_NAME")</f>
        <v>#NAME?</v>
      </c>
      <c r="K1118" t="e">
        <f ca="1">BDP("927405BE Muni","SELF_REPRTD_GREEN_INSTR_INDCTR")</f>
        <v>#NAME?</v>
      </c>
      <c r="L1118" t="e">
        <f ca="1">BDP("927405BE Muni","GB_MANAGEMENT_PROCEEDS")</f>
        <v>#NAME?</v>
      </c>
      <c r="M1118" t="e">
        <f ca="1">BDP("927405BE Muni","GB_REPORTING")</f>
        <v>#NAME?</v>
      </c>
      <c r="N1118" t="e">
        <f ca="1">BDP("927405BE Muni","GB_ASSURANCE_PROVIDERS")</f>
        <v>#NAME?</v>
      </c>
      <c r="O1118" t="e">
        <f ca="1">BDP("927405BE Muni","GB_PROJECT_SELECTION_PROCESS")</f>
        <v>#NAME?</v>
      </c>
      <c r="P1118" t="e">
        <f ca="1">BDP("927405BE Muni","ESG_FRAMEWORK_INDICATOR")</f>
        <v>#NAME?</v>
      </c>
      <c r="Q1118" t="e">
        <f ca="1">BDP("927405BE Muni","BLOOMBERG_SECTOR_CODE")</f>
        <v>#NAME?</v>
      </c>
      <c r="R1118" t="e">
        <f ca="1">BDP("927405BE Muni","ISSUER_TYPE")</f>
        <v>#NAME?</v>
      </c>
      <c r="S1118" t="e">
        <f ca="1">BDS("927405BE Muni","ESG_PROJECT_CATEGORY", "aggregate=y")</f>
        <v>#NAME?</v>
      </c>
      <c r="T1118" t="e">
        <f ca="1">BDS("927405BE Muni","ESG_PROJECT_SUBCATEGORY", "aggregate=y")</f>
        <v>#NAME?</v>
      </c>
    </row>
    <row r="1119" spans="1:20" x14ac:dyDescent="0.25">
      <c r="A1119" t="e">
        <f ca="1">BDP("956882RL Muni","ID_CUSIP")</f>
        <v>#NAME?</v>
      </c>
      <c r="B1119" t="e">
        <f ca="1">BDP("956882RL Muni","STATE_CODE")</f>
        <v>#NAME?</v>
      </c>
      <c r="C1119" t="s">
        <v>76</v>
      </c>
      <c r="D1119" t="e">
        <f ca="1">BDP("956882RL Muni","YIELD_ON_ISSUE_DATE")</f>
        <v>#NAME?</v>
      </c>
      <c r="E1119">
        <v>435000</v>
      </c>
      <c r="F1119" t="e">
        <f ca="1">BDP("956882RL Muni","ISSUE_DT")</f>
        <v>#NAME?</v>
      </c>
      <c r="G1119" t="e">
        <f ca="1">BDP("956882RL Muni","MATURITY")</f>
        <v>#NAME?</v>
      </c>
      <c r="H1119" t="e">
        <f ca="1">BDP("956882RL Muni","MUNI_TAX_PROV")</f>
        <v>#NAME?</v>
      </c>
      <c r="I1119" t="e">
        <f ca="1">BDP("956882RL Muni","FINANCING_TYPE")</f>
        <v>#NAME?</v>
      </c>
      <c r="J1119" t="e">
        <f ca="1">BDP("956882RL Muni","BICS_LEVEL_2_INDUSTRY_GROUP_NAME")</f>
        <v>#NAME?</v>
      </c>
      <c r="K1119" t="e">
        <f ca="1">BDP("956882RL Muni","SELF_REPRTD_GREEN_INSTR_INDCTR")</f>
        <v>#NAME?</v>
      </c>
      <c r="L1119" t="e">
        <f ca="1">BDP("956882RL Muni","GB_MANAGEMENT_PROCEEDS")</f>
        <v>#NAME?</v>
      </c>
      <c r="M1119" t="e">
        <f ca="1">BDP("956882RL Muni","GB_REPORTING")</f>
        <v>#NAME?</v>
      </c>
      <c r="N1119" t="e">
        <f ca="1">BDP("956882RL Muni","GB_ASSURANCE_PROVIDERS")</f>
        <v>#NAME?</v>
      </c>
      <c r="O1119" t="e">
        <f ca="1">BDP("956882RL Muni","GB_PROJECT_SELECTION_PROCESS")</f>
        <v>#NAME?</v>
      </c>
      <c r="P1119" t="e">
        <f ca="1">BDP("956882RL Muni","ESG_FRAMEWORK_INDICATOR")</f>
        <v>#NAME?</v>
      </c>
      <c r="Q1119" t="e">
        <f ca="1">BDP("956882RL Muni","BLOOMBERG_SECTOR_CODE")</f>
        <v>#NAME?</v>
      </c>
      <c r="R1119" t="e">
        <f ca="1">BDP("956882RL Muni","ISSUER_TYPE")</f>
        <v>#NAME?</v>
      </c>
      <c r="S1119" t="e">
        <f ca="1">BDS("956882RL Muni","ESG_PROJECT_CATEGORY", "aggregate=y")</f>
        <v>#NAME?</v>
      </c>
      <c r="T1119" t="e">
        <f ca="1">BDS("956882RL Muni","ESG_PROJECT_SUBCATEGORY", "aggregate=y")</f>
        <v>#NAME?</v>
      </c>
    </row>
    <row r="1120" spans="1:20" x14ac:dyDescent="0.25">
      <c r="A1120" t="e">
        <f ca="1">BDP("956882RN Muni","ID_CUSIP")</f>
        <v>#NAME?</v>
      </c>
      <c r="B1120" t="e">
        <f ca="1">BDP("956882RN Muni","STATE_CODE")</f>
        <v>#NAME?</v>
      </c>
      <c r="C1120" t="s">
        <v>76</v>
      </c>
      <c r="D1120" t="e">
        <f ca="1">BDP("956882RN Muni","YIELD_ON_ISSUE_DATE")</f>
        <v>#NAME?</v>
      </c>
      <c r="E1120">
        <v>295000</v>
      </c>
      <c r="F1120" t="e">
        <f ca="1">BDP("956882RN Muni","ISSUE_DT")</f>
        <v>#NAME?</v>
      </c>
      <c r="G1120" t="e">
        <f ca="1">BDP("956882RN Muni","MATURITY")</f>
        <v>#NAME?</v>
      </c>
      <c r="H1120" t="e">
        <f ca="1">BDP("956882RN Muni","MUNI_TAX_PROV")</f>
        <v>#NAME?</v>
      </c>
      <c r="I1120" t="e">
        <f ca="1">BDP("956882RN Muni","FINANCING_TYPE")</f>
        <v>#NAME?</v>
      </c>
      <c r="J1120" t="e">
        <f ca="1">BDP("956882RN Muni","BICS_LEVEL_2_INDUSTRY_GROUP_NAME")</f>
        <v>#NAME?</v>
      </c>
      <c r="K1120" t="e">
        <f ca="1">BDP("956882RN Muni","SELF_REPRTD_GREEN_INSTR_INDCTR")</f>
        <v>#NAME?</v>
      </c>
      <c r="L1120" t="e">
        <f ca="1">BDP("956882RN Muni","GB_MANAGEMENT_PROCEEDS")</f>
        <v>#NAME?</v>
      </c>
      <c r="M1120" t="e">
        <f ca="1">BDP("956882RN Muni","GB_REPORTING")</f>
        <v>#NAME?</v>
      </c>
      <c r="N1120" t="e">
        <f ca="1">BDP("956882RN Muni","GB_ASSURANCE_PROVIDERS")</f>
        <v>#NAME?</v>
      </c>
      <c r="O1120" t="e">
        <f ca="1">BDP("956882RN Muni","GB_PROJECT_SELECTION_PROCESS")</f>
        <v>#NAME?</v>
      </c>
      <c r="P1120" t="e">
        <f ca="1">BDP("956882RN Muni","ESG_FRAMEWORK_INDICATOR")</f>
        <v>#NAME?</v>
      </c>
      <c r="Q1120" t="e">
        <f ca="1">BDP("956882RN Muni","BLOOMBERG_SECTOR_CODE")</f>
        <v>#NAME?</v>
      </c>
      <c r="R1120" t="e">
        <f ca="1">BDP("956882RN Muni","ISSUER_TYPE")</f>
        <v>#NAME?</v>
      </c>
      <c r="S1120" t="e">
        <f ca="1">BDS("956882RN Muni","ESG_PROJECT_CATEGORY", "aggregate=y")</f>
        <v>#NAME?</v>
      </c>
      <c r="T1120" t="e">
        <f ca="1">BDS("956882RN Muni","ESG_PROJECT_SUBCATEGORY", "aggregate=y")</f>
        <v>#NAME?</v>
      </c>
    </row>
    <row r="1121" spans="1:20" x14ac:dyDescent="0.25">
      <c r="A1121" t="e">
        <f ca="1">BDP("956882RP Muni","ID_CUSIP")</f>
        <v>#NAME?</v>
      </c>
      <c r="B1121" t="e">
        <f ca="1">BDP("956882RP Muni","STATE_CODE")</f>
        <v>#NAME?</v>
      </c>
      <c r="C1121" t="s">
        <v>76</v>
      </c>
      <c r="D1121" t="e">
        <f ca="1">BDP("956882RP Muni","YIELD_ON_ISSUE_DATE")</f>
        <v>#NAME?</v>
      </c>
      <c r="E1121">
        <v>320000</v>
      </c>
      <c r="F1121" t="e">
        <f ca="1">BDP("956882RP Muni","ISSUE_DT")</f>
        <v>#NAME?</v>
      </c>
      <c r="G1121" t="e">
        <f ca="1">BDP("956882RP Muni","MATURITY")</f>
        <v>#NAME?</v>
      </c>
      <c r="H1121" t="e">
        <f ca="1">BDP("956882RP Muni","MUNI_TAX_PROV")</f>
        <v>#NAME?</v>
      </c>
      <c r="I1121" t="e">
        <f ca="1">BDP("956882RP Muni","FINANCING_TYPE")</f>
        <v>#NAME?</v>
      </c>
      <c r="J1121" t="e">
        <f ca="1">BDP("956882RP Muni","BICS_LEVEL_2_INDUSTRY_GROUP_NAME")</f>
        <v>#NAME?</v>
      </c>
      <c r="K1121" t="e">
        <f ca="1">BDP("956882RP Muni","SELF_REPRTD_GREEN_INSTR_INDCTR")</f>
        <v>#NAME?</v>
      </c>
      <c r="L1121" t="e">
        <f ca="1">BDP("956882RP Muni","GB_MANAGEMENT_PROCEEDS")</f>
        <v>#NAME?</v>
      </c>
      <c r="M1121" t="e">
        <f ca="1">BDP("956882RP Muni","GB_REPORTING")</f>
        <v>#NAME?</v>
      </c>
      <c r="N1121" t="e">
        <f ca="1">BDP("956882RP Muni","GB_ASSURANCE_PROVIDERS")</f>
        <v>#NAME?</v>
      </c>
      <c r="O1121" t="e">
        <f ca="1">BDP("956882RP Muni","GB_PROJECT_SELECTION_PROCESS")</f>
        <v>#NAME?</v>
      </c>
      <c r="P1121" t="e">
        <f ca="1">BDP("956882RP Muni","ESG_FRAMEWORK_INDICATOR")</f>
        <v>#NAME?</v>
      </c>
      <c r="Q1121" t="e">
        <f ca="1">BDP("956882RP Muni","BLOOMBERG_SECTOR_CODE")</f>
        <v>#NAME?</v>
      </c>
      <c r="R1121" t="e">
        <f ca="1">BDP("956882RP Muni","ISSUER_TYPE")</f>
        <v>#NAME?</v>
      </c>
      <c r="S1121" t="e">
        <f ca="1">BDS("956882RP Muni","ESG_PROJECT_CATEGORY", "aggregate=y")</f>
        <v>#NAME?</v>
      </c>
      <c r="T1121" t="e">
        <f ca="1">BDS("956882RP Muni","ESG_PROJECT_SUBCATEGORY", "aggregate=y")</f>
        <v>#NAME?</v>
      </c>
    </row>
    <row r="1122" spans="1:20" x14ac:dyDescent="0.25">
      <c r="A1122" t="e">
        <f ca="1">BDP("956882RQ Muni","ID_CUSIP")</f>
        <v>#NAME?</v>
      </c>
      <c r="B1122" t="e">
        <f ca="1">BDP("956882RQ Muni","STATE_CODE")</f>
        <v>#NAME?</v>
      </c>
      <c r="C1122" t="s">
        <v>76</v>
      </c>
      <c r="D1122" t="e">
        <f ca="1">BDP("956882RQ Muni","YIELD_ON_ISSUE_DATE")</f>
        <v>#NAME?</v>
      </c>
      <c r="E1122">
        <v>350000</v>
      </c>
      <c r="F1122" t="e">
        <f ca="1">BDP("956882RQ Muni","ISSUE_DT")</f>
        <v>#NAME?</v>
      </c>
      <c r="G1122" t="e">
        <f ca="1">BDP("956882RQ Muni","MATURITY")</f>
        <v>#NAME?</v>
      </c>
      <c r="H1122" t="e">
        <f ca="1">BDP("956882RQ Muni","MUNI_TAX_PROV")</f>
        <v>#NAME?</v>
      </c>
      <c r="I1122" t="e">
        <f ca="1">BDP("956882RQ Muni","FINANCING_TYPE")</f>
        <v>#NAME?</v>
      </c>
      <c r="J1122" t="e">
        <f ca="1">BDP("956882RQ Muni","BICS_LEVEL_2_INDUSTRY_GROUP_NAME")</f>
        <v>#NAME?</v>
      </c>
      <c r="K1122" t="e">
        <f ca="1">BDP("956882RQ Muni","SELF_REPRTD_GREEN_INSTR_INDCTR")</f>
        <v>#NAME?</v>
      </c>
      <c r="L1122" t="e">
        <f ca="1">BDP("956882RQ Muni","GB_MANAGEMENT_PROCEEDS")</f>
        <v>#NAME?</v>
      </c>
      <c r="M1122" t="e">
        <f ca="1">BDP("956882RQ Muni","GB_REPORTING")</f>
        <v>#NAME?</v>
      </c>
      <c r="N1122" t="e">
        <f ca="1">BDP("956882RQ Muni","GB_ASSURANCE_PROVIDERS")</f>
        <v>#NAME?</v>
      </c>
      <c r="O1122" t="e">
        <f ca="1">BDP("956882RQ Muni","GB_PROJECT_SELECTION_PROCESS")</f>
        <v>#NAME?</v>
      </c>
      <c r="P1122" t="e">
        <f ca="1">BDP("956882RQ Muni","ESG_FRAMEWORK_INDICATOR")</f>
        <v>#NAME?</v>
      </c>
      <c r="Q1122" t="e">
        <f ca="1">BDP("956882RQ Muni","BLOOMBERG_SECTOR_CODE")</f>
        <v>#NAME?</v>
      </c>
      <c r="R1122" t="e">
        <f ca="1">BDP("956882RQ Muni","ISSUER_TYPE")</f>
        <v>#NAME?</v>
      </c>
      <c r="S1122" t="e">
        <f ca="1">BDS("956882RQ Muni","ESG_PROJECT_CATEGORY", "aggregate=y")</f>
        <v>#NAME?</v>
      </c>
      <c r="T1122" t="e">
        <f ca="1">BDS("956882RQ Muni","ESG_PROJECT_SUBCATEGORY", "aggregate=y")</f>
        <v>#NAME?</v>
      </c>
    </row>
    <row r="1123" spans="1:20" x14ac:dyDescent="0.25">
      <c r="A1123" t="e">
        <f ca="1">BDP("956882RR Muni","ID_CUSIP")</f>
        <v>#NAME?</v>
      </c>
      <c r="B1123" t="e">
        <f ca="1">BDP("956882RR Muni","STATE_CODE")</f>
        <v>#NAME?</v>
      </c>
      <c r="C1123" t="s">
        <v>76</v>
      </c>
      <c r="D1123" t="e">
        <f ca="1">BDP("956882RR Muni","YIELD_ON_ISSUE_DATE")</f>
        <v>#NAME?</v>
      </c>
      <c r="E1123">
        <v>380000</v>
      </c>
      <c r="F1123" t="e">
        <f ca="1">BDP("956882RR Muni","ISSUE_DT")</f>
        <v>#NAME?</v>
      </c>
      <c r="G1123" t="e">
        <f ca="1">BDP("956882RR Muni","MATURITY")</f>
        <v>#NAME?</v>
      </c>
      <c r="H1123" t="e">
        <f ca="1">BDP("956882RR Muni","MUNI_TAX_PROV")</f>
        <v>#NAME?</v>
      </c>
      <c r="I1123" t="e">
        <f ca="1">BDP("956882RR Muni","FINANCING_TYPE")</f>
        <v>#NAME?</v>
      </c>
      <c r="J1123" t="e">
        <f ca="1">BDP("956882RR Muni","BICS_LEVEL_2_INDUSTRY_GROUP_NAME")</f>
        <v>#NAME?</v>
      </c>
      <c r="K1123" t="e">
        <f ca="1">BDP("956882RR Muni","SELF_REPRTD_GREEN_INSTR_INDCTR")</f>
        <v>#NAME?</v>
      </c>
      <c r="L1123" t="e">
        <f ca="1">BDP("956882RR Muni","GB_MANAGEMENT_PROCEEDS")</f>
        <v>#NAME?</v>
      </c>
      <c r="M1123" t="e">
        <f ca="1">BDP("956882RR Muni","GB_REPORTING")</f>
        <v>#NAME?</v>
      </c>
      <c r="N1123" t="e">
        <f ca="1">BDP("956882RR Muni","GB_ASSURANCE_PROVIDERS")</f>
        <v>#NAME?</v>
      </c>
      <c r="O1123" t="e">
        <f ca="1">BDP("956882RR Muni","GB_PROJECT_SELECTION_PROCESS")</f>
        <v>#NAME?</v>
      </c>
      <c r="P1123" t="e">
        <f ca="1">BDP("956882RR Muni","ESG_FRAMEWORK_INDICATOR")</f>
        <v>#NAME?</v>
      </c>
      <c r="Q1123" t="e">
        <f ca="1">BDP("956882RR Muni","BLOOMBERG_SECTOR_CODE")</f>
        <v>#NAME?</v>
      </c>
      <c r="R1123" t="e">
        <f ca="1">BDP("956882RR Muni","ISSUER_TYPE")</f>
        <v>#NAME?</v>
      </c>
      <c r="S1123" t="e">
        <f ca="1">BDS("956882RR Muni","ESG_PROJECT_CATEGORY", "aggregate=y")</f>
        <v>#NAME?</v>
      </c>
      <c r="T1123" t="e">
        <f ca="1">BDS("956882RR Muni","ESG_PROJECT_SUBCATEGORY", "aggregate=y")</f>
        <v>#NAME?</v>
      </c>
    </row>
    <row r="1124" spans="1:20" x14ac:dyDescent="0.25">
      <c r="A1124" t="e">
        <f ca="1">BDP("956882RS Muni","ID_CUSIP")</f>
        <v>#NAME?</v>
      </c>
      <c r="B1124" t="e">
        <f ca="1">BDP("956882RS Muni","STATE_CODE")</f>
        <v>#NAME?</v>
      </c>
      <c r="C1124" t="s">
        <v>76</v>
      </c>
      <c r="D1124" t="e">
        <f ca="1">BDP("956882RS Muni","YIELD_ON_ISSUE_DATE")</f>
        <v>#NAME?</v>
      </c>
      <c r="E1124">
        <v>410000</v>
      </c>
      <c r="F1124" t="e">
        <f ca="1">BDP("956882RS Muni","ISSUE_DT")</f>
        <v>#NAME?</v>
      </c>
      <c r="G1124" t="e">
        <f ca="1">BDP("956882RS Muni","MATURITY")</f>
        <v>#NAME?</v>
      </c>
      <c r="H1124" t="e">
        <f ca="1">BDP("956882RS Muni","MUNI_TAX_PROV")</f>
        <v>#NAME?</v>
      </c>
      <c r="I1124" t="e">
        <f ca="1">BDP("956882RS Muni","FINANCING_TYPE")</f>
        <v>#NAME?</v>
      </c>
      <c r="J1124" t="e">
        <f ca="1">BDP("956882RS Muni","BICS_LEVEL_2_INDUSTRY_GROUP_NAME")</f>
        <v>#NAME?</v>
      </c>
      <c r="K1124" t="e">
        <f ca="1">BDP("956882RS Muni","SELF_REPRTD_GREEN_INSTR_INDCTR")</f>
        <v>#NAME?</v>
      </c>
      <c r="L1124" t="e">
        <f ca="1">BDP("956882RS Muni","GB_MANAGEMENT_PROCEEDS")</f>
        <v>#NAME?</v>
      </c>
      <c r="M1124" t="e">
        <f ca="1">BDP("956882RS Muni","GB_REPORTING")</f>
        <v>#NAME?</v>
      </c>
      <c r="N1124" t="e">
        <f ca="1">BDP("956882RS Muni","GB_ASSURANCE_PROVIDERS")</f>
        <v>#NAME?</v>
      </c>
      <c r="O1124" t="e">
        <f ca="1">BDP("956882RS Muni","GB_PROJECT_SELECTION_PROCESS")</f>
        <v>#NAME?</v>
      </c>
      <c r="P1124" t="e">
        <f ca="1">BDP("956882RS Muni","ESG_FRAMEWORK_INDICATOR")</f>
        <v>#NAME?</v>
      </c>
      <c r="Q1124" t="e">
        <f ca="1">BDP("956882RS Muni","BLOOMBERG_SECTOR_CODE")</f>
        <v>#NAME?</v>
      </c>
      <c r="R1124" t="e">
        <f ca="1">BDP("956882RS Muni","ISSUER_TYPE")</f>
        <v>#NAME?</v>
      </c>
      <c r="S1124" t="e">
        <f ca="1">BDS("956882RS Muni","ESG_PROJECT_CATEGORY", "aggregate=y")</f>
        <v>#NAME?</v>
      </c>
      <c r="T1124" t="e">
        <f ca="1">BDS("956882RS Muni","ESG_PROJECT_SUBCATEGORY", "aggregate=y")</f>
        <v>#NAME?</v>
      </c>
    </row>
    <row r="1125" spans="1:20" x14ac:dyDescent="0.25">
      <c r="A1125" t="e">
        <f ca="1">BDP("956882RT Muni","ID_CUSIP")</f>
        <v>#NAME?</v>
      </c>
      <c r="B1125" t="e">
        <f ca="1">BDP("956882RT Muni","STATE_CODE")</f>
        <v>#NAME?</v>
      </c>
      <c r="C1125" t="s">
        <v>76</v>
      </c>
      <c r="D1125" t="e">
        <f ca="1">BDP("956882RT Muni","YIELD_ON_ISSUE_DATE")</f>
        <v>#NAME?</v>
      </c>
      <c r="E1125">
        <v>440000</v>
      </c>
      <c r="F1125" t="e">
        <f ca="1">BDP("956882RT Muni","ISSUE_DT")</f>
        <v>#NAME?</v>
      </c>
      <c r="G1125" t="e">
        <f ca="1">BDP("956882RT Muni","MATURITY")</f>
        <v>#NAME?</v>
      </c>
      <c r="H1125" t="e">
        <f ca="1">BDP("956882RT Muni","MUNI_TAX_PROV")</f>
        <v>#NAME?</v>
      </c>
      <c r="I1125" t="e">
        <f ca="1">BDP("956882RT Muni","FINANCING_TYPE")</f>
        <v>#NAME?</v>
      </c>
      <c r="J1125" t="e">
        <f ca="1">BDP("956882RT Muni","BICS_LEVEL_2_INDUSTRY_GROUP_NAME")</f>
        <v>#NAME?</v>
      </c>
      <c r="K1125" t="e">
        <f ca="1">BDP("956882RT Muni","SELF_REPRTD_GREEN_INSTR_INDCTR")</f>
        <v>#NAME?</v>
      </c>
      <c r="L1125" t="e">
        <f ca="1">BDP("956882RT Muni","GB_MANAGEMENT_PROCEEDS")</f>
        <v>#NAME?</v>
      </c>
      <c r="M1125" t="e">
        <f ca="1">BDP("956882RT Muni","GB_REPORTING")</f>
        <v>#NAME?</v>
      </c>
      <c r="N1125" t="e">
        <f ca="1">BDP("956882RT Muni","GB_ASSURANCE_PROVIDERS")</f>
        <v>#NAME?</v>
      </c>
      <c r="O1125" t="e">
        <f ca="1">BDP("956882RT Muni","GB_PROJECT_SELECTION_PROCESS")</f>
        <v>#NAME?</v>
      </c>
      <c r="P1125" t="e">
        <f ca="1">BDP("956882RT Muni","ESG_FRAMEWORK_INDICATOR")</f>
        <v>#NAME?</v>
      </c>
      <c r="Q1125" t="e">
        <f ca="1">BDP("956882RT Muni","BLOOMBERG_SECTOR_CODE")</f>
        <v>#NAME?</v>
      </c>
      <c r="R1125" t="e">
        <f ca="1">BDP("956882RT Muni","ISSUER_TYPE")</f>
        <v>#NAME?</v>
      </c>
      <c r="S1125" t="e">
        <f ca="1">BDS("956882RT Muni","ESG_PROJECT_CATEGORY", "aggregate=y")</f>
        <v>#NAME?</v>
      </c>
      <c r="T1125" t="e">
        <f ca="1">BDS("956882RT Muni","ESG_PROJECT_SUBCATEGORY", "aggregate=y")</f>
        <v>#NAME?</v>
      </c>
    </row>
    <row r="1126" spans="1:20" x14ac:dyDescent="0.25">
      <c r="A1126" t="e">
        <f ca="1">BDP("956882RV Muni","ID_CUSIP")</f>
        <v>#NAME?</v>
      </c>
      <c r="B1126" t="e">
        <f ca="1">BDP("956882RV Muni","STATE_CODE")</f>
        <v>#NAME?</v>
      </c>
      <c r="C1126" t="s">
        <v>76</v>
      </c>
      <c r="D1126" t="e">
        <f ca="1">BDP("956882RV Muni","YIELD_ON_ISSUE_DATE")</f>
        <v>#NAME?</v>
      </c>
      <c r="E1126">
        <v>500000</v>
      </c>
      <c r="F1126" t="e">
        <f ca="1">BDP("956882RV Muni","ISSUE_DT")</f>
        <v>#NAME?</v>
      </c>
      <c r="G1126" t="e">
        <f ca="1">BDP("956882RV Muni","MATURITY")</f>
        <v>#NAME?</v>
      </c>
      <c r="H1126" t="e">
        <f ca="1">BDP("956882RV Muni","MUNI_TAX_PROV")</f>
        <v>#NAME?</v>
      </c>
      <c r="I1126" t="e">
        <f ca="1">BDP("956882RV Muni","FINANCING_TYPE")</f>
        <v>#NAME?</v>
      </c>
      <c r="J1126" t="e">
        <f ca="1">BDP("956882RV Muni","BICS_LEVEL_2_INDUSTRY_GROUP_NAME")</f>
        <v>#NAME?</v>
      </c>
      <c r="K1126" t="e">
        <f ca="1">BDP("956882RV Muni","SELF_REPRTD_GREEN_INSTR_INDCTR")</f>
        <v>#NAME?</v>
      </c>
      <c r="L1126" t="e">
        <f ca="1">BDP("956882RV Muni","GB_MANAGEMENT_PROCEEDS")</f>
        <v>#NAME?</v>
      </c>
      <c r="M1126" t="e">
        <f ca="1">BDP("956882RV Muni","GB_REPORTING")</f>
        <v>#NAME?</v>
      </c>
      <c r="N1126" t="e">
        <f ca="1">BDP("956882RV Muni","GB_ASSURANCE_PROVIDERS")</f>
        <v>#NAME?</v>
      </c>
      <c r="O1126" t="e">
        <f ca="1">BDP("956882RV Muni","GB_PROJECT_SELECTION_PROCESS")</f>
        <v>#NAME?</v>
      </c>
      <c r="P1126" t="e">
        <f ca="1">BDP("956882RV Muni","ESG_FRAMEWORK_INDICATOR")</f>
        <v>#NAME?</v>
      </c>
      <c r="Q1126" t="e">
        <f ca="1">BDP("956882RV Muni","BLOOMBERG_SECTOR_CODE")</f>
        <v>#NAME?</v>
      </c>
      <c r="R1126" t="e">
        <f ca="1">BDP("956882RV Muni","ISSUER_TYPE")</f>
        <v>#NAME?</v>
      </c>
      <c r="S1126" t="e">
        <f ca="1">BDS("956882RV Muni","ESG_PROJECT_CATEGORY", "aggregate=y")</f>
        <v>#NAME?</v>
      </c>
      <c r="T1126" t="e">
        <f ca="1">BDS("956882RV Muni","ESG_PROJECT_SUBCATEGORY", "aggregate=y")</f>
        <v>#NAME?</v>
      </c>
    </row>
    <row r="1127" spans="1:20" x14ac:dyDescent="0.25">
      <c r="A1127" t="e">
        <f ca="1">BDP("956882SC Muni","ID_CUSIP")</f>
        <v>#NAME?</v>
      </c>
      <c r="B1127" t="e">
        <f ca="1">BDP("956882SC Muni","STATE_CODE")</f>
        <v>#NAME?</v>
      </c>
      <c r="C1127" t="s">
        <v>76</v>
      </c>
      <c r="D1127" t="e">
        <f ca="1">BDP("956882SC Muni","YIELD_ON_ISSUE_DATE")</f>
        <v>#NAME?</v>
      </c>
      <c r="E1127">
        <v>160000</v>
      </c>
      <c r="F1127" t="e">
        <f ca="1">BDP("956882SC Muni","ISSUE_DT")</f>
        <v>#NAME?</v>
      </c>
      <c r="G1127" t="e">
        <f ca="1">BDP("956882SC Muni","MATURITY")</f>
        <v>#NAME?</v>
      </c>
      <c r="H1127" t="e">
        <f ca="1">BDP("956882SC Muni","MUNI_TAX_PROV")</f>
        <v>#NAME?</v>
      </c>
      <c r="I1127" t="e">
        <f ca="1">BDP("956882SC Muni","FINANCING_TYPE")</f>
        <v>#NAME?</v>
      </c>
      <c r="J1127" t="e">
        <f ca="1">BDP("956882SC Muni","BICS_LEVEL_2_INDUSTRY_GROUP_NAME")</f>
        <v>#NAME?</v>
      </c>
      <c r="K1127" t="e">
        <f ca="1">BDP("956882SC Muni","SELF_REPRTD_GREEN_INSTR_INDCTR")</f>
        <v>#NAME?</v>
      </c>
      <c r="L1127" t="e">
        <f ca="1">BDP("956882SC Muni","GB_MANAGEMENT_PROCEEDS")</f>
        <v>#NAME?</v>
      </c>
      <c r="M1127" t="e">
        <f ca="1">BDP("956882SC Muni","GB_REPORTING")</f>
        <v>#NAME?</v>
      </c>
      <c r="N1127" t="e">
        <f ca="1">BDP("956882SC Muni","GB_ASSURANCE_PROVIDERS")</f>
        <v>#NAME?</v>
      </c>
      <c r="O1127" t="e">
        <f ca="1">BDP("956882SC Muni","GB_PROJECT_SELECTION_PROCESS")</f>
        <v>#NAME?</v>
      </c>
      <c r="P1127" t="e">
        <f ca="1">BDP("956882SC Muni","ESG_FRAMEWORK_INDICATOR")</f>
        <v>#NAME?</v>
      </c>
      <c r="Q1127" t="e">
        <f ca="1">BDP("956882SC Muni","BLOOMBERG_SECTOR_CODE")</f>
        <v>#NAME?</v>
      </c>
      <c r="R1127" t="e">
        <f ca="1">BDP("956882SC Muni","ISSUER_TYPE")</f>
        <v>#NAME?</v>
      </c>
      <c r="S1127" t="e">
        <f ca="1">BDS("956882SC Muni","ESG_PROJECT_CATEGORY", "aggregate=y")</f>
        <v>#NAME?</v>
      </c>
      <c r="T1127" t="e">
        <f ca="1">BDS("956882SC Muni","ESG_PROJECT_SUBCATEGORY", "aggregate=y")</f>
        <v>#NAME?</v>
      </c>
    </row>
    <row r="1128" spans="1:20" x14ac:dyDescent="0.25">
      <c r="A1128" t="e">
        <f ca="1">BDP("956882SD Muni","ID_CUSIP")</f>
        <v>#NAME?</v>
      </c>
      <c r="B1128" t="e">
        <f ca="1">BDP("956882SD Muni","STATE_CODE")</f>
        <v>#NAME?</v>
      </c>
      <c r="C1128" t="s">
        <v>76</v>
      </c>
      <c r="D1128" t="e">
        <f ca="1">BDP("956882SD Muni","YIELD_ON_ISSUE_DATE")</f>
        <v>#NAME?</v>
      </c>
      <c r="E1128">
        <v>175000</v>
      </c>
      <c r="F1128" t="e">
        <f ca="1">BDP("956882SD Muni","ISSUE_DT")</f>
        <v>#NAME?</v>
      </c>
      <c r="G1128" t="e">
        <f ca="1">BDP("956882SD Muni","MATURITY")</f>
        <v>#NAME?</v>
      </c>
      <c r="H1128" t="e">
        <f ca="1">BDP("956882SD Muni","MUNI_TAX_PROV")</f>
        <v>#NAME?</v>
      </c>
      <c r="I1128" t="e">
        <f ca="1">BDP("956882SD Muni","FINANCING_TYPE")</f>
        <v>#NAME?</v>
      </c>
      <c r="J1128" t="e">
        <f ca="1">BDP("956882SD Muni","BICS_LEVEL_2_INDUSTRY_GROUP_NAME")</f>
        <v>#NAME?</v>
      </c>
      <c r="K1128" t="e">
        <f ca="1">BDP("956882SD Muni","SELF_REPRTD_GREEN_INSTR_INDCTR")</f>
        <v>#NAME?</v>
      </c>
      <c r="L1128" t="e">
        <f ca="1">BDP("956882SD Muni","GB_MANAGEMENT_PROCEEDS")</f>
        <v>#NAME?</v>
      </c>
      <c r="M1128" t="e">
        <f ca="1">BDP("956882SD Muni","GB_REPORTING")</f>
        <v>#NAME?</v>
      </c>
      <c r="N1128" t="e">
        <f ca="1">BDP("956882SD Muni","GB_ASSURANCE_PROVIDERS")</f>
        <v>#NAME?</v>
      </c>
      <c r="O1128" t="e">
        <f ca="1">BDP("956882SD Muni","GB_PROJECT_SELECTION_PROCESS")</f>
        <v>#NAME?</v>
      </c>
      <c r="P1128" t="e">
        <f ca="1">BDP("956882SD Muni","ESG_FRAMEWORK_INDICATOR")</f>
        <v>#NAME?</v>
      </c>
      <c r="Q1128" t="e">
        <f ca="1">BDP("956882SD Muni","BLOOMBERG_SECTOR_CODE")</f>
        <v>#NAME?</v>
      </c>
      <c r="R1128" t="e">
        <f ca="1">BDP("956882SD Muni","ISSUER_TYPE")</f>
        <v>#NAME?</v>
      </c>
      <c r="S1128" t="e">
        <f ca="1">BDS("956882SD Muni","ESG_PROJECT_CATEGORY", "aggregate=y")</f>
        <v>#NAME?</v>
      </c>
      <c r="T1128" t="e">
        <f ca="1">BDS("956882SD Muni","ESG_PROJECT_SUBCATEGORY", "aggregate=y")</f>
        <v>#NAME?</v>
      </c>
    </row>
    <row r="1129" spans="1:20" x14ac:dyDescent="0.25">
      <c r="A1129" t="e">
        <f ca="1">BDP("956882SF Muni","ID_CUSIP")</f>
        <v>#NAME?</v>
      </c>
      <c r="B1129" t="e">
        <f ca="1">BDP("956882SF Muni","STATE_CODE")</f>
        <v>#NAME?</v>
      </c>
      <c r="C1129" t="s">
        <v>76</v>
      </c>
      <c r="D1129" t="e">
        <f ca="1">BDP("956882SF Muni","YIELD_ON_ISSUE_DATE")</f>
        <v>#NAME?</v>
      </c>
      <c r="E1129">
        <v>195000</v>
      </c>
      <c r="F1129" t="e">
        <f ca="1">BDP("956882SF Muni","ISSUE_DT")</f>
        <v>#NAME?</v>
      </c>
      <c r="G1129" t="e">
        <f ca="1">BDP("956882SF Muni","MATURITY")</f>
        <v>#NAME?</v>
      </c>
      <c r="H1129" t="e">
        <f ca="1">BDP("956882SF Muni","MUNI_TAX_PROV")</f>
        <v>#NAME?</v>
      </c>
      <c r="I1129" t="e">
        <f ca="1">BDP("956882SF Muni","FINANCING_TYPE")</f>
        <v>#NAME?</v>
      </c>
      <c r="J1129" t="e">
        <f ca="1">BDP("956882SF Muni","BICS_LEVEL_2_INDUSTRY_GROUP_NAME")</f>
        <v>#NAME?</v>
      </c>
      <c r="K1129" t="e">
        <f ca="1">BDP("956882SF Muni","SELF_REPRTD_GREEN_INSTR_INDCTR")</f>
        <v>#NAME?</v>
      </c>
      <c r="L1129" t="e">
        <f ca="1">BDP("956882SF Muni","GB_MANAGEMENT_PROCEEDS")</f>
        <v>#NAME?</v>
      </c>
      <c r="M1129" t="e">
        <f ca="1">BDP("956882SF Muni","GB_REPORTING")</f>
        <v>#NAME?</v>
      </c>
      <c r="N1129" t="e">
        <f ca="1">BDP("956882SF Muni","GB_ASSURANCE_PROVIDERS")</f>
        <v>#NAME?</v>
      </c>
      <c r="O1129" t="e">
        <f ca="1">BDP("956882SF Muni","GB_PROJECT_SELECTION_PROCESS")</f>
        <v>#NAME?</v>
      </c>
      <c r="P1129" t="e">
        <f ca="1">BDP("956882SF Muni","ESG_FRAMEWORK_INDICATOR")</f>
        <v>#NAME?</v>
      </c>
      <c r="Q1129" t="e">
        <f ca="1">BDP("956882SF Muni","BLOOMBERG_SECTOR_CODE")</f>
        <v>#NAME?</v>
      </c>
      <c r="R1129" t="e">
        <f ca="1">BDP("956882SF Muni","ISSUER_TYPE")</f>
        <v>#NAME?</v>
      </c>
      <c r="S1129" t="e">
        <f ca="1">BDS("956882SF Muni","ESG_PROJECT_CATEGORY", "aggregate=y")</f>
        <v>#NAME?</v>
      </c>
      <c r="T1129" t="e">
        <f ca="1">BDS("956882SF Muni","ESG_PROJECT_SUBCATEGORY", "aggregate=y")</f>
        <v>#NAME?</v>
      </c>
    </row>
    <row r="1130" spans="1:20" x14ac:dyDescent="0.25">
      <c r="A1130" t="e">
        <f ca="1">BDP("915710CH Muni","ID_CUSIP")</f>
        <v>#NAME?</v>
      </c>
      <c r="B1130" t="e">
        <f ca="1">BDP("915710CH Muni","STATE_CODE")</f>
        <v>#NAME?</v>
      </c>
      <c r="C1130" t="s">
        <v>73</v>
      </c>
      <c r="D1130" t="e">
        <f ca="1">BDP("915710CH Muni","YIELD_ON_ISSUE_DATE")</f>
        <v>#NAME?</v>
      </c>
      <c r="E1130">
        <v>140000</v>
      </c>
      <c r="F1130" t="e">
        <f ca="1">BDP("915710CH Muni","ISSUE_DT")</f>
        <v>#NAME?</v>
      </c>
      <c r="G1130" t="e">
        <f ca="1">BDP("915710CH Muni","MATURITY")</f>
        <v>#NAME?</v>
      </c>
      <c r="H1130" t="e">
        <f ca="1">BDP("915710CH Muni","MUNI_TAX_PROV")</f>
        <v>#NAME?</v>
      </c>
      <c r="I1130" t="e">
        <f ca="1">BDP("915710CH Muni","FINANCING_TYPE")</f>
        <v>#NAME?</v>
      </c>
      <c r="J1130" t="e">
        <f ca="1">BDP("915710CH Muni","BICS_LEVEL_2_INDUSTRY_GROUP_NAME")</f>
        <v>#NAME?</v>
      </c>
      <c r="K1130" t="e">
        <f ca="1">BDP("915710CH Muni","SELF_REPRTD_GREEN_INSTR_INDCTR")</f>
        <v>#NAME?</v>
      </c>
      <c r="L1130" t="e">
        <f ca="1">BDP("915710CH Muni","GB_MANAGEMENT_PROCEEDS")</f>
        <v>#NAME?</v>
      </c>
      <c r="M1130" t="e">
        <f ca="1">BDP("915710CH Muni","GB_REPORTING")</f>
        <v>#NAME?</v>
      </c>
      <c r="N1130" t="e">
        <f ca="1">BDP("915710CH Muni","GB_ASSURANCE_PROVIDERS")</f>
        <v>#NAME?</v>
      </c>
      <c r="O1130" t="e">
        <f ca="1">BDP("915710CH Muni","GB_PROJECT_SELECTION_PROCESS")</f>
        <v>#NAME?</v>
      </c>
      <c r="P1130" t="e">
        <f ca="1">BDP("915710CH Muni","ESG_FRAMEWORK_INDICATOR")</f>
        <v>#NAME?</v>
      </c>
      <c r="Q1130" t="e">
        <f ca="1">BDP("915710CH Muni","BLOOMBERG_SECTOR_CODE")</f>
        <v>#NAME?</v>
      </c>
      <c r="R1130" t="e">
        <f ca="1">BDP("915710CH Muni","ISSUER_TYPE")</f>
        <v>#NAME?</v>
      </c>
      <c r="S1130" t="e">
        <f ca="1">BDS("915710CH Muni","ESG_PROJECT_CATEGORY", "aggregate=y")</f>
        <v>#NAME?</v>
      </c>
      <c r="T1130" t="e">
        <f ca="1">BDS("915710CH Muni","ESG_PROJECT_SUBCATEGORY", "aggregate=y")</f>
        <v>#NAME?</v>
      </c>
    </row>
    <row r="1131" spans="1:20" x14ac:dyDescent="0.25">
      <c r="A1131" t="e">
        <f ca="1">BDP("956882RM Muni","ID_CUSIP")</f>
        <v>#NAME?</v>
      </c>
      <c r="B1131" t="e">
        <f ca="1">BDP("956882RM Muni","STATE_CODE")</f>
        <v>#NAME?</v>
      </c>
      <c r="C1131" t="s">
        <v>76</v>
      </c>
      <c r="D1131" t="e">
        <f ca="1">BDP("956882RM Muni","YIELD_ON_ISSUE_DATE")</f>
        <v>#NAME?</v>
      </c>
      <c r="E1131">
        <v>780000</v>
      </c>
      <c r="F1131" t="e">
        <f ca="1">BDP("956882RM Muni","ISSUE_DT")</f>
        <v>#NAME?</v>
      </c>
      <c r="G1131" t="e">
        <f ca="1">BDP("956882RM Muni","MATURITY")</f>
        <v>#NAME?</v>
      </c>
      <c r="H1131" t="e">
        <f ca="1">BDP("956882RM Muni","MUNI_TAX_PROV")</f>
        <v>#NAME?</v>
      </c>
      <c r="I1131" t="e">
        <f ca="1">BDP("956882RM Muni","FINANCING_TYPE")</f>
        <v>#NAME?</v>
      </c>
      <c r="J1131" t="e">
        <f ca="1">BDP("956882RM Muni","BICS_LEVEL_2_INDUSTRY_GROUP_NAME")</f>
        <v>#NAME?</v>
      </c>
      <c r="K1131" t="e">
        <f ca="1">BDP("956882RM Muni","SELF_REPRTD_GREEN_INSTR_INDCTR")</f>
        <v>#NAME?</v>
      </c>
      <c r="L1131" t="e">
        <f ca="1">BDP("956882RM Muni","GB_MANAGEMENT_PROCEEDS")</f>
        <v>#NAME?</v>
      </c>
      <c r="M1131" t="e">
        <f ca="1">BDP("956882RM Muni","GB_REPORTING")</f>
        <v>#NAME?</v>
      </c>
      <c r="N1131" t="e">
        <f ca="1">BDP("956882RM Muni","GB_ASSURANCE_PROVIDERS")</f>
        <v>#NAME?</v>
      </c>
      <c r="O1131" t="e">
        <f ca="1">BDP("956882RM Muni","GB_PROJECT_SELECTION_PROCESS")</f>
        <v>#NAME?</v>
      </c>
      <c r="P1131" t="e">
        <f ca="1">BDP("956882RM Muni","ESG_FRAMEWORK_INDICATOR")</f>
        <v>#NAME?</v>
      </c>
      <c r="Q1131" t="e">
        <f ca="1">BDP("956882RM Muni","BLOOMBERG_SECTOR_CODE")</f>
        <v>#NAME?</v>
      </c>
      <c r="R1131" t="e">
        <f ca="1">BDP("956882RM Muni","ISSUER_TYPE")</f>
        <v>#NAME?</v>
      </c>
      <c r="S1131" t="e">
        <f ca="1">BDS("956882RM Muni","ESG_PROJECT_CATEGORY", "aggregate=y")</f>
        <v>#NAME?</v>
      </c>
      <c r="T1131" t="e">
        <f ca="1">BDS("956882RM Muni","ESG_PROJECT_SUBCATEGORY", "aggregate=y")</f>
        <v>#NAME?</v>
      </c>
    </row>
    <row r="1132" spans="1:20" x14ac:dyDescent="0.25">
      <c r="A1132" t="e">
        <f ca="1">BDP("224525HZ Muni","ID_CUSIP")</f>
        <v>#NAME?</v>
      </c>
      <c r="B1132" t="e">
        <f ca="1">BDP("224525HZ Muni","STATE_CODE")</f>
        <v>#NAME?</v>
      </c>
      <c r="C1132" t="s">
        <v>77</v>
      </c>
      <c r="D1132" t="e">
        <f ca="1">BDP("224525HZ Muni","YIELD_ON_ISSUE_DATE")</f>
        <v>#NAME?</v>
      </c>
      <c r="E1132">
        <v>390000</v>
      </c>
      <c r="F1132" t="e">
        <f ca="1">BDP("224525HZ Muni","ISSUE_DT")</f>
        <v>#NAME?</v>
      </c>
      <c r="G1132" t="e">
        <f ca="1">BDP("224525HZ Muni","MATURITY")</f>
        <v>#NAME?</v>
      </c>
      <c r="H1132" t="e">
        <f ca="1">BDP("224525HZ Muni","MUNI_TAX_PROV")</f>
        <v>#NAME?</v>
      </c>
      <c r="I1132" t="e">
        <f ca="1">BDP("224525HZ Muni","FINANCING_TYPE")</f>
        <v>#NAME?</v>
      </c>
      <c r="J1132" t="e">
        <f ca="1">BDP("224525HZ Muni","BICS_LEVEL_2_INDUSTRY_GROUP_NAME")</f>
        <v>#NAME?</v>
      </c>
      <c r="K1132" t="e">
        <f ca="1">BDP("224525HZ Muni","SELF_REPRTD_GREEN_INSTR_INDCTR")</f>
        <v>#NAME?</v>
      </c>
      <c r="L1132" t="e">
        <f ca="1">BDP("224525HZ Muni","GB_MANAGEMENT_PROCEEDS")</f>
        <v>#NAME?</v>
      </c>
      <c r="M1132" t="e">
        <f ca="1">BDP("224525HZ Muni","GB_REPORTING")</f>
        <v>#NAME?</v>
      </c>
      <c r="N1132" t="e">
        <f ca="1">BDP("224525HZ Muni","GB_ASSURANCE_PROVIDERS")</f>
        <v>#NAME?</v>
      </c>
      <c r="O1132" t="e">
        <f ca="1">BDP("224525HZ Muni","GB_PROJECT_SELECTION_PROCESS")</f>
        <v>#NAME?</v>
      </c>
      <c r="P1132" t="e">
        <f ca="1">BDP("224525HZ Muni","ESG_FRAMEWORK_INDICATOR")</f>
        <v>#NAME?</v>
      </c>
      <c r="Q1132" t="e">
        <f ca="1">BDP("224525HZ Muni","BLOOMBERG_SECTOR_CODE")</f>
        <v>#NAME?</v>
      </c>
      <c r="R1132" t="e">
        <f ca="1">BDP("224525HZ Muni","ISSUER_TYPE")</f>
        <v>#NAME?</v>
      </c>
      <c r="S1132" t="e">
        <f ca="1">BDS("224525HZ Muni","ESG_PROJECT_CATEGORY", "aggregate=y")</f>
        <v>#NAME?</v>
      </c>
      <c r="T1132" t="e">
        <f ca="1">BDS("224525HZ Muni","ESG_PROJECT_SUBCATEGORY", "aggregate=y")</f>
        <v>#NAME?</v>
      </c>
    </row>
    <row r="1133" spans="1:20" x14ac:dyDescent="0.25">
      <c r="A1133" t="e">
        <f ca="1">BDP("224525JD Muni","ID_CUSIP")</f>
        <v>#NAME?</v>
      </c>
      <c r="B1133" t="e">
        <f ca="1">BDP("224525JD Muni","STATE_CODE")</f>
        <v>#NAME?</v>
      </c>
      <c r="C1133" t="s">
        <v>77</v>
      </c>
      <c r="D1133" t="e">
        <f ca="1">BDP("224525JD Muni","YIELD_ON_ISSUE_DATE")</f>
        <v>#NAME?</v>
      </c>
      <c r="E1133">
        <v>515000</v>
      </c>
      <c r="F1133" t="e">
        <f ca="1">BDP("224525JD Muni","ISSUE_DT")</f>
        <v>#NAME?</v>
      </c>
      <c r="G1133" t="e">
        <f ca="1">BDP("224525JD Muni","MATURITY")</f>
        <v>#NAME?</v>
      </c>
      <c r="H1133" t="e">
        <f ca="1">BDP("224525JD Muni","MUNI_TAX_PROV")</f>
        <v>#NAME?</v>
      </c>
      <c r="I1133" t="e">
        <f ca="1">BDP("224525JD Muni","FINANCING_TYPE")</f>
        <v>#NAME?</v>
      </c>
      <c r="J1133" t="e">
        <f ca="1">BDP("224525JD Muni","BICS_LEVEL_2_INDUSTRY_GROUP_NAME")</f>
        <v>#NAME?</v>
      </c>
      <c r="K1133" t="e">
        <f ca="1">BDP("224525JD Muni","SELF_REPRTD_GREEN_INSTR_INDCTR")</f>
        <v>#NAME?</v>
      </c>
      <c r="L1133" t="e">
        <f ca="1">BDP("224525JD Muni","GB_MANAGEMENT_PROCEEDS")</f>
        <v>#NAME?</v>
      </c>
      <c r="M1133" t="e">
        <f ca="1">BDP("224525JD Muni","GB_REPORTING")</f>
        <v>#NAME?</v>
      </c>
      <c r="N1133" t="e">
        <f ca="1">BDP("224525JD Muni","GB_ASSURANCE_PROVIDERS")</f>
        <v>#NAME?</v>
      </c>
      <c r="O1133" t="e">
        <f ca="1">BDP("224525JD Muni","GB_PROJECT_SELECTION_PROCESS")</f>
        <v>#NAME?</v>
      </c>
      <c r="P1133" t="e">
        <f ca="1">BDP("224525JD Muni","ESG_FRAMEWORK_INDICATOR")</f>
        <v>#NAME?</v>
      </c>
      <c r="Q1133" t="e">
        <f ca="1">BDP("224525JD Muni","BLOOMBERG_SECTOR_CODE")</f>
        <v>#NAME?</v>
      </c>
      <c r="R1133" t="e">
        <f ca="1">BDP("224525JD Muni","ISSUER_TYPE")</f>
        <v>#NAME?</v>
      </c>
      <c r="S1133" t="e">
        <f ca="1">BDS("224525JD Muni","ESG_PROJECT_CATEGORY", "aggregate=y")</f>
        <v>#NAME?</v>
      </c>
      <c r="T1133" t="e">
        <f ca="1">BDS("224525JD Muni","ESG_PROJECT_SUBCATEGORY", "aggregate=y")</f>
        <v>#NAME?</v>
      </c>
    </row>
    <row r="1134" spans="1:20" x14ac:dyDescent="0.25">
      <c r="A1134" t="e">
        <f ca="1">BDP("290096BU Muni","ID_CUSIP")</f>
        <v>#NAME?</v>
      </c>
      <c r="B1134" t="e">
        <f ca="1">BDP("290096BU Muni","STATE_CODE")</f>
        <v>#NAME?</v>
      </c>
      <c r="C1134" t="s">
        <v>78</v>
      </c>
      <c r="D1134" t="e">
        <f ca="1">BDP("290096BU Muni","YIELD_ON_ISSUE_DATE")</f>
        <v>#NAME?</v>
      </c>
      <c r="E1134">
        <v>365000</v>
      </c>
      <c r="F1134" t="e">
        <f ca="1">BDP("290096BU Muni","ISSUE_DT")</f>
        <v>#NAME?</v>
      </c>
      <c r="G1134" t="e">
        <f ca="1">BDP("290096BU Muni","MATURITY")</f>
        <v>#NAME?</v>
      </c>
      <c r="H1134" t="e">
        <f ca="1">BDP("290096BU Muni","MUNI_TAX_PROV")</f>
        <v>#NAME?</v>
      </c>
      <c r="I1134" t="e">
        <f ca="1">BDP("290096BU Muni","FINANCING_TYPE")</f>
        <v>#NAME?</v>
      </c>
      <c r="J1134" t="e">
        <f ca="1">BDP("290096BU Muni","BICS_LEVEL_2_INDUSTRY_GROUP_NAME")</f>
        <v>#NAME?</v>
      </c>
      <c r="K1134" t="e">
        <f ca="1">BDP("290096BU Muni","SELF_REPRTD_GREEN_INSTR_INDCTR")</f>
        <v>#NAME?</v>
      </c>
      <c r="L1134" t="e">
        <f ca="1">BDP("290096BU Muni","GB_MANAGEMENT_PROCEEDS")</f>
        <v>#NAME?</v>
      </c>
      <c r="M1134" t="e">
        <f ca="1">BDP("290096BU Muni","GB_REPORTING")</f>
        <v>#NAME?</v>
      </c>
      <c r="N1134" t="e">
        <f ca="1">BDP("290096BU Muni","GB_ASSURANCE_PROVIDERS")</f>
        <v>#NAME?</v>
      </c>
      <c r="O1134" t="e">
        <f ca="1">BDP("290096BU Muni","GB_PROJECT_SELECTION_PROCESS")</f>
        <v>#NAME?</v>
      </c>
      <c r="P1134" t="e">
        <f ca="1">BDP("290096BU Muni","ESG_FRAMEWORK_INDICATOR")</f>
        <v>#NAME?</v>
      </c>
      <c r="Q1134" t="e">
        <f ca="1">BDP("290096BU Muni","BLOOMBERG_SECTOR_CODE")</f>
        <v>#NAME?</v>
      </c>
      <c r="R1134" t="e">
        <f ca="1">BDP("290096BU Muni","ISSUER_TYPE")</f>
        <v>#NAME?</v>
      </c>
      <c r="S1134" t="e">
        <f ca="1">BDS("290096BU Muni","ESG_PROJECT_CATEGORY", "aggregate=y")</f>
        <v>#NAME?</v>
      </c>
      <c r="T1134" t="e">
        <f ca="1">BDS("290096BU Muni","ESG_PROJECT_SUBCATEGORY", "aggregate=y")</f>
        <v>#NAME?</v>
      </c>
    </row>
    <row r="1135" spans="1:20" x14ac:dyDescent="0.25">
      <c r="A1135" t="e">
        <f ca="1">BDP("290096BY Muni","ID_CUSIP")</f>
        <v>#NAME?</v>
      </c>
      <c r="B1135" t="e">
        <f ca="1">BDP("290096BY Muni","STATE_CODE")</f>
        <v>#NAME?</v>
      </c>
      <c r="C1135" t="s">
        <v>78</v>
      </c>
      <c r="D1135" t="e">
        <f ca="1">BDP("290096BY Muni","YIELD_ON_ISSUE_DATE")</f>
        <v>#NAME?</v>
      </c>
      <c r="E1135">
        <v>130000</v>
      </c>
      <c r="F1135" t="e">
        <f ca="1">BDP("290096BY Muni","ISSUE_DT")</f>
        <v>#NAME?</v>
      </c>
      <c r="G1135" t="e">
        <f ca="1">BDP("290096BY Muni","MATURITY")</f>
        <v>#NAME?</v>
      </c>
      <c r="H1135" t="e">
        <f ca="1">BDP("290096BY Muni","MUNI_TAX_PROV")</f>
        <v>#NAME?</v>
      </c>
      <c r="I1135" t="e">
        <f ca="1">BDP("290096BY Muni","FINANCING_TYPE")</f>
        <v>#NAME?</v>
      </c>
      <c r="J1135" t="e">
        <f ca="1">BDP("290096BY Muni","BICS_LEVEL_2_INDUSTRY_GROUP_NAME")</f>
        <v>#NAME?</v>
      </c>
      <c r="K1135" t="e">
        <f ca="1">BDP("290096BY Muni","SELF_REPRTD_GREEN_INSTR_INDCTR")</f>
        <v>#NAME?</v>
      </c>
      <c r="L1135" t="e">
        <f ca="1">BDP("290096BY Muni","GB_MANAGEMENT_PROCEEDS")</f>
        <v>#NAME?</v>
      </c>
      <c r="M1135" t="e">
        <f ca="1">BDP("290096BY Muni","GB_REPORTING")</f>
        <v>#NAME?</v>
      </c>
      <c r="N1135" t="e">
        <f ca="1">BDP("290096BY Muni","GB_ASSURANCE_PROVIDERS")</f>
        <v>#NAME?</v>
      </c>
      <c r="O1135" t="e">
        <f ca="1">BDP("290096BY Muni","GB_PROJECT_SELECTION_PROCESS")</f>
        <v>#NAME?</v>
      </c>
      <c r="P1135" t="e">
        <f ca="1">BDP("290096BY Muni","ESG_FRAMEWORK_INDICATOR")</f>
        <v>#NAME?</v>
      </c>
      <c r="Q1135" t="e">
        <f ca="1">BDP("290096BY Muni","BLOOMBERG_SECTOR_CODE")</f>
        <v>#NAME?</v>
      </c>
      <c r="R1135" t="e">
        <f ca="1">BDP("290096BY Muni","ISSUER_TYPE")</f>
        <v>#NAME?</v>
      </c>
      <c r="S1135" t="e">
        <f ca="1">BDS("290096BY Muni","ESG_PROJECT_CATEGORY", "aggregate=y")</f>
        <v>#NAME?</v>
      </c>
      <c r="T1135" t="e">
        <f ca="1">BDS("290096BY Muni","ESG_PROJECT_SUBCATEGORY", "aggregate=y")</f>
        <v>#NAME?</v>
      </c>
    </row>
    <row r="1136" spans="1:20" x14ac:dyDescent="0.25">
      <c r="A1136" t="e">
        <f ca="1">BDP("290096CB Muni","ID_CUSIP")</f>
        <v>#NAME?</v>
      </c>
      <c r="B1136" t="e">
        <f ca="1">BDP("290096CB Muni","STATE_CODE")</f>
        <v>#NAME?</v>
      </c>
      <c r="C1136" t="s">
        <v>78</v>
      </c>
      <c r="D1136" t="e">
        <f ca="1">BDP("290096CB Muni","YIELD_ON_ISSUE_DATE")</f>
        <v>#NAME?</v>
      </c>
      <c r="E1136">
        <v>165000</v>
      </c>
      <c r="F1136" t="e">
        <f ca="1">BDP("290096CB Muni","ISSUE_DT")</f>
        <v>#NAME?</v>
      </c>
      <c r="G1136" t="e">
        <f ca="1">BDP("290096CB Muni","MATURITY")</f>
        <v>#NAME?</v>
      </c>
      <c r="H1136" t="e">
        <f ca="1">BDP("290096CB Muni","MUNI_TAX_PROV")</f>
        <v>#NAME?</v>
      </c>
      <c r="I1136" t="e">
        <f ca="1">BDP("290096CB Muni","FINANCING_TYPE")</f>
        <v>#NAME?</v>
      </c>
      <c r="J1136" t="e">
        <f ca="1">BDP("290096CB Muni","BICS_LEVEL_2_INDUSTRY_GROUP_NAME")</f>
        <v>#NAME?</v>
      </c>
      <c r="K1136" t="e">
        <f ca="1">BDP("290096CB Muni","SELF_REPRTD_GREEN_INSTR_INDCTR")</f>
        <v>#NAME?</v>
      </c>
      <c r="L1136" t="e">
        <f ca="1">BDP("290096CB Muni","GB_MANAGEMENT_PROCEEDS")</f>
        <v>#NAME?</v>
      </c>
      <c r="M1136" t="e">
        <f ca="1">BDP("290096CB Muni","GB_REPORTING")</f>
        <v>#NAME?</v>
      </c>
      <c r="N1136" t="e">
        <f ca="1">BDP("290096CB Muni","GB_ASSURANCE_PROVIDERS")</f>
        <v>#NAME?</v>
      </c>
      <c r="O1136" t="e">
        <f ca="1">BDP("290096CB Muni","GB_PROJECT_SELECTION_PROCESS")</f>
        <v>#NAME?</v>
      </c>
      <c r="P1136" t="e">
        <f ca="1">BDP("290096CB Muni","ESG_FRAMEWORK_INDICATOR")</f>
        <v>#NAME?</v>
      </c>
      <c r="Q1136" t="e">
        <f ca="1">BDP("290096CB Muni","BLOOMBERG_SECTOR_CODE")</f>
        <v>#NAME?</v>
      </c>
      <c r="R1136" t="e">
        <f ca="1">BDP("290096CB Muni","ISSUER_TYPE")</f>
        <v>#NAME?</v>
      </c>
      <c r="S1136" t="e">
        <f ca="1">BDS("290096CB Muni","ESG_PROJECT_CATEGORY", "aggregate=y")</f>
        <v>#NAME?</v>
      </c>
      <c r="T1136" t="e">
        <f ca="1">BDS("290096CB Muni","ESG_PROJECT_SUBCATEGORY", "aggregate=y")</f>
        <v>#NAME?</v>
      </c>
    </row>
    <row r="1137" spans="1:20" x14ac:dyDescent="0.25">
      <c r="A1137" t="e">
        <f ca="1">BDP("290096CC Muni","ID_CUSIP")</f>
        <v>#NAME?</v>
      </c>
      <c r="B1137" t="e">
        <f ca="1">BDP("290096CC Muni","STATE_CODE")</f>
        <v>#NAME?</v>
      </c>
      <c r="C1137" t="s">
        <v>78</v>
      </c>
      <c r="D1137" t="e">
        <f ca="1">BDP("290096CC Muni","YIELD_ON_ISSUE_DATE")</f>
        <v>#NAME?</v>
      </c>
      <c r="E1137">
        <v>180000</v>
      </c>
      <c r="F1137" t="e">
        <f ca="1">BDP("290096CC Muni","ISSUE_DT")</f>
        <v>#NAME?</v>
      </c>
      <c r="G1137" t="e">
        <f ca="1">BDP("290096CC Muni","MATURITY")</f>
        <v>#NAME?</v>
      </c>
      <c r="H1137" t="e">
        <f ca="1">BDP("290096CC Muni","MUNI_TAX_PROV")</f>
        <v>#NAME?</v>
      </c>
      <c r="I1137" t="e">
        <f ca="1">BDP("290096CC Muni","FINANCING_TYPE")</f>
        <v>#NAME?</v>
      </c>
      <c r="J1137" t="e">
        <f ca="1">BDP("290096CC Muni","BICS_LEVEL_2_INDUSTRY_GROUP_NAME")</f>
        <v>#NAME?</v>
      </c>
      <c r="K1137" t="e">
        <f ca="1">BDP("290096CC Muni","SELF_REPRTD_GREEN_INSTR_INDCTR")</f>
        <v>#NAME?</v>
      </c>
      <c r="L1137" t="e">
        <f ca="1">BDP("290096CC Muni","GB_MANAGEMENT_PROCEEDS")</f>
        <v>#NAME?</v>
      </c>
      <c r="M1137" t="e">
        <f ca="1">BDP("290096CC Muni","GB_REPORTING")</f>
        <v>#NAME?</v>
      </c>
      <c r="N1137" t="e">
        <f ca="1">BDP("290096CC Muni","GB_ASSURANCE_PROVIDERS")</f>
        <v>#NAME?</v>
      </c>
      <c r="O1137" t="e">
        <f ca="1">BDP("290096CC Muni","GB_PROJECT_SELECTION_PROCESS")</f>
        <v>#NAME?</v>
      </c>
      <c r="P1137" t="e">
        <f ca="1">BDP("290096CC Muni","ESG_FRAMEWORK_INDICATOR")</f>
        <v>#NAME?</v>
      </c>
      <c r="Q1137" t="e">
        <f ca="1">BDP("290096CC Muni","BLOOMBERG_SECTOR_CODE")</f>
        <v>#NAME?</v>
      </c>
      <c r="R1137" t="e">
        <f ca="1">BDP("290096CC Muni","ISSUER_TYPE")</f>
        <v>#NAME?</v>
      </c>
      <c r="S1137" t="e">
        <f ca="1">BDS("290096CC Muni","ESG_PROJECT_CATEGORY", "aggregate=y")</f>
        <v>#NAME?</v>
      </c>
      <c r="T1137" t="e">
        <f ca="1">BDS("290096CC Muni","ESG_PROJECT_SUBCATEGORY", "aggregate=y")</f>
        <v>#NAME?</v>
      </c>
    </row>
    <row r="1138" spans="1:20" x14ac:dyDescent="0.25">
      <c r="A1138" t="e">
        <f ca="1">BDP("290096CE Muni","ID_CUSIP")</f>
        <v>#NAME?</v>
      </c>
      <c r="B1138" t="e">
        <f ca="1">BDP("290096CE Muni","STATE_CODE")</f>
        <v>#NAME?</v>
      </c>
      <c r="C1138" t="s">
        <v>78</v>
      </c>
      <c r="D1138" t="e">
        <f ca="1">BDP("290096CE Muni","YIELD_ON_ISSUE_DATE")</f>
        <v>#NAME?</v>
      </c>
      <c r="E1138">
        <v>210000</v>
      </c>
      <c r="F1138" t="e">
        <f ca="1">BDP("290096CE Muni","ISSUE_DT")</f>
        <v>#NAME?</v>
      </c>
      <c r="G1138" t="e">
        <f ca="1">BDP("290096CE Muni","MATURITY")</f>
        <v>#NAME?</v>
      </c>
      <c r="H1138" t="e">
        <f ca="1">BDP("290096CE Muni","MUNI_TAX_PROV")</f>
        <v>#NAME?</v>
      </c>
      <c r="I1138" t="e">
        <f ca="1">BDP("290096CE Muni","FINANCING_TYPE")</f>
        <v>#NAME?</v>
      </c>
      <c r="J1138" t="e">
        <f ca="1">BDP("290096CE Muni","BICS_LEVEL_2_INDUSTRY_GROUP_NAME")</f>
        <v>#NAME?</v>
      </c>
      <c r="K1138" t="e">
        <f ca="1">BDP("290096CE Muni","SELF_REPRTD_GREEN_INSTR_INDCTR")</f>
        <v>#NAME?</v>
      </c>
      <c r="L1138" t="e">
        <f ca="1">BDP("290096CE Muni","GB_MANAGEMENT_PROCEEDS")</f>
        <v>#NAME?</v>
      </c>
      <c r="M1138" t="e">
        <f ca="1">BDP("290096CE Muni","GB_REPORTING")</f>
        <v>#NAME?</v>
      </c>
      <c r="N1138" t="e">
        <f ca="1">BDP("290096CE Muni","GB_ASSURANCE_PROVIDERS")</f>
        <v>#NAME?</v>
      </c>
      <c r="O1138" t="e">
        <f ca="1">BDP("290096CE Muni","GB_PROJECT_SELECTION_PROCESS")</f>
        <v>#NAME?</v>
      </c>
      <c r="P1138" t="e">
        <f ca="1">BDP("290096CE Muni","ESG_FRAMEWORK_INDICATOR")</f>
        <v>#NAME?</v>
      </c>
      <c r="Q1138" t="e">
        <f ca="1">BDP("290096CE Muni","BLOOMBERG_SECTOR_CODE")</f>
        <v>#NAME?</v>
      </c>
      <c r="R1138" t="e">
        <f ca="1">BDP("290096CE Muni","ISSUER_TYPE")</f>
        <v>#NAME?</v>
      </c>
      <c r="S1138" t="e">
        <f ca="1">BDS("290096CE Muni","ESG_PROJECT_CATEGORY", "aggregate=y")</f>
        <v>#NAME?</v>
      </c>
      <c r="T1138" t="e">
        <f ca="1">BDS("290096CE Muni","ESG_PROJECT_SUBCATEGORY", "aggregate=y")</f>
        <v>#NAME?</v>
      </c>
    </row>
    <row r="1139" spans="1:20" x14ac:dyDescent="0.25">
      <c r="A1139" t="e">
        <f ca="1">BDP("290096CF Muni","ID_CUSIP")</f>
        <v>#NAME?</v>
      </c>
      <c r="B1139" t="e">
        <f ca="1">BDP("290096CF Muni","STATE_CODE")</f>
        <v>#NAME?</v>
      </c>
      <c r="C1139" t="s">
        <v>78</v>
      </c>
      <c r="D1139" t="e">
        <f ca="1">BDP("290096CF Muni","YIELD_ON_ISSUE_DATE")</f>
        <v>#NAME?</v>
      </c>
      <c r="E1139">
        <v>225000</v>
      </c>
      <c r="F1139" t="e">
        <f ca="1">BDP("290096CF Muni","ISSUE_DT")</f>
        <v>#NAME?</v>
      </c>
      <c r="G1139" t="e">
        <f ca="1">BDP("290096CF Muni","MATURITY")</f>
        <v>#NAME?</v>
      </c>
      <c r="H1139" t="e">
        <f ca="1">BDP("290096CF Muni","MUNI_TAX_PROV")</f>
        <v>#NAME?</v>
      </c>
      <c r="I1139" t="e">
        <f ca="1">BDP("290096CF Muni","FINANCING_TYPE")</f>
        <v>#NAME?</v>
      </c>
      <c r="J1139" t="e">
        <f ca="1">BDP("290096CF Muni","BICS_LEVEL_2_INDUSTRY_GROUP_NAME")</f>
        <v>#NAME?</v>
      </c>
      <c r="K1139" t="e">
        <f ca="1">BDP("290096CF Muni","SELF_REPRTD_GREEN_INSTR_INDCTR")</f>
        <v>#NAME?</v>
      </c>
      <c r="L1139" t="e">
        <f ca="1">BDP("290096CF Muni","GB_MANAGEMENT_PROCEEDS")</f>
        <v>#NAME?</v>
      </c>
      <c r="M1139" t="e">
        <f ca="1">BDP("290096CF Muni","GB_REPORTING")</f>
        <v>#NAME?</v>
      </c>
      <c r="N1139" t="e">
        <f ca="1">BDP("290096CF Muni","GB_ASSURANCE_PROVIDERS")</f>
        <v>#NAME?</v>
      </c>
      <c r="O1139" t="e">
        <f ca="1">BDP("290096CF Muni","GB_PROJECT_SELECTION_PROCESS")</f>
        <v>#NAME?</v>
      </c>
      <c r="P1139" t="e">
        <f ca="1">BDP("290096CF Muni","ESG_FRAMEWORK_INDICATOR")</f>
        <v>#NAME?</v>
      </c>
      <c r="Q1139" t="e">
        <f ca="1">BDP("290096CF Muni","BLOOMBERG_SECTOR_CODE")</f>
        <v>#NAME?</v>
      </c>
      <c r="R1139" t="e">
        <f ca="1">BDP("290096CF Muni","ISSUER_TYPE")</f>
        <v>#NAME?</v>
      </c>
      <c r="S1139" t="e">
        <f ca="1">BDS("290096CF Muni","ESG_PROJECT_CATEGORY", "aggregate=y")</f>
        <v>#NAME?</v>
      </c>
      <c r="T1139" t="e">
        <f ca="1">BDS("290096CF Muni","ESG_PROJECT_SUBCATEGORY", "aggregate=y")</f>
        <v>#NAME?</v>
      </c>
    </row>
    <row r="1140" spans="1:20" x14ac:dyDescent="0.25">
      <c r="A1140" t="e">
        <f ca="1">BDP("290096CG Muni","ID_CUSIP")</f>
        <v>#NAME?</v>
      </c>
      <c r="B1140" t="e">
        <f ca="1">BDP("290096CG Muni","STATE_CODE")</f>
        <v>#NAME?</v>
      </c>
      <c r="C1140" t="s">
        <v>78</v>
      </c>
      <c r="D1140" t="e">
        <f ca="1">BDP("290096CG Muni","YIELD_ON_ISSUE_DATE")</f>
        <v>#NAME?</v>
      </c>
      <c r="E1140">
        <v>240000</v>
      </c>
      <c r="F1140" t="e">
        <f ca="1">BDP("290096CG Muni","ISSUE_DT")</f>
        <v>#NAME?</v>
      </c>
      <c r="G1140" t="e">
        <f ca="1">BDP("290096CG Muni","MATURITY")</f>
        <v>#NAME?</v>
      </c>
      <c r="H1140" t="e">
        <f ca="1">BDP("290096CG Muni","MUNI_TAX_PROV")</f>
        <v>#NAME?</v>
      </c>
      <c r="I1140" t="e">
        <f ca="1">BDP("290096CG Muni","FINANCING_TYPE")</f>
        <v>#NAME?</v>
      </c>
      <c r="J1140" t="e">
        <f ca="1">BDP("290096CG Muni","BICS_LEVEL_2_INDUSTRY_GROUP_NAME")</f>
        <v>#NAME?</v>
      </c>
      <c r="K1140" t="e">
        <f ca="1">BDP("290096CG Muni","SELF_REPRTD_GREEN_INSTR_INDCTR")</f>
        <v>#NAME?</v>
      </c>
      <c r="L1140" t="e">
        <f ca="1">BDP("290096CG Muni","GB_MANAGEMENT_PROCEEDS")</f>
        <v>#NAME?</v>
      </c>
      <c r="M1140" t="e">
        <f ca="1">BDP("290096CG Muni","GB_REPORTING")</f>
        <v>#NAME?</v>
      </c>
      <c r="N1140" t="e">
        <f ca="1">BDP("290096CG Muni","GB_ASSURANCE_PROVIDERS")</f>
        <v>#NAME?</v>
      </c>
      <c r="O1140" t="e">
        <f ca="1">BDP("290096CG Muni","GB_PROJECT_SELECTION_PROCESS")</f>
        <v>#NAME?</v>
      </c>
      <c r="P1140" t="e">
        <f ca="1">BDP("290096CG Muni","ESG_FRAMEWORK_INDICATOR")</f>
        <v>#NAME?</v>
      </c>
      <c r="Q1140" t="e">
        <f ca="1">BDP("290096CG Muni","BLOOMBERG_SECTOR_CODE")</f>
        <v>#NAME?</v>
      </c>
      <c r="R1140" t="e">
        <f ca="1">BDP("290096CG Muni","ISSUER_TYPE")</f>
        <v>#NAME?</v>
      </c>
      <c r="S1140" t="e">
        <f ca="1">BDS("290096CG Muni","ESG_PROJECT_CATEGORY", "aggregate=y")</f>
        <v>#NAME?</v>
      </c>
      <c r="T1140" t="e">
        <f ca="1">BDS("290096CG Muni","ESG_PROJECT_SUBCATEGORY", "aggregate=y")</f>
        <v>#NAME?</v>
      </c>
    </row>
    <row r="1141" spans="1:20" x14ac:dyDescent="0.25">
      <c r="A1141" t="e">
        <f ca="1">BDP("290096CJ Muni","ID_CUSIP")</f>
        <v>#NAME?</v>
      </c>
      <c r="B1141" t="e">
        <f ca="1">BDP("290096CJ Muni","STATE_CODE")</f>
        <v>#NAME?</v>
      </c>
      <c r="C1141" t="s">
        <v>78</v>
      </c>
      <c r="D1141" t="e">
        <f ca="1">BDP("290096CJ Muni","YIELD_ON_ISSUE_DATE")</f>
        <v>#NAME?</v>
      </c>
      <c r="E1141">
        <v>275000</v>
      </c>
      <c r="F1141" t="e">
        <f ca="1">BDP("290096CJ Muni","ISSUE_DT")</f>
        <v>#NAME?</v>
      </c>
      <c r="G1141" t="e">
        <f ca="1">BDP("290096CJ Muni","MATURITY")</f>
        <v>#NAME?</v>
      </c>
      <c r="H1141" t="e">
        <f ca="1">BDP("290096CJ Muni","MUNI_TAX_PROV")</f>
        <v>#NAME?</v>
      </c>
      <c r="I1141" t="e">
        <f ca="1">BDP("290096CJ Muni","FINANCING_TYPE")</f>
        <v>#NAME?</v>
      </c>
      <c r="J1141" t="e">
        <f ca="1">BDP("290096CJ Muni","BICS_LEVEL_2_INDUSTRY_GROUP_NAME")</f>
        <v>#NAME?</v>
      </c>
      <c r="K1141" t="e">
        <f ca="1">BDP("290096CJ Muni","SELF_REPRTD_GREEN_INSTR_INDCTR")</f>
        <v>#NAME?</v>
      </c>
      <c r="L1141" t="e">
        <f ca="1">BDP("290096CJ Muni","GB_MANAGEMENT_PROCEEDS")</f>
        <v>#NAME?</v>
      </c>
      <c r="M1141" t="e">
        <f ca="1">BDP("290096CJ Muni","GB_REPORTING")</f>
        <v>#NAME?</v>
      </c>
      <c r="N1141" t="e">
        <f ca="1">BDP("290096CJ Muni","GB_ASSURANCE_PROVIDERS")</f>
        <v>#NAME?</v>
      </c>
      <c r="O1141" t="e">
        <f ca="1">BDP("290096CJ Muni","GB_PROJECT_SELECTION_PROCESS")</f>
        <v>#NAME?</v>
      </c>
      <c r="P1141" t="e">
        <f ca="1">BDP("290096CJ Muni","ESG_FRAMEWORK_INDICATOR")</f>
        <v>#NAME?</v>
      </c>
      <c r="Q1141" t="e">
        <f ca="1">BDP("290096CJ Muni","BLOOMBERG_SECTOR_CODE")</f>
        <v>#NAME?</v>
      </c>
      <c r="R1141" t="e">
        <f ca="1">BDP("290096CJ Muni","ISSUER_TYPE")</f>
        <v>#NAME?</v>
      </c>
      <c r="S1141" t="e">
        <f ca="1">BDS("290096CJ Muni","ESG_PROJECT_CATEGORY", "aggregate=y")</f>
        <v>#NAME?</v>
      </c>
      <c r="T1141" t="e">
        <f ca="1">BDS("290096CJ Muni","ESG_PROJECT_SUBCATEGORY", "aggregate=y")</f>
        <v>#NAME?</v>
      </c>
    </row>
    <row r="1142" spans="1:20" x14ac:dyDescent="0.25">
      <c r="A1142" t="e">
        <f ca="1">BDP("290096CL Muni","ID_CUSIP")</f>
        <v>#NAME?</v>
      </c>
      <c r="B1142" t="e">
        <f ca="1">BDP("290096CL Muni","STATE_CODE")</f>
        <v>#NAME?</v>
      </c>
      <c r="C1142" t="s">
        <v>78</v>
      </c>
      <c r="D1142" t="e">
        <f ca="1">BDP("290096CL Muni","YIELD_ON_ISSUE_DATE")</f>
        <v>#NAME?</v>
      </c>
      <c r="E1142">
        <v>315000</v>
      </c>
      <c r="F1142" t="e">
        <f ca="1">BDP("290096CL Muni","ISSUE_DT")</f>
        <v>#NAME?</v>
      </c>
      <c r="G1142" t="e">
        <f ca="1">BDP("290096CL Muni","MATURITY")</f>
        <v>#NAME?</v>
      </c>
      <c r="H1142" t="e">
        <f ca="1">BDP("290096CL Muni","MUNI_TAX_PROV")</f>
        <v>#NAME?</v>
      </c>
      <c r="I1142" t="e">
        <f ca="1">BDP("290096CL Muni","FINANCING_TYPE")</f>
        <v>#NAME?</v>
      </c>
      <c r="J1142" t="e">
        <f ca="1">BDP("290096CL Muni","BICS_LEVEL_2_INDUSTRY_GROUP_NAME")</f>
        <v>#NAME?</v>
      </c>
      <c r="K1142" t="e">
        <f ca="1">BDP("290096CL Muni","SELF_REPRTD_GREEN_INSTR_INDCTR")</f>
        <v>#NAME?</v>
      </c>
      <c r="L1142" t="e">
        <f ca="1">BDP("290096CL Muni","GB_MANAGEMENT_PROCEEDS")</f>
        <v>#NAME?</v>
      </c>
      <c r="M1142" t="e">
        <f ca="1">BDP("290096CL Muni","GB_REPORTING")</f>
        <v>#NAME?</v>
      </c>
      <c r="N1142" t="e">
        <f ca="1">BDP("290096CL Muni","GB_ASSURANCE_PROVIDERS")</f>
        <v>#NAME?</v>
      </c>
      <c r="O1142" t="e">
        <f ca="1">BDP("290096CL Muni","GB_PROJECT_SELECTION_PROCESS")</f>
        <v>#NAME?</v>
      </c>
      <c r="P1142" t="e">
        <f ca="1">BDP("290096CL Muni","ESG_FRAMEWORK_INDICATOR")</f>
        <v>#NAME?</v>
      </c>
      <c r="Q1142" t="e">
        <f ca="1">BDP("290096CL Muni","BLOOMBERG_SECTOR_CODE")</f>
        <v>#NAME?</v>
      </c>
      <c r="R1142" t="e">
        <f ca="1">BDP("290096CL Muni","ISSUER_TYPE")</f>
        <v>#NAME?</v>
      </c>
      <c r="S1142" t="e">
        <f ca="1">BDS("290096CL Muni","ESG_PROJECT_CATEGORY", "aggregate=y")</f>
        <v>#NAME?</v>
      </c>
      <c r="T1142" t="e">
        <f ca="1">BDS("290096CL Muni","ESG_PROJECT_SUBCATEGORY", "aggregate=y")</f>
        <v>#NAME?</v>
      </c>
    </row>
    <row r="1143" spans="1:20" x14ac:dyDescent="0.25">
      <c r="A1143" t="e">
        <f ca="1">BDP("290096CM Muni","ID_CUSIP")</f>
        <v>#NAME?</v>
      </c>
      <c r="B1143" t="e">
        <f ca="1">BDP("290096CM Muni","STATE_CODE")</f>
        <v>#NAME?</v>
      </c>
      <c r="C1143" t="s">
        <v>78</v>
      </c>
      <c r="D1143" t="e">
        <f ca="1">BDP("290096CM Muni","YIELD_ON_ISSUE_DATE")</f>
        <v>#NAME?</v>
      </c>
      <c r="E1143">
        <v>340000</v>
      </c>
      <c r="F1143" t="e">
        <f ca="1">BDP("290096CM Muni","ISSUE_DT")</f>
        <v>#NAME?</v>
      </c>
      <c r="G1143" t="e">
        <f ca="1">BDP("290096CM Muni","MATURITY")</f>
        <v>#NAME?</v>
      </c>
      <c r="H1143" t="e">
        <f ca="1">BDP("290096CM Muni","MUNI_TAX_PROV")</f>
        <v>#NAME?</v>
      </c>
      <c r="I1143" t="e">
        <f ca="1">BDP("290096CM Muni","FINANCING_TYPE")</f>
        <v>#NAME?</v>
      </c>
      <c r="J1143" t="e">
        <f ca="1">BDP("290096CM Muni","BICS_LEVEL_2_INDUSTRY_GROUP_NAME")</f>
        <v>#NAME?</v>
      </c>
      <c r="K1143" t="e">
        <f ca="1">BDP("290096CM Muni","SELF_REPRTD_GREEN_INSTR_INDCTR")</f>
        <v>#NAME?</v>
      </c>
      <c r="L1143" t="e">
        <f ca="1">BDP("290096CM Muni","GB_MANAGEMENT_PROCEEDS")</f>
        <v>#NAME?</v>
      </c>
      <c r="M1143" t="e">
        <f ca="1">BDP("290096CM Muni","GB_REPORTING")</f>
        <v>#NAME?</v>
      </c>
      <c r="N1143" t="e">
        <f ca="1">BDP("290096CM Muni","GB_ASSURANCE_PROVIDERS")</f>
        <v>#NAME?</v>
      </c>
      <c r="O1143" t="e">
        <f ca="1">BDP("290096CM Muni","GB_PROJECT_SELECTION_PROCESS")</f>
        <v>#NAME?</v>
      </c>
      <c r="P1143" t="e">
        <f ca="1">BDP("290096CM Muni","ESG_FRAMEWORK_INDICATOR")</f>
        <v>#NAME?</v>
      </c>
      <c r="Q1143" t="e">
        <f ca="1">BDP("290096CM Muni","BLOOMBERG_SECTOR_CODE")</f>
        <v>#NAME?</v>
      </c>
      <c r="R1143" t="e">
        <f ca="1">BDP("290096CM Muni","ISSUER_TYPE")</f>
        <v>#NAME?</v>
      </c>
      <c r="S1143" t="e">
        <f ca="1">BDS("290096CM Muni","ESG_PROJECT_CATEGORY", "aggregate=y")</f>
        <v>#NAME?</v>
      </c>
      <c r="T1143" t="e">
        <f ca="1">BDS("290096CM Muni","ESG_PROJECT_SUBCATEGORY", "aggregate=y")</f>
        <v>#NAME?</v>
      </c>
    </row>
    <row r="1144" spans="1:20" x14ac:dyDescent="0.25">
      <c r="A1144" t="e">
        <f ca="1">BDP("290096CN Muni","ID_CUSIP")</f>
        <v>#NAME?</v>
      </c>
      <c r="B1144" t="e">
        <f ca="1">BDP("290096CN Muni","STATE_CODE")</f>
        <v>#NAME?</v>
      </c>
      <c r="C1144" t="s">
        <v>78</v>
      </c>
      <c r="D1144" t="e">
        <f ca="1">BDP("290096CN Muni","YIELD_ON_ISSUE_DATE")</f>
        <v>#NAME?</v>
      </c>
      <c r="E1144">
        <v>360000</v>
      </c>
      <c r="F1144" t="e">
        <f ca="1">BDP("290096CN Muni","ISSUE_DT")</f>
        <v>#NAME?</v>
      </c>
      <c r="G1144" t="e">
        <f ca="1">BDP("290096CN Muni","MATURITY")</f>
        <v>#NAME?</v>
      </c>
      <c r="H1144" t="e">
        <f ca="1">BDP("290096CN Muni","MUNI_TAX_PROV")</f>
        <v>#NAME?</v>
      </c>
      <c r="I1144" t="e">
        <f ca="1">BDP("290096CN Muni","FINANCING_TYPE")</f>
        <v>#NAME?</v>
      </c>
      <c r="J1144" t="e">
        <f ca="1">BDP("290096CN Muni","BICS_LEVEL_2_INDUSTRY_GROUP_NAME")</f>
        <v>#NAME?</v>
      </c>
      <c r="K1144" t="e">
        <f ca="1">BDP("290096CN Muni","SELF_REPRTD_GREEN_INSTR_INDCTR")</f>
        <v>#NAME?</v>
      </c>
      <c r="L1144" t="e">
        <f ca="1">BDP("290096CN Muni","GB_MANAGEMENT_PROCEEDS")</f>
        <v>#NAME?</v>
      </c>
      <c r="M1144" t="e">
        <f ca="1">BDP("290096CN Muni","GB_REPORTING")</f>
        <v>#NAME?</v>
      </c>
      <c r="N1144" t="e">
        <f ca="1">BDP("290096CN Muni","GB_ASSURANCE_PROVIDERS")</f>
        <v>#NAME?</v>
      </c>
      <c r="O1144" t="e">
        <f ca="1">BDP("290096CN Muni","GB_PROJECT_SELECTION_PROCESS")</f>
        <v>#NAME?</v>
      </c>
      <c r="P1144" t="e">
        <f ca="1">BDP("290096CN Muni","ESG_FRAMEWORK_INDICATOR")</f>
        <v>#NAME?</v>
      </c>
      <c r="Q1144" t="e">
        <f ca="1">BDP("290096CN Muni","BLOOMBERG_SECTOR_CODE")</f>
        <v>#NAME?</v>
      </c>
      <c r="R1144" t="e">
        <f ca="1">BDP("290096CN Muni","ISSUER_TYPE")</f>
        <v>#NAME?</v>
      </c>
      <c r="S1144" t="e">
        <f ca="1">BDS("290096CN Muni","ESG_PROJECT_CATEGORY", "aggregate=y")</f>
        <v>#NAME?</v>
      </c>
      <c r="T1144" t="e">
        <f ca="1">BDS("290096CN Muni","ESG_PROJECT_SUBCATEGORY", "aggregate=y")</f>
        <v>#NAME?</v>
      </c>
    </row>
    <row r="1145" spans="1:20" x14ac:dyDescent="0.25">
      <c r="A1145" t="e">
        <f ca="1">BDP("476624ED Muni","ID_CUSIP")</f>
        <v>#NAME?</v>
      </c>
      <c r="B1145" t="e">
        <f ca="1">BDP("476624ED Muni","STATE_CODE")</f>
        <v>#NAME?</v>
      </c>
      <c r="C1145" t="s">
        <v>79</v>
      </c>
      <c r="D1145" t="e">
        <f ca="1">BDP("476624ED Muni","YIELD_ON_ISSUE_DATE")</f>
        <v>#NAME?</v>
      </c>
      <c r="E1145">
        <v>1350000</v>
      </c>
      <c r="F1145" t="e">
        <f ca="1">BDP("476624ED Muni","ISSUE_DT")</f>
        <v>#NAME?</v>
      </c>
      <c r="G1145" t="e">
        <f ca="1">BDP("476624ED Muni","MATURITY")</f>
        <v>#NAME?</v>
      </c>
      <c r="H1145" t="e">
        <f ca="1">BDP("476624ED Muni","MUNI_TAX_PROV")</f>
        <v>#NAME?</v>
      </c>
      <c r="I1145" t="e">
        <f ca="1">BDP("476624ED Muni","FINANCING_TYPE")</f>
        <v>#NAME?</v>
      </c>
      <c r="J1145" t="e">
        <f ca="1">BDP("476624ED Muni","BICS_LEVEL_2_INDUSTRY_GROUP_NAME")</f>
        <v>#NAME?</v>
      </c>
      <c r="K1145" t="e">
        <f ca="1">BDP("476624ED Muni","SELF_REPRTD_GREEN_INSTR_INDCTR")</f>
        <v>#NAME?</v>
      </c>
      <c r="L1145" t="e">
        <f ca="1">BDP("476624ED Muni","GB_MANAGEMENT_PROCEEDS")</f>
        <v>#NAME?</v>
      </c>
      <c r="M1145" t="e">
        <f ca="1">BDP("476624ED Muni","GB_REPORTING")</f>
        <v>#NAME?</v>
      </c>
      <c r="N1145" t="e">
        <f ca="1">BDP("476624ED Muni","GB_ASSURANCE_PROVIDERS")</f>
        <v>#NAME?</v>
      </c>
      <c r="O1145" t="e">
        <f ca="1">BDP("476624ED Muni","GB_PROJECT_SELECTION_PROCESS")</f>
        <v>#NAME?</v>
      </c>
      <c r="P1145" t="e">
        <f ca="1">BDP("476624ED Muni","ESG_FRAMEWORK_INDICATOR")</f>
        <v>#NAME?</v>
      </c>
      <c r="Q1145" t="e">
        <f ca="1">BDP("476624ED Muni","BLOOMBERG_SECTOR_CODE")</f>
        <v>#NAME?</v>
      </c>
      <c r="R1145" t="e">
        <f ca="1">BDP("476624ED Muni","ISSUER_TYPE")</f>
        <v>#NAME?</v>
      </c>
      <c r="S1145" t="e">
        <f ca="1">BDS("476624ED Muni","ESG_PROJECT_CATEGORY", "aggregate=y")</f>
        <v>#NAME?</v>
      </c>
      <c r="T1145" t="e">
        <f ca="1">BDS("476624ED Muni","ESG_PROJECT_SUBCATEGORY", "aggregate=y")</f>
        <v>#NAME?</v>
      </c>
    </row>
    <row r="1146" spans="1:20" x14ac:dyDescent="0.25">
      <c r="A1146" t="e">
        <f ca="1">BDP("611305NE Muni","ID_CUSIP")</f>
        <v>#NAME?</v>
      </c>
      <c r="B1146" t="e">
        <f ca="1">BDP("611305NE Muni","STATE_CODE")</f>
        <v>#NAME?</v>
      </c>
      <c r="C1146" t="s">
        <v>80</v>
      </c>
      <c r="D1146" t="e">
        <f ca="1">BDP("611305NE Muni","YIELD_ON_ISSUE_DATE")</f>
        <v>#NAME?</v>
      </c>
      <c r="E1146">
        <v>350000</v>
      </c>
      <c r="F1146" t="e">
        <f ca="1">BDP("611305NE Muni","ISSUE_DT")</f>
        <v>#NAME?</v>
      </c>
      <c r="G1146" t="e">
        <f ca="1">BDP("611305NE Muni","MATURITY")</f>
        <v>#NAME?</v>
      </c>
      <c r="H1146" t="e">
        <f ca="1">BDP("611305NE Muni","MUNI_TAX_PROV")</f>
        <v>#NAME?</v>
      </c>
      <c r="I1146" t="e">
        <f ca="1">BDP("611305NE Muni","FINANCING_TYPE")</f>
        <v>#NAME?</v>
      </c>
      <c r="J1146" t="e">
        <f ca="1">BDP("611305NE Muni","BICS_LEVEL_2_INDUSTRY_GROUP_NAME")</f>
        <v>#NAME?</v>
      </c>
      <c r="K1146" t="e">
        <f ca="1">BDP("611305NE Muni","SELF_REPRTD_GREEN_INSTR_INDCTR")</f>
        <v>#NAME?</v>
      </c>
      <c r="L1146" t="e">
        <f ca="1">BDP("611305NE Muni","GB_MANAGEMENT_PROCEEDS")</f>
        <v>#NAME?</v>
      </c>
      <c r="M1146" t="e">
        <f ca="1">BDP("611305NE Muni","GB_REPORTING")</f>
        <v>#NAME?</v>
      </c>
      <c r="N1146" t="e">
        <f ca="1">BDP("611305NE Muni","GB_ASSURANCE_PROVIDERS")</f>
        <v>#NAME?</v>
      </c>
      <c r="O1146" t="e">
        <f ca="1">BDP("611305NE Muni","GB_PROJECT_SELECTION_PROCESS")</f>
        <v>#NAME?</v>
      </c>
      <c r="P1146" t="e">
        <f ca="1">BDP("611305NE Muni","ESG_FRAMEWORK_INDICATOR")</f>
        <v>#NAME?</v>
      </c>
      <c r="Q1146" t="e">
        <f ca="1">BDP("611305NE Muni","BLOOMBERG_SECTOR_CODE")</f>
        <v>#NAME?</v>
      </c>
      <c r="R1146" t="e">
        <f ca="1">BDP("611305NE Muni","ISSUER_TYPE")</f>
        <v>#NAME?</v>
      </c>
      <c r="S1146" t="e">
        <f ca="1">BDS("611305NE Muni","ESG_PROJECT_CATEGORY", "aggregate=y")</f>
        <v>#NAME?</v>
      </c>
      <c r="T1146" t="e">
        <f ca="1">BDS("611305NE Muni","ESG_PROJECT_SUBCATEGORY", "aggregate=y")</f>
        <v>#NAME?</v>
      </c>
    </row>
    <row r="1147" spans="1:20" x14ac:dyDescent="0.25">
      <c r="A1147" t="e">
        <f ca="1">BDP("611305NF Muni","ID_CUSIP")</f>
        <v>#NAME?</v>
      </c>
      <c r="B1147" t="e">
        <f ca="1">BDP("611305NF Muni","STATE_CODE")</f>
        <v>#NAME?</v>
      </c>
      <c r="C1147" t="s">
        <v>80</v>
      </c>
      <c r="D1147" t="e">
        <f ca="1">BDP("611305NF Muni","YIELD_ON_ISSUE_DATE")</f>
        <v>#NAME?</v>
      </c>
      <c r="E1147">
        <v>745000</v>
      </c>
      <c r="F1147" t="e">
        <f ca="1">BDP("611305NF Muni","ISSUE_DT")</f>
        <v>#NAME?</v>
      </c>
      <c r="G1147" t="e">
        <f ca="1">BDP("611305NF Muni","MATURITY")</f>
        <v>#NAME?</v>
      </c>
      <c r="H1147" t="e">
        <f ca="1">BDP("611305NF Muni","MUNI_TAX_PROV")</f>
        <v>#NAME?</v>
      </c>
      <c r="I1147" t="e">
        <f ca="1">BDP("611305NF Muni","FINANCING_TYPE")</f>
        <v>#NAME?</v>
      </c>
      <c r="J1147" t="e">
        <f ca="1">BDP("611305NF Muni","BICS_LEVEL_2_INDUSTRY_GROUP_NAME")</f>
        <v>#NAME?</v>
      </c>
      <c r="K1147" t="e">
        <f ca="1">BDP("611305NF Muni","SELF_REPRTD_GREEN_INSTR_INDCTR")</f>
        <v>#NAME?</v>
      </c>
      <c r="L1147" t="e">
        <f ca="1">BDP("611305NF Muni","GB_MANAGEMENT_PROCEEDS")</f>
        <v>#NAME?</v>
      </c>
      <c r="M1147" t="e">
        <f ca="1">BDP("611305NF Muni","GB_REPORTING")</f>
        <v>#NAME?</v>
      </c>
      <c r="N1147" t="e">
        <f ca="1">BDP("611305NF Muni","GB_ASSURANCE_PROVIDERS")</f>
        <v>#NAME?</v>
      </c>
      <c r="O1147" t="e">
        <f ca="1">BDP("611305NF Muni","GB_PROJECT_SELECTION_PROCESS")</f>
        <v>#NAME?</v>
      </c>
      <c r="P1147" t="e">
        <f ca="1">BDP("611305NF Muni","ESG_FRAMEWORK_INDICATOR")</f>
        <v>#NAME?</v>
      </c>
      <c r="Q1147" t="e">
        <f ca="1">BDP("611305NF Muni","BLOOMBERG_SECTOR_CODE")</f>
        <v>#NAME?</v>
      </c>
      <c r="R1147" t="e">
        <f ca="1">BDP("611305NF Muni","ISSUER_TYPE")</f>
        <v>#NAME?</v>
      </c>
      <c r="S1147" t="e">
        <f ca="1">BDS("611305NF Muni","ESG_PROJECT_CATEGORY", "aggregate=y")</f>
        <v>#NAME?</v>
      </c>
      <c r="T1147" t="e">
        <f ca="1">BDS("611305NF Muni","ESG_PROJECT_SUBCATEGORY", "aggregate=y")</f>
        <v>#NAME?</v>
      </c>
    </row>
    <row r="1148" spans="1:20" x14ac:dyDescent="0.25">
      <c r="A1148" t="e">
        <f ca="1">BDP("611305NG Muni","ID_CUSIP")</f>
        <v>#NAME?</v>
      </c>
      <c r="B1148" t="e">
        <f ca="1">BDP("611305NG Muni","STATE_CODE")</f>
        <v>#NAME?</v>
      </c>
      <c r="C1148" t="s">
        <v>80</v>
      </c>
      <c r="D1148" t="e">
        <f ca="1">BDP("611305NG Muni","YIELD_ON_ISSUE_DATE")</f>
        <v>#NAME?</v>
      </c>
      <c r="E1148">
        <v>350000</v>
      </c>
      <c r="F1148" t="e">
        <f ca="1">BDP("611305NG Muni","ISSUE_DT")</f>
        <v>#NAME?</v>
      </c>
      <c r="G1148" t="e">
        <f ca="1">BDP("611305NG Muni","MATURITY")</f>
        <v>#NAME?</v>
      </c>
      <c r="H1148" t="e">
        <f ca="1">BDP("611305NG Muni","MUNI_TAX_PROV")</f>
        <v>#NAME?</v>
      </c>
      <c r="I1148" t="e">
        <f ca="1">BDP("611305NG Muni","FINANCING_TYPE")</f>
        <v>#NAME?</v>
      </c>
      <c r="J1148" t="e">
        <f ca="1">BDP("611305NG Muni","BICS_LEVEL_2_INDUSTRY_GROUP_NAME")</f>
        <v>#NAME?</v>
      </c>
      <c r="K1148" t="e">
        <f ca="1">BDP("611305NG Muni","SELF_REPRTD_GREEN_INSTR_INDCTR")</f>
        <v>#NAME?</v>
      </c>
      <c r="L1148" t="e">
        <f ca="1">BDP("611305NG Muni","GB_MANAGEMENT_PROCEEDS")</f>
        <v>#NAME?</v>
      </c>
      <c r="M1148" t="e">
        <f ca="1">BDP("611305NG Muni","GB_REPORTING")</f>
        <v>#NAME?</v>
      </c>
      <c r="N1148" t="e">
        <f ca="1">BDP("611305NG Muni","GB_ASSURANCE_PROVIDERS")</f>
        <v>#NAME?</v>
      </c>
      <c r="O1148" t="e">
        <f ca="1">BDP("611305NG Muni","GB_PROJECT_SELECTION_PROCESS")</f>
        <v>#NAME?</v>
      </c>
      <c r="P1148" t="e">
        <f ca="1">BDP("611305NG Muni","ESG_FRAMEWORK_INDICATOR")</f>
        <v>#NAME?</v>
      </c>
      <c r="Q1148" t="e">
        <f ca="1">BDP("611305NG Muni","BLOOMBERG_SECTOR_CODE")</f>
        <v>#NAME?</v>
      </c>
      <c r="R1148" t="e">
        <f ca="1">BDP("611305NG Muni","ISSUER_TYPE")</f>
        <v>#NAME?</v>
      </c>
      <c r="S1148" t="e">
        <f ca="1">BDS("611305NG Muni","ESG_PROJECT_CATEGORY", "aggregate=y")</f>
        <v>#NAME?</v>
      </c>
      <c r="T1148" t="e">
        <f ca="1">BDS("611305NG Muni","ESG_PROJECT_SUBCATEGORY", "aggregate=y")</f>
        <v>#NAME?</v>
      </c>
    </row>
    <row r="1149" spans="1:20" x14ac:dyDescent="0.25">
      <c r="A1149" t="e">
        <f ca="1">BDP("611305NH Muni","ID_CUSIP")</f>
        <v>#NAME?</v>
      </c>
      <c r="B1149" t="e">
        <f ca="1">BDP("611305NH Muni","STATE_CODE")</f>
        <v>#NAME?</v>
      </c>
      <c r="C1149" t="s">
        <v>80</v>
      </c>
      <c r="D1149" t="e">
        <f ca="1">BDP("611305NH Muni","YIELD_ON_ISSUE_DATE")</f>
        <v>#NAME?</v>
      </c>
      <c r="E1149">
        <v>385000</v>
      </c>
      <c r="F1149" t="e">
        <f ca="1">BDP("611305NH Muni","ISSUE_DT")</f>
        <v>#NAME?</v>
      </c>
      <c r="G1149" t="e">
        <f ca="1">BDP("611305NH Muni","MATURITY")</f>
        <v>#NAME?</v>
      </c>
      <c r="H1149" t="e">
        <f ca="1">BDP("611305NH Muni","MUNI_TAX_PROV")</f>
        <v>#NAME?</v>
      </c>
      <c r="I1149" t="e">
        <f ca="1">BDP("611305NH Muni","FINANCING_TYPE")</f>
        <v>#NAME?</v>
      </c>
      <c r="J1149" t="e">
        <f ca="1">BDP("611305NH Muni","BICS_LEVEL_2_INDUSTRY_GROUP_NAME")</f>
        <v>#NAME?</v>
      </c>
      <c r="K1149" t="e">
        <f ca="1">BDP("611305NH Muni","SELF_REPRTD_GREEN_INSTR_INDCTR")</f>
        <v>#NAME?</v>
      </c>
      <c r="L1149" t="e">
        <f ca="1">BDP("611305NH Muni","GB_MANAGEMENT_PROCEEDS")</f>
        <v>#NAME?</v>
      </c>
      <c r="M1149" t="e">
        <f ca="1">BDP("611305NH Muni","GB_REPORTING")</f>
        <v>#NAME?</v>
      </c>
      <c r="N1149" t="e">
        <f ca="1">BDP("611305NH Muni","GB_ASSURANCE_PROVIDERS")</f>
        <v>#NAME?</v>
      </c>
      <c r="O1149" t="e">
        <f ca="1">BDP("611305NH Muni","GB_PROJECT_SELECTION_PROCESS")</f>
        <v>#NAME?</v>
      </c>
      <c r="P1149" t="e">
        <f ca="1">BDP("611305NH Muni","ESG_FRAMEWORK_INDICATOR")</f>
        <v>#NAME?</v>
      </c>
      <c r="Q1149" t="e">
        <f ca="1">BDP("611305NH Muni","BLOOMBERG_SECTOR_CODE")</f>
        <v>#NAME?</v>
      </c>
      <c r="R1149" t="e">
        <f ca="1">BDP("611305NH Muni","ISSUER_TYPE")</f>
        <v>#NAME?</v>
      </c>
      <c r="S1149" t="e">
        <f ca="1">BDS("611305NH Muni","ESG_PROJECT_CATEGORY", "aggregate=y")</f>
        <v>#NAME?</v>
      </c>
      <c r="T1149" t="e">
        <f ca="1">BDS("611305NH Muni","ESG_PROJECT_SUBCATEGORY", "aggregate=y")</f>
        <v>#NAME?</v>
      </c>
    </row>
    <row r="1150" spans="1:20" x14ac:dyDescent="0.25">
      <c r="A1150" t="e">
        <f ca="1">BDP("611305NJ Muni","ID_CUSIP")</f>
        <v>#NAME?</v>
      </c>
      <c r="B1150" t="e">
        <f ca="1">BDP("611305NJ Muni","STATE_CODE")</f>
        <v>#NAME?</v>
      </c>
      <c r="C1150" t="s">
        <v>80</v>
      </c>
      <c r="D1150" t="e">
        <f ca="1">BDP("611305NJ Muni","YIELD_ON_ISSUE_DATE")</f>
        <v>#NAME?</v>
      </c>
      <c r="E1150">
        <v>420000</v>
      </c>
      <c r="F1150" t="e">
        <f ca="1">BDP("611305NJ Muni","ISSUE_DT")</f>
        <v>#NAME?</v>
      </c>
      <c r="G1150" t="e">
        <f ca="1">BDP("611305NJ Muni","MATURITY")</f>
        <v>#NAME?</v>
      </c>
      <c r="H1150" t="e">
        <f ca="1">BDP("611305NJ Muni","MUNI_TAX_PROV")</f>
        <v>#NAME?</v>
      </c>
      <c r="I1150" t="e">
        <f ca="1">BDP("611305NJ Muni","FINANCING_TYPE")</f>
        <v>#NAME?</v>
      </c>
      <c r="J1150" t="e">
        <f ca="1">BDP("611305NJ Muni","BICS_LEVEL_2_INDUSTRY_GROUP_NAME")</f>
        <v>#NAME?</v>
      </c>
      <c r="K1150" t="e">
        <f ca="1">BDP("611305NJ Muni","SELF_REPRTD_GREEN_INSTR_INDCTR")</f>
        <v>#NAME?</v>
      </c>
      <c r="L1150" t="e">
        <f ca="1">BDP("611305NJ Muni","GB_MANAGEMENT_PROCEEDS")</f>
        <v>#NAME?</v>
      </c>
      <c r="M1150" t="e">
        <f ca="1">BDP("611305NJ Muni","GB_REPORTING")</f>
        <v>#NAME?</v>
      </c>
      <c r="N1150" t="e">
        <f ca="1">BDP("611305NJ Muni","GB_ASSURANCE_PROVIDERS")</f>
        <v>#NAME?</v>
      </c>
      <c r="O1150" t="e">
        <f ca="1">BDP("611305NJ Muni","GB_PROJECT_SELECTION_PROCESS")</f>
        <v>#NAME?</v>
      </c>
      <c r="P1150" t="e">
        <f ca="1">BDP("611305NJ Muni","ESG_FRAMEWORK_INDICATOR")</f>
        <v>#NAME?</v>
      </c>
      <c r="Q1150" t="e">
        <f ca="1">BDP("611305NJ Muni","BLOOMBERG_SECTOR_CODE")</f>
        <v>#NAME?</v>
      </c>
      <c r="R1150" t="e">
        <f ca="1">BDP("611305NJ Muni","ISSUER_TYPE")</f>
        <v>#NAME?</v>
      </c>
      <c r="S1150" t="e">
        <f ca="1">BDS("611305NJ Muni","ESG_PROJECT_CATEGORY", "aggregate=y")</f>
        <v>#NAME?</v>
      </c>
      <c r="T1150" t="e">
        <f ca="1">BDS("611305NJ Muni","ESG_PROJECT_SUBCATEGORY", "aggregate=y")</f>
        <v>#NAME?</v>
      </c>
    </row>
    <row r="1151" spans="1:20" x14ac:dyDescent="0.25">
      <c r="A1151" t="e">
        <f ca="1">BDP("611305NK Muni","ID_CUSIP")</f>
        <v>#NAME?</v>
      </c>
      <c r="B1151" t="e">
        <f ca="1">BDP("611305NK Muni","STATE_CODE")</f>
        <v>#NAME?</v>
      </c>
      <c r="C1151" t="s">
        <v>80</v>
      </c>
      <c r="D1151" t="e">
        <f ca="1">BDP("611305NK Muni","YIELD_ON_ISSUE_DATE")</f>
        <v>#NAME?</v>
      </c>
      <c r="E1151">
        <v>420000</v>
      </c>
      <c r="F1151" t="e">
        <f ca="1">BDP("611305NK Muni","ISSUE_DT")</f>
        <v>#NAME?</v>
      </c>
      <c r="G1151" t="e">
        <f ca="1">BDP("611305NK Muni","MATURITY")</f>
        <v>#NAME?</v>
      </c>
      <c r="H1151" t="e">
        <f ca="1">BDP("611305NK Muni","MUNI_TAX_PROV")</f>
        <v>#NAME?</v>
      </c>
      <c r="I1151" t="e">
        <f ca="1">BDP("611305NK Muni","FINANCING_TYPE")</f>
        <v>#NAME?</v>
      </c>
      <c r="J1151" t="e">
        <f ca="1">BDP("611305NK Muni","BICS_LEVEL_2_INDUSTRY_GROUP_NAME")</f>
        <v>#NAME?</v>
      </c>
      <c r="K1151" t="e">
        <f ca="1">BDP("611305NK Muni","SELF_REPRTD_GREEN_INSTR_INDCTR")</f>
        <v>#NAME?</v>
      </c>
      <c r="L1151" t="e">
        <f ca="1">BDP("611305NK Muni","GB_MANAGEMENT_PROCEEDS")</f>
        <v>#NAME?</v>
      </c>
      <c r="M1151" t="e">
        <f ca="1">BDP("611305NK Muni","GB_REPORTING")</f>
        <v>#NAME?</v>
      </c>
      <c r="N1151" t="e">
        <f ca="1">BDP("611305NK Muni","GB_ASSURANCE_PROVIDERS")</f>
        <v>#NAME?</v>
      </c>
      <c r="O1151" t="e">
        <f ca="1">BDP("611305NK Muni","GB_PROJECT_SELECTION_PROCESS")</f>
        <v>#NAME?</v>
      </c>
      <c r="P1151" t="e">
        <f ca="1">BDP("611305NK Muni","ESG_FRAMEWORK_INDICATOR")</f>
        <v>#NAME?</v>
      </c>
      <c r="Q1151" t="e">
        <f ca="1">BDP("611305NK Muni","BLOOMBERG_SECTOR_CODE")</f>
        <v>#NAME?</v>
      </c>
      <c r="R1151" t="e">
        <f ca="1">BDP("611305NK Muni","ISSUER_TYPE")</f>
        <v>#NAME?</v>
      </c>
      <c r="S1151" t="e">
        <f ca="1">BDS("611305NK Muni","ESG_PROJECT_CATEGORY", "aggregate=y")</f>
        <v>#NAME?</v>
      </c>
      <c r="T1151" t="e">
        <f ca="1">BDS("611305NK Muni","ESG_PROJECT_SUBCATEGORY", "aggregate=y")</f>
        <v>#NAME?</v>
      </c>
    </row>
    <row r="1152" spans="1:20" x14ac:dyDescent="0.25">
      <c r="A1152" t="e">
        <f ca="1">BDP("611305NL Muni","ID_CUSIP")</f>
        <v>#NAME?</v>
      </c>
      <c r="B1152" t="e">
        <f ca="1">BDP("611305NL Muni","STATE_CODE")</f>
        <v>#NAME?</v>
      </c>
      <c r="C1152" t="s">
        <v>80</v>
      </c>
      <c r="D1152" t="e">
        <f ca="1">BDP("611305NL Muni","YIELD_ON_ISSUE_DATE")</f>
        <v>#NAME?</v>
      </c>
      <c r="E1152">
        <v>460000</v>
      </c>
      <c r="F1152" t="e">
        <f ca="1">BDP("611305NL Muni","ISSUE_DT")</f>
        <v>#NAME?</v>
      </c>
      <c r="G1152" t="e">
        <f ca="1">BDP("611305NL Muni","MATURITY")</f>
        <v>#NAME?</v>
      </c>
      <c r="H1152" t="e">
        <f ca="1">BDP("611305NL Muni","MUNI_TAX_PROV")</f>
        <v>#NAME?</v>
      </c>
      <c r="I1152" t="e">
        <f ca="1">BDP("611305NL Muni","FINANCING_TYPE")</f>
        <v>#NAME?</v>
      </c>
      <c r="J1152" t="e">
        <f ca="1">BDP("611305NL Muni","BICS_LEVEL_2_INDUSTRY_GROUP_NAME")</f>
        <v>#NAME?</v>
      </c>
      <c r="K1152" t="e">
        <f ca="1">BDP("611305NL Muni","SELF_REPRTD_GREEN_INSTR_INDCTR")</f>
        <v>#NAME?</v>
      </c>
      <c r="L1152" t="e">
        <f ca="1">BDP("611305NL Muni","GB_MANAGEMENT_PROCEEDS")</f>
        <v>#NAME?</v>
      </c>
      <c r="M1152" t="e">
        <f ca="1">BDP("611305NL Muni","GB_REPORTING")</f>
        <v>#NAME?</v>
      </c>
      <c r="N1152" t="e">
        <f ca="1">BDP("611305NL Muni","GB_ASSURANCE_PROVIDERS")</f>
        <v>#NAME?</v>
      </c>
      <c r="O1152" t="e">
        <f ca="1">BDP("611305NL Muni","GB_PROJECT_SELECTION_PROCESS")</f>
        <v>#NAME?</v>
      </c>
      <c r="P1152" t="e">
        <f ca="1">BDP("611305NL Muni","ESG_FRAMEWORK_INDICATOR")</f>
        <v>#NAME?</v>
      </c>
      <c r="Q1152" t="e">
        <f ca="1">BDP("611305NL Muni","BLOOMBERG_SECTOR_CODE")</f>
        <v>#NAME?</v>
      </c>
      <c r="R1152" t="e">
        <f ca="1">BDP("611305NL Muni","ISSUER_TYPE")</f>
        <v>#NAME?</v>
      </c>
      <c r="S1152" t="e">
        <f ca="1">BDS("611305NL Muni","ESG_PROJECT_CATEGORY", "aggregate=y")</f>
        <v>#NAME?</v>
      </c>
      <c r="T1152" t="e">
        <f ca="1">BDS("611305NL Muni","ESG_PROJECT_SUBCATEGORY", "aggregate=y")</f>
        <v>#NAME?</v>
      </c>
    </row>
    <row r="1153" spans="1:20" x14ac:dyDescent="0.25">
      <c r="A1153" t="e">
        <f ca="1">BDP("611305NM Muni","ID_CUSIP")</f>
        <v>#NAME?</v>
      </c>
      <c r="B1153" t="e">
        <f ca="1">BDP("611305NM Muni","STATE_CODE")</f>
        <v>#NAME?</v>
      </c>
      <c r="C1153" t="s">
        <v>80</v>
      </c>
      <c r="D1153" t="e">
        <f ca="1">BDP("611305NM Muni","YIELD_ON_ISSUE_DATE")</f>
        <v>#NAME?</v>
      </c>
      <c r="E1153">
        <v>500000</v>
      </c>
      <c r="F1153" t="e">
        <f ca="1">BDP("611305NM Muni","ISSUE_DT")</f>
        <v>#NAME?</v>
      </c>
      <c r="G1153" t="e">
        <f ca="1">BDP("611305NM Muni","MATURITY")</f>
        <v>#NAME?</v>
      </c>
      <c r="H1153" t="e">
        <f ca="1">BDP("611305NM Muni","MUNI_TAX_PROV")</f>
        <v>#NAME?</v>
      </c>
      <c r="I1153" t="e">
        <f ca="1">BDP("611305NM Muni","FINANCING_TYPE")</f>
        <v>#NAME?</v>
      </c>
      <c r="J1153" t="e">
        <f ca="1">BDP("611305NM Muni","BICS_LEVEL_2_INDUSTRY_GROUP_NAME")</f>
        <v>#NAME?</v>
      </c>
      <c r="K1153" t="e">
        <f ca="1">BDP("611305NM Muni","SELF_REPRTD_GREEN_INSTR_INDCTR")</f>
        <v>#NAME?</v>
      </c>
      <c r="L1153" t="e">
        <f ca="1">BDP("611305NM Muni","GB_MANAGEMENT_PROCEEDS")</f>
        <v>#NAME?</v>
      </c>
      <c r="M1153" t="e">
        <f ca="1">BDP("611305NM Muni","GB_REPORTING")</f>
        <v>#NAME?</v>
      </c>
      <c r="N1153" t="e">
        <f ca="1">BDP("611305NM Muni","GB_ASSURANCE_PROVIDERS")</f>
        <v>#NAME?</v>
      </c>
      <c r="O1153" t="e">
        <f ca="1">BDP("611305NM Muni","GB_PROJECT_SELECTION_PROCESS")</f>
        <v>#NAME?</v>
      </c>
      <c r="P1153" t="e">
        <f ca="1">BDP("611305NM Muni","ESG_FRAMEWORK_INDICATOR")</f>
        <v>#NAME?</v>
      </c>
      <c r="Q1153" t="e">
        <f ca="1">BDP("611305NM Muni","BLOOMBERG_SECTOR_CODE")</f>
        <v>#NAME?</v>
      </c>
      <c r="R1153" t="e">
        <f ca="1">BDP("611305NM Muni","ISSUER_TYPE")</f>
        <v>#NAME?</v>
      </c>
      <c r="S1153" t="e">
        <f ca="1">BDS("611305NM Muni","ESG_PROJECT_CATEGORY", "aggregate=y")</f>
        <v>#NAME?</v>
      </c>
      <c r="T1153" t="e">
        <f ca="1">BDS("611305NM Muni","ESG_PROJECT_SUBCATEGORY", "aggregate=y")</f>
        <v>#NAME?</v>
      </c>
    </row>
    <row r="1154" spans="1:20" x14ac:dyDescent="0.25">
      <c r="A1154" t="e">
        <f ca="1">BDP("611305NN Muni","ID_CUSIP")</f>
        <v>#NAME?</v>
      </c>
      <c r="B1154" t="e">
        <f ca="1">BDP("611305NN Muni","STATE_CODE")</f>
        <v>#NAME?</v>
      </c>
      <c r="C1154" t="s">
        <v>80</v>
      </c>
      <c r="D1154" t="e">
        <f ca="1">BDP("611305NN Muni","YIELD_ON_ISSUE_DATE")</f>
        <v>#NAME?</v>
      </c>
      <c r="E1154">
        <v>545000</v>
      </c>
      <c r="F1154" t="e">
        <f ca="1">BDP("611305NN Muni","ISSUE_DT")</f>
        <v>#NAME?</v>
      </c>
      <c r="G1154" t="e">
        <f ca="1">BDP("611305NN Muni","MATURITY")</f>
        <v>#NAME?</v>
      </c>
      <c r="H1154" t="e">
        <f ca="1">BDP("611305NN Muni","MUNI_TAX_PROV")</f>
        <v>#NAME?</v>
      </c>
      <c r="I1154" t="e">
        <f ca="1">BDP("611305NN Muni","FINANCING_TYPE")</f>
        <v>#NAME?</v>
      </c>
      <c r="J1154" t="e">
        <f ca="1">BDP("611305NN Muni","BICS_LEVEL_2_INDUSTRY_GROUP_NAME")</f>
        <v>#NAME?</v>
      </c>
      <c r="K1154" t="e">
        <f ca="1">BDP("611305NN Muni","SELF_REPRTD_GREEN_INSTR_INDCTR")</f>
        <v>#NAME?</v>
      </c>
      <c r="L1154" t="e">
        <f ca="1">BDP("611305NN Muni","GB_MANAGEMENT_PROCEEDS")</f>
        <v>#NAME?</v>
      </c>
      <c r="M1154" t="e">
        <f ca="1">BDP("611305NN Muni","GB_REPORTING")</f>
        <v>#NAME?</v>
      </c>
      <c r="N1154" t="e">
        <f ca="1">BDP("611305NN Muni","GB_ASSURANCE_PROVIDERS")</f>
        <v>#NAME?</v>
      </c>
      <c r="O1154" t="e">
        <f ca="1">BDP("611305NN Muni","GB_PROJECT_SELECTION_PROCESS")</f>
        <v>#NAME?</v>
      </c>
      <c r="P1154" t="e">
        <f ca="1">BDP("611305NN Muni","ESG_FRAMEWORK_INDICATOR")</f>
        <v>#NAME?</v>
      </c>
      <c r="Q1154" t="e">
        <f ca="1">BDP("611305NN Muni","BLOOMBERG_SECTOR_CODE")</f>
        <v>#NAME?</v>
      </c>
      <c r="R1154" t="e">
        <f ca="1">BDP("611305NN Muni","ISSUER_TYPE")</f>
        <v>#NAME?</v>
      </c>
      <c r="S1154" t="e">
        <f ca="1">BDS("611305NN Muni","ESG_PROJECT_CATEGORY", "aggregate=y")</f>
        <v>#NAME?</v>
      </c>
      <c r="T1154" t="e">
        <f ca="1">BDS("611305NN Muni","ESG_PROJECT_SUBCATEGORY", "aggregate=y")</f>
        <v>#NAME?</v>
      </c>
    </row>
    <row r="1155" spans="1:20" x14ac:dyDescent="0.25">
      <c r="A1155" t="e">
        <f ca="1">BDP("611305NP Muni","ID_CUSIP")</f>
        <v>#NAME?</v>
      </c>
      <c r="B1155" t="e">
        <f ca="1">BDP("611305NP Muni","STATE_CODE")</f>
        <v>#NAME?</v>
      </c>
      <c r="C1155" t="s">
        <v>80</v>
      </c>
      <c r="D1155" t="e">
        <f ca="1">BDP("611305NP Muni","YIELD_ON_ISSUE_DATE")</f>
        <v>#NAME?</v>
      </c>
      <c r="E1155">
        <v>595000</v>
      </c>
      <c r="F1155" t="e">
        <f ca="1">BDP("611305NP Muni","ISSUE_DT")</f>
        <v>#NAME?</v>
      </c>
      <c r="G1155" t="e">
        <f ca="1">BDP("611305NP Muni","MATURITY")</f>
        <v>#NAME?</v>
      </c>
      <c r="H1155" t="e">
        <f ca="1">BDP("611305NP Muni","MUNI_TAX_PROV")</f>
        <v>#NAME?</v>
      </c>
      <c r="I1155" t="e">
        <f ca="1">BDP("611305NP Muni","FINANCING_TYPE")</f>
        <v>#NAME?</v>
      </c>
      <c r="J1155" t="e">
        <f ca="1">BDP("611305NP Muni","BICS_LEVEL_2_INDUSTRY_GROUP_NAME")</f>
        <v>#NAME?</v>
      </c>
      <c r="K1155" t="e">
        <f ca="1">BDP("611305NP Muni","SELF_REPRTD_GREEN_INSTR_INDCTR")</f>
        <v>#NAME?</v>
      </c>
      <c r="L1155" t="e">
        <f ca="1">BDP("611305NP Muni","GB_MANAGEMENT_PROCEEDS")</f>
        <v>#NAME?</v>
      </c>
      <c r="M1155" t="e">
        <f ca="1">BDP("611305NP Muni","GB_REPORTING")</f>
        <v>#NAME?</v>
      </c>
      <c r="N1155" t="e">
        <f ca="1">BDP("611305NP Muni","GB_ASSURANCE_PROVIDERS")</f>
        <v>#NAME?</v>
      </c>
      <c r="O1155" t="e">
        <f ca="1">BDP("611305NP Muni","GB_PROJECT_SELECTION_PROCESS")</f>
        <v>#NAME?</v>
      </c>
      <c r="P1155" t="e">
        <f ca="1">BDP("611305NP Muni","ESG_FRAMEWORK_INDICATOR")</f>
        <v>#NAME?</v>
      </c>
      <c r="Q1155" t="e">
        <f ca="1">BDP("611305NP Muni","BLOOMBERG_SECTOR_CODE")</f>
        <v>#NAME?</v>
      </c>
      <c r="R1155" t="e">
        <f ca="1">BDP("611305NP Muni","ISSUER_TYPE")</f>
        <v>#NAME?</v>
      </c>
      <c r="S1155" t="e">
        <f ca="1">BDS("611305NP Muni","ESG_PROJECT_CATEGORY", "aggregate=y")</f>
        <v>#NAME?</v>
      </c>
      <c r="T1155" t="e">
        <f ca="1">BDS("611305NP Muni","ESG_PROJECT_SUBCATEGORY", "aggregate=y")</f>
        <v>#NAME?</v>
      </c>
    </row>
    <row r="1156" spans="1:20" x14ac:dyDescent="0.25">
      <c r="A1156" t="e">
        <f ca="1">BDP("611305NS Muni","ID_CUSIP")</f>
        <v>#NAME?</v>
      </c>
      <c r="B1156" t="e">
        <f ca="1">BDP("611305NS Muni","STATE_CODE")</f>
        <v>#NAME?</v>
      </c>
      <c r="C1156" t="s">
        <v>80</v>
      </c>
      <c r="D1156" t="e">
        <f ca="1">BDP("611305NS Muni","YIELD_ON_ISSUE_DATE")</f>
        <v>#NAME?</v>
      </c>
      <c r="E1156">
        <v>745000</v>
      </c>
      <c r="F1156" t="e">
        <f ca="1">BDP("611305NS Muni","ISSUE_DT")</f>
        <v>#NAME?</v>
      </c>
      <c r="G1156" t="e">
        <f ca="1">BDP("611305NS Muni","MATURITY")</f>
        <v>#NAME?</v>
      </c>
      <c r="H1156" t="e">
        <f ca="1">BDP("611305NS Muni","MUNI_TAX_PROV")</f>
        <v>#NAME?</v>
      </c>
      <c r="I1156" t="e">
        <f ca="1">BDP("611305NS Muni","FINANCING_TYPE")</f>
        <v>#NAME?</v>
      </c>
      <c r="J1156" t="e">
        <f ca="1">BDP("611305NS Muni","BICS_LEVEL_2_INDUSTRY_GROUP_NAME")</f>
        <v>#NAME?</v>
      </c>
      <c r="K1156" t="e">
        <f ca="1">BDP("611305NS Muni","SELF_REPRTD_GREEN_INSTR_INDCTR")</f>
        <v>#NAME?</v>
      </c>
      <c r="L1156" t="e">
        <f ca="1">BDP("611305NS Muni","GB_MANAGEMENT_PROCEEDS")</f>
        <v>#NAME?</v>
      </c>
      <c r="M1156" t="e">
        <f ca="1">BDP("611305NS Muni","GB_REPORTING")</f>
        <v>#NAME?</v>
      </c>
      <c r="N1156" t="e">
        <f ca="1">BDP("611305NS Muni","GB_ASSURANCE_PROVIDERS")</f>
        <v>#NAME?</v>
      </c>
      <c r="O1156" t="e">
        <f ca="1">BDP("611305NS Muni","GB_PROJECT_SELECTION_PROCESS")</f>
        <v>#NAME?</v>
      </c>
      <c r="P1156" t="e">
        <f ca="1">BDP("611305NS Muni","ESG_FRAMEWORK_INDICATOR")</f>
        <v>#NAME?</v>
      </c>
      <c r="Q1156" t="e">
        <f ca="1">BDP("611305NS Muni","BLOOMBERG_SECTOR_CODE")</f>
        <v>#NAME?</v>
      </c>
      <c r="R1156" t="e">
        <f ca="1">BDP("611305NS Muni","ISSUER_TYPE")</f>
        <v>#NAME?</v>
      </c>
      <c r="S1156" t="e">
        <f ca="1">BDS("611305NS Muni","ESG_PROJECT_CATEGORY", "aggregate=y")</f>
        <v>#NAME?</v>
      </c>
      <c r="T1156" t="e">
        <f ca="1">BDS("611305NS Muni","ESG_PROJECT_SUBCATEGORY", "aggregate=y")</f>
        <v>#NAME?</v>
      </c>
    </row>
    <row r="1157" spans="1:20" x14ac:dyDescent="0.25">
      <c r="A1157" t="e">
        <f ca="1">BDP("611305NT Muni","ID_CUSIP")</f>
        <v>#NAME?</v>
      </c>
      <c r="B1157" t="e">
        <f ca="1">BDP("611305NT Muni","STATE_CODE")</f>
        <v>#NAME?</v>
      </c>
      <c r="C1157" t="s">
        <v>80</v>
      </c>
      <c r="D1157" t="e">
        <f ca="1">BDP("611305NT Muni","YIELD_ON_ISSUE_DATE")</f>
        <v>#NAME?</v>
      </c>
      <c r="E1157">
        <v>805000</v>
      </c>
      <c r="F1157" t="e">
        <f ca="1">BDP("611305NT Muni","ISSUE_DT")</f>
        <v>#NAME?</v>
      </c>
      <c r="G1157" t="e">
        <f ca="1">BDP("611305NT Muni","MATURITY")</f>
        <v>#NAME?</v>
      </c>
      <c r="H1157" t="e">
        <f ca="1">BDP("611305NT Muni","MUNI_TAX_PROV")</f>
        <v>#NAME?</v>
      </c>
      <c r="I1157" t="e">
        <f ca="1">BDP("611305NT Muni","FINANCING_TYPE")</f>
        <v>#NAME?</v>
      </c>
      <c r="J1157" t="e">
        <f ca="1">BDP("611305NT Muni","BICS_LEVEL_2_INDUSTRY_GROUP_NAME")</f>
        <v>#NAME?</v>
      </c>
      <c r="K1157" t="e">
        <f ca="1">BDP("611305NT Muni","SELF_REPRTD_GREEN_INSTR_INDCTR")</f>
        <v>#NAME?</v>
      </c>
      <c r="L1157" t="e">
        <f ca="1">BDP("611305NT Muni","GB_MANAGEMENT_PROCEEDS")</f>
        <v>#NAME?</v>
      </c>
      <c r="M1157" t="e">
        <f ca="1">BDP("611305NT Muni","GB_REPORTING")</f>
        <v>#NAME?</v>
      </c>
      <c r="N1157" t="e">
        <f ca="1">BDP("611305NT Muni","GB_ASSURANCE_PROVIDERS")</f>
        <v>#NAME?</v>
      </c>
      <c r="O1157" t="e">
        <f ca="1">BDP("611305NT Muni","GB_PROJECT_SELECTION_PROCESS")</f>
        <v>#NAME?</v>
      </c>
      <c r="P1157" t="e">
        <f ca="1">BDP("611305NT Muni","ESG_FRAMEWORK_INDICATOR")</f>
        <v>#NAME?</v>
      </c>
      <c r="Q1157" t="e">
        <f ca="1">BDP("611305NT Muni","BLOOMBERG_SECTOR_CODE")</f>
        <v>#NAME?</v>
      </c>
      <c r="R1157" t="e">
        <f ca="1">BDP("611305NT Muni","ISSUER_TYPE")</f>
        <v>#NAME?</v>
      </c>
      <c r="S1157" t="e">
        <f ca="1">BDS("611305NT Muni","ESG_PROJECT_CATEGORY", "aggregate=y")</f>
        <v>#NAME?</v>
      </c>
      <c r="T1157" t="e">
        <f ca="1">BDS("611305NT Muni","ESG_PROJECT_SUBCATEGORY", "aggregate=y")</f>
        <v>#NAME?</v>
      </c>
    </row>
    <row r="1158" spans="1:20" x14ac:dyDescent="0.25">
      <c r="A1158" t="e">
        <f ca="1">BDP("611305NU Muni","ID_CUSIP")</f>
        <v>#NAME?</v>
      </c>
      <c r="B1158" t="e">
        <f ca="1">BDP("611305NU Muni","STATE_CODE")</f>
        <v>#NAME?</v>
      </c>
      <c r="C1158" t="s">
        <v>80</v>
      </c>
      <c r="D1158" t="e">
        <f ca="1">BDP("611305NU Muni","YIELD_ON_ISSUE_DATE")</f>
        <v>#NAME?</v>
      </c>
      <c r="E1158">
        <v>865000</v>
      </c>
      <c r="F1158" t="e">
        <f ca="1">BDP("611305NU Muni","ISSUE_DT")</f>
        <v>#NAME?</v>
      </c>
      <c r="G1158" t="e">
        <f ca="1">BDP("611305NU Muni","MATURITY")</f>
        <v>#NAME?</v>
      </c>
      <c r="H1158" t="e">
        <f ca="1">BDP("611305NU Muni","MUNI_TAX_PROV")</f>
        <v>#NAME?</v>
      </c>
      <c r="I1158" t="e">
        <f ca="1">BDP("611305NU Muni","FINANCING_TYPE")</f>
        <v>#NAME?</v>
      </c>
      <c r="J1158" t="e">
        <f ca="1">BDP("611305NU Muni","BICS_LEVEL_2_INDUSTRY_GROUP_NAME")</f>
        <v>#NAME?</v>
      </c>
      <c r="K1158" t="e">
        <f ca="1">BDP("611305NU Muni","SELF_REPRTD_GREEN_INSTR_INDCTR")</f>
        <v>#NAME?</v>
      </c>
      <c r="L1158" t="e">
        <f ca="1">BDP("611305NU Muni","GB_MANAGEMENT_PROCEEDS")</f>
        <v>#NAME?</v>
      </c>
      <c r="M1158" t="e">
        <f ca="1">BDP("611305NU Muni","GB_REPORTING")</f>
        <v>#NAME?</v>
      </c>
      <c r="N1158" t="e">
        <f ca="1">BDP("611305NU Muni","GB_ASSURANCE_PROVIDERS")</f>
        <v>#NAME?</v>
      </c>
      <c r="O1158" t="e">
        <f ca="1">BDP("611305NU Muni","GB_PROJECT_SELECTION_PROCESS")</f>
        <v>#NAME?</v>
      </c>
      <c r="P1158" t="e">
        <f ca="1">BDP("611305NU Muni","ESG_FRAMEWORK_INDICATOR")</f>
        <v>#NAME?</v>
      </c>
      <c r="Q1158" t="e">
        <f ca="1">BDP("611305NU Muni","BLOOMBERG_SECTOR_CODE")</f>
        <v>#NAME?</v>
      </c>
      <c r="R1158" t="e">
        <f ca="1">BDP("611305NU Muni","ISSUER_TYPE")</f>
        <v>#NAME?</v>
      </c>
      <c r="S1158" t="e">
        <f ca="1">BDS("611305NU Muni","ESG_PROJECT_CATEGORY", "aggregate=y")</f>
        <v>#NAME?</v>
      </c>
      <c r="T1158" t="e">
        <f ca="1">BDS("611305NU Muni","ESG_PROJECT_SUBCATEGORY", "aggregate=y")</f>
        <v>#NAME?</v>
      </c>
    </row>
    <row r="1159" spans="1:20" x14ac:dyDescent="0.25">
      <c r="A1159" t="e">
        <f ca="1">BDP("611305NV Muni","ID_CUSIP")</f>
        <v>#NAME?</v>
      </c>
      <c r="B1159" t="e">
        <f ca="1">BDP("611305NV Muni","STATE_CODE")</f>
        <v>#NAME?</v>
      </c>
      <c r="C1159" t="s">
        <v>80</v>
      </c>
      <c r="D1159" t="e">
        <f ca="1">BDP("611305NV Muni","YIELD_ON_ISSUE_DATE")</f>
        <v>#NAME?</v>
      </c>
      <c r="E1159">
        <v>925000</v>
      </c>
      <c r="F1159" t="e">
        <f ca="1">BDP("611305NV Muni","ISSUE_DT")</f>
        <v>#NAME?</v>
      </c>
      <c r="G1159" t="e">
        <f ca="1">BDP("611305NV Muni","MATURITY")</f>
        <v>#NAME?</v>
      </c>
      <c r="H1159" t="e">
        <f ca="1">BDP("611305NV Muni","MUNI_TAX_PROV")</f>
        <v>#NAME?</v>
      </c>
      <c r="I1159" t="e">
        <f ca="1">BDP("611305NV Muni","FINANCING_TYPE")</f>
        <v>#NAME?</v>
      </c>
      <c r="J1159" t="e">
        <f ca="1">BDP("611305NV Muni","BICS_LEVEL_2_INDUSTRY_GROUP_NAME")</f>
        <v>#NAME?</v>
      </c>
      <c r="K1159" t="e">
        <f ca="1">BDP("611305NV Muni","SELF_REPRTD_GREEN_INSTR_INDCTR")</f>
        <v>#NAME?</v>
      </c>
      <c r="L1159" t="e">
        <f ca="1">BDP("611305NV Muni","GB_MANAGEMENT_PROCEEDS")</f>
        <v>#NAME?</v>
      </c>
      <c r="M1159" t="e">
        <f ca="1">BDP("611305NV Muni","GB_REPORTING")</f>
        <v>#NAME?</v>
      </c>
      <c r="N1159" t="e">
        <f ca="1">BDP("611305NV Muni","GB_ASSURANCE_PROVIDERS")</f>
        <v>#NAME?</v>
      </c>
      <c r="O1159" t="e">
        <f ca="1">BDP("611305NV Muni","GB_PROJECT_SELECTION_PROCESS")</f>
        <v>#NAME?</v>
      </c>
      <c r="P1159" t="e">
        <f ca="1">BDP("611305NV Muni","ESG_FRAMEWORK_INDICATOR")</f>
        <v>#NAME?</v>
      </c>
      <c r="Q1159" t="e">
        <f ca="1">BDP("611305NV Muni","BLOOMBERG_SECTOR_CODE")</f>
        <v>#NAME?</v>
      </c>
      <c r="R1159" t="e">
        <f ca="1">BDP("611305NV Muni","ISSUER_TYPE")</f>
        <v>#NAME?</v>
      </c>
      <c r="S1159" t="e">
        <f ca="1">BDS("611305NV Muni","ESG_PROJECT_CATEGORY", "aggregate=y")</f>
        <v>#NAME?</v>
      </c>
      <c r="T1159" t="e">
        <f ca="1">BDS("611305NV Muni","ESG_PROJECT_SUBCATEGORY", "aggregate=y")</f>
        <v>#NAME?</v>
      </c>
    </row>
    <row r="1160" spans="1:20" x14ac:dyDescent="0.25">
      <c r="A1160" t="e">
        <f ca="1">BDP("611305NW Muni","ID_CUSIP")</f>
        <v>#NAME?</v>
      </c>
      <c r="B1160" t="e">
        <f ca="1">BDP("611305NW Muni","STATE_CODE")</f>
        <v>#NAME?</v>
      </c>
      <c r="C1160" t="s">
        <v>80</v>
      </c>
      <c r="D1160" t="e">
        <f ca="1">BDP("611305NW Muni","YIELD_ON_ISSUE_DATE")</f>
        <v>#NAME?</v>
      </c>
      <c r="E1160">
        <v>630000</v>
      </c>
      <c r="F1160" t="e">
        <f ca="1">BDP("611305NW Muni","ISSUE_DT")</f>
        <v>#NAME?</v>
      </c>
      <c r="G1160" t="e">
        <f ca="1">BDP("611305NW Muni","MATURITY")</f>
        <v>#NAME?</v>
      </c>
      <c r="H1160" t="e">
        <f ca="1">BDP("611305NW Muni","MUNI_TAX_PROV")</f>
        <v>#NAME?</v>
      </c>
      <c r="I1160" t="e">
        <f ca="1">BDP("611305NW Muni","FINANCING_TYPE")</f>
        <v>#NAME?</v>
      </c>
      <c r="J1160" t="e">
        <f ca="1">BDP("611305NW Muni","BICS_LEVEL_2_INDUSTRY_GROUP_NAME")</f>
        <v>#NAME?</v>
      </c>
      <c r="K1160" t="e">
        <f ca="1">BDP("611305NW Muni","SELF_REPRTD_GREEN_INSTR_INDCTR")</f>
        <v>#NAME?</v>
      </c>
      <c r="L1160" t="e">
        <f ca="1">BDP("611305NW Muni","GB_MANAGEMENT_PROCEEDS")</f>
        <v>#NAME?</v>
      </c>
      <c r="M1160" t="e">
        <f ca="1">BDP("611305NW Muni","GB_REPORTING")</f>
        <v>#NAME?</v>
      </c>
      <c r="N1160" t="e">
        <f ca="1">BDP("611305NW Muni","GB_ASSURANCE_PROVIDERS")</f>
        <v>#NAME?</v>
      </c>
      <c r="O1160" t="e">
        <f ca="1">BDP("611305NW Muni","GB_PROJECT_SELECTION_PROCESS")</f>
        <v>#NAME?</v>
      </c>
      <c r="P1160" t="e">
        <f ca="1">BDP("611305NW Muni","ESG_FRAMEWORK_INDICATOR")</f>
        <v>#NAME?</v>
      </c>
      <c r="Q1160" t="e">
        <f ca="1">BDP("611305NW Muni","BLOOMBERG_SECTOR_CODE")</f>
        <v>#NAME?</v>
      </c>
      <c r="R1160" t="e">
        <f ca="1">BDP("611305NW Muni","ISSUER_TYPE")</f>
        <v>#NAME?</v>
      </c>
      <c r="S1160" t="e">
        <f ca="1">BDS("611305NW Muni","ESG_PROJECT_CATEGORY", "aggregate=y")</f>
        <v>#NAME?</v>
      </c>
      <c r="T1160" t="e">
        <f ca="1">BDS("611305NW Muni","ESG_PROJECT_SUBCATEGORY", "aggregate=y")</f>
        <v>#NAME?</v>
      </c>
    </row>
    <row r="1161" spans="1:20" x14ac:dyDescent="0.25">
      <c r="A1161" t="e">
        <f ca="1">BDP("611305NX Muni","ID_CUSIP")</f>
        <v>#NAME?</v>
      </c>
      <c r="B1161" t="e">
        <f ca="1">BDP("611305NX Muni","STATE_CODE")</f>
        <v>#NAME?</v>
      </c>
      <c r="C1161" t="s">
        <v>80</v>
      </c>
      <c r="D1161" t="e">
        <f ca="1">BDP("611305NX Muni","YIELD_ON_ISSUE_DATE")</f>
        <v>#NAME?</v>
      </c>
      <c r="E1161">
        <v>670000</v>
      </c>
      <c r="F1161" t="e">
        <f ca="1">BDP("611305NX Muni","ISSUE_DT")</f>
        <v>#NAME?</v>
      </c>
      <c r="G1161" t="e">
        <f ca="1">BDP("611305NX Muni","MATURITY")</f>
        <v>#NAME?</v>
      </c>
      <c r="H1161" t="e">
        <f ca="1">BDP("611305NX Muni","MUNI_TAX_PROV")</f>
        <v>#NAME?</v>
      </c>
      <c r="I1161" t="e">
        <f ca="1">BDP("611305NX Muni","FINANCING_TYPE")</f>
        <v>#NAME?</v>
      </c>
      <c r="J1161" t="e">
        <f ca="1">BDP("611305NX Muni","BICS_LEVEL_2_INDUSTRY_GROUP_NAME")</f>
        <v>#NAME?</v>
      </c>
      <c r="K1161" t="e">
        <f ca="1">BDP("611305NX Muni","SELF_REPRTD_GREEN_INSTR_INDCTR")</f>
        <v>#NAME?</v>
      </c>
      <c r="L1161" t="e">
        <f ca="1">BDP("611305NX Muni","GB_MANAGEMENT_PROCEEDS")</f>
        <v>#NAME?</v>
      </c>
      <c r="M1161" t="e">
        <f ca="1">BDP("611305NX Muni","GB_REPORTING")</f>
        <v>#NAME?</v>
      </c>
      <c r="N1161" t="e">
        <f ca="1">BDP("611305NX Muni","GB_ASSURANCE_PROVIDERS")</f>
        <v>#NAME?</v>
      </c>
      <c r="O1161" t="e">
        <f ca="1">BDP("611305NX Muni","GB_PROJECT_SELECTION_PROCESS")</f>
        <v>#NAME?</v>
      </c>
      <c r="P1161" t="e">
        <f ca="1">BDP("611305NX Muni","ESG_FRAMEWORK_INDICATOR")</f>
        <v>#NAME?</v>
      </c>
      <c r="Q1161" t="e">
        <f ca="1">BDP("611305NX Muni","BLOOMBERG_SECTOR_CODE")</f>
        <v>#NAME?</v>
      </c>
      <c r="R1161" t="e">
        <f ca="1">BDP("611305NX Muni","ISSUER_TYPE")</f>
        <v>#NAME?</v>
      </c>
      <c r="S1161" t="e">
        <f ca="1">BDS("611305NX Muni","ESG_PROJECT_CATEGORY", "aggregate=y")</f>
        <v>#NAME?</v>
      </c>
      <c r="T1161" t="e">
        <f ca="1">BDS("611305NX Muni","ESG_PROJECT_SUBCATEGORY", "aggregate=y")</f>
        <v>#NAME?</v>
      </c>
    </row>
    <row r="1162" spans="1:20" x14ac:dyDescent="0.25">
      <c r="A1162" t="e">
        <f ca="1">BDP("611305NY Muni","ID_CUSIP")</f>
        <v>#NAME?</v>
      </c>
      <c r="B1162" t="e">
        <f ca="1">BDP("611305NY Muni","STATE_CODE")</f>
        <v>#NAME?</v>
      </c>
      <c r="C1162" t="s">
        <v>80</v>
      </c>
      <c r="D1162" t="e">
        <f ca="1">BDP("611305NY Muni","YIELD_ON_ISSUE_DATE")</f>
        <v>#NAME?</v>
      </c>
      <c r="E1162">
        <v>715000</v>
      </c>
      <c r="F1162" t="e">
        <f ca="1">BDP("611305NY Muni","ISSUE_DT")</f>
        <v>#NAME?</v>
      </c>
      <c r="G1162" t="e">
        <f ca="1">BDP("611305NY Muni","MATURITY")</f>
        <v>#NAME?</v>
      </c>
      <c r="H1162" t="e">
        <f ca="1">BDP("611305NY Muni","MUNI_TAX_PROV")</f>
        <v>#NAME?</v>
      </c>
      <c r="I1162" t="e">
        <f ca="1">BDP("611305NY Muni","FINANCING_TYPE")</f>
        <v>#NAME?</v>
      </c>
      <c r="J1162" t="e">
        <f ca="1">BDP("611305NY Muni","BICS_LEVEL_2_INDUSTRY_GROUP_NAME")</f>
        <v>#NAME?</v>
      </c>
      <c r="K1162" t="e">
        <f ca="1">BDP("611305NY Muni","SELF_REPRTD_GREEN_INSTR_INDCTR")</f>
        <v>#NAME?</v>
      </c>
      <c r="L1162" t="e">
        <f ca="1">BDP("611305NY Muni","GB_MANAGEMENT_PROCEEDS")</f>
        <v>#NAME?</v>
      </c>
      <c r="M1162" t="e">
        <f ca="1">BDP("611305NY Muni","GB_REPORTING")</f>
        <v>#NAME?</v>
      </c>
      <c r="N1162" t="e">
        <f ca="1">BDP("611305NY Muni","GB_ASSURANCE_PROVIDERS")</f>
        <v>#NAME?</v>
      </c>
      <c r="O1162" t="e">
        <f ca="1">BDP("611305NY Muni","GB_PROJECT_SELECTION_PROCESS")</f>
        <v>#NAME?</v>
      </c>
      <c r="P1162" t="e">
        <f ca="1">BDP("611305NY Muni","ESG_FRAMEWORK_INDICATOR")</f>
        <v>#NAME?</v>
      </c>
      <c r="Q1162" t="e">
        <f ca="1">BDP("611305NY Muni","BLOOMBERG_SECTOR_CODE")</f>
        <v>#NAME?</v>
      </c>
      <c r="R1162" t="e">
        <f ca="1">BDP("611305NY Muni","ISSUER_TYPE")</f>
        <v>#NAME?</v>
      </c>
      <c r="S1162" t="e">
        <f ca="1">BDS("611305NY Muni","ESG_PROJECT_CATEGORY", "aggregate=y")</f>
        <v>#NAME?</v>
      </c>
      <c r="T1162" t="e">
        <f ca="1">BDS("611305NY Muni","ESG_PROJECT_SUBCATEGORY", "aggregate=y")</f>
        <v>#NAME?</v>
      </c>
    </row>
    <row r="1163" spans="1:20" x14ac:dyDescent="0.25">
      <c r="A1163" t="e">
        <f ca="1">BDP("611305NZ Muni","ID_CUSIP")</f>
        <v>#NAME?</v>
      </c>
      <c r="B1163" t="e">
        <f ca="1">BDP("611305NZ Muni","STATE_CODE")</f>
        <v>#NAME?</v>
      </c>
      <c r="C1163" t="s">
        <v>80</v>
      </c>
      <c r="D1163" t="e">
        <f ca="1">BDP("611305NZ Muni","YIELD_ON_ISSUE_DATE")</f>
        <v>#NAME?</v>
      </c>
      <c r="E1163">
        <v>765000</v>
      </c>
      <c r="F1163" t="e">
        <f ca="1">BDP("611305NZ Muni","ISSUE_DT")</f>
        <v>#NAME?</v>
      </c>
      <c r="G1163" t="e">
        <f ca="1">BDP("611305NZ Muni","MATURITY")</f>
        <v>#NAME?</v>
      </c>
      <c r="H1163" t="e">
        <f ca="1">BDP("611305NZ Muni","MUNI_TAX_PROV")</f>
        <v>#NAME?</v>
      </c>
      <c r="I1163" t="e">
        <f ca="1">BDP("611305NZ Muni","FINANCING_TYPE")</f>
        <v>#NAME?</v>
      </c>
      <c r="J1163" t="e">
        <f ca="1">BDP("611305NZ Muni","BICS_LEVEL_2_INDUSTRY_GROUP_NAME")</f>
        <v>#NAME?</v>
      </c>
      <c r="K1163" t="e">
        <f ca="1">BDP("611305NZ Muni","SELF_REPRTD_GREEN_INSTR_INDCTR")</f>
        <v>#NAME?</v>
      </c>
      <c r="L1163" t="e">
        <f ca="1">BDP("611305NZ Muni","GB_MANAGEMENT_PROCEEDS")</f>
        <v>#NAME?</v>
      </c>
      <c r="M1163" t="e">
        <f ca="1">BDP("611305NZ Muni","GB_REPORTING")</f>
        <v>#NAME?</v>
      </c>
      <c r="N1163" t="e">
        <f ca="1">BDP("611305NZ Muni","GB_ASSURANCE_PROVIDERS")</f>
        <v>#NAME?</v>
      </c>
      <c r="O1163" t="e">
        <f ca="1">BDP("611305NZ Muni","GB_PROJECT_SELECTION_PROCESS")</f>
        <v>#NAME?</v>
      </c>
      <c r="P1163" t="e">
        <f ca="1">BDP("611305NZ Muni","ESG_FRAMEWORK_INDICATOR")</f>
        <v>#NAME?</v>
      </c>
      <c r="Q1163" t="e">
        <f ca="1">BDP("611305NZ Muni","BLOOMBERG_SECTOR_CODE")</f>
        <v>#NAME?</v>
      </c>
      <c r="R1163" t="e">
        <f ca="1">BDP("611305NZ Muni","ISSUER_TYPE")</f>
        <v>#NAME?</v>
      </c>
      <c r="S1163" t="e">
        <f ca="1">BDS("611305NZ Muni","ESG_PROJECT_CATEGORY", "aggregate=y")</f>
        <v>#NAME?</v>
      </c>
      <c r="T1163" t="e">
        <f ca="1">BDS("611305NZ Muni","ESG_PROJECT_SUBCATEGORY", "aggregate=y")</f>
        <v>#NAME?</v>
      </c>
    </row>
    <row r="1164" spans="1:20" x14ac:dyDescent="0.25">
      <c r="A1164" t="e">
        <f ca="1">BDP("611312QJ Muni","ID_CUSIP")</f>
        <v>#NAME?</v>
      </c>
      <c r="B1164" t="e">
        <f ca="1">BDP("611312QJ Muni","STATE_CODE")</f>
        <v>#NAME?</v>
      </c>
      <c r="C1164" t="s">
        <v>81</v>
      </c>
      <c r="D1164" t="e">
        <f ca="1">BDP("611312QJ Muni","YIELD_ON_ISSUE_DATE")</f>
        <v>#NAME?</v>
      </c>
      <c r="E1164">
        <v>150000</v>
      </c>
      <c r="F1164" t="e">
        <f ca="1">BDP("611312QJ Muni","ISSUE_DT")</f>
        <v>#NAME?</v>
      </c>
      <c r="G1164" t="e">
        <f ca="1">BDP("611312QJ Muni","MATURITY")</f>
        <v>#NAME?</v>
      </c>
      <c r="H1164" t="e">
        <f ca="1">BDP("611312QJ Muni","MUNI_TAX_PROV")</f>
        <v>#NAME?</v>
      </c>
      <c r="I1164" t="e">
        <f ca="1">BDP("611312QJ Muni","FINANCING_TYPE")</f>
        <v>#NAME?</v>
      </c>
      <c r="J1164" t="e">
        <f ca="1">BDP("611312QJ Muni","BICS_LEVEL_2_INDUSTRY_GROUP_NAME")</f>
        <v>#NAME?</v>
      </c>
      <c r="K1164" t="e">
        <f ca="1">BDP("611312QJ Muni","SELF_REPRTD_GREEN_INSTR_INDCTR")</f>
        <v>#NAME?</v>
      </c>
      <c r="L1164" t="e">
        <f ca="1">BDP("611312QJ Muni","GB_MANAGEMENT_PROCEEDS")</f>
        <v>#NAME?</v>
      </c>
      <c r="M1164" t="e">
        <f ca="1">BDP("611312QJ Muni","GB_REPORTING")</f>
        <v>#NAME?</v>
      </c>
      <c r="N1164" t="e">
        <f ca="1">BDP("611312QJ Muni","GB_ASSURANCE_PROVIDERS")</f>
        <v>#NAME?</v>
      </c>
      <c r="O1164" t="e">
        <f ca="1">BDP("611312QJ Muni","GB_PROJECT_SELECTION_PROCESS")</f>
        <v>#NAME?</v>
      </c>
      <c r="P1164" t="e">
        <f ca="1">BDP("611312QJ Muni","ESG_FRAMEWORK_INDICATOR")</f>
        <v>#NAME?</v>
      </c>
      <c r="Q1164" t="e">
        <f ca="1">BDP("611312QJ Muni","BLOOMBERG_SECTOR_CODE")</f>
        <v>#NAME?</v>
      </c>
      <c r="R1164" t="e">
        <f ca="1">BDP("611312QJ Muni","ISSUER_TYPE")</f>
        <v>#NAME?</v>
      </c>
      <c r="S1164" t="e">
        <f ca="1">BDS("611312QJ Muni","ESG_PROJECT_CATEGORY", "aggregate=y")</f>
        <v>#NAME?</v>
      </c>
      <c r="T1164" t="e">
        <f ca="1">BDS("611312QJ Muni","ESG_PROJECT_SUBCATEGORY", "aggregate=y")</f>
        <v>#NAME?</v>
      </c>
    </row>
    <row r="1165" spans="1:20" x14ac:dyDescent="0.25">
      <c r="A1165" t="e">
        <f ca="1">BDP("611312QK Muni","ID_CUSIP")</f>
        <v>#NAME?</v>
      </c>
      <c r="B1165" t="e">
        <f ca="1">BDP("611312QK Muni","STATE_CODE")</f>
        <v>#NAME?</v>
      </c>
      <c r="C1165" t="s">
        <v>81</v>
      </c>
      <c r="D1165" t="e">
        <f ca="1">BDP("611312QK Muni","YIELD_ON_ISSUE_DATE")</f>
        <v>#NAME?</v>
      </c>
      <c r="E1165">
        <v>185000</v>
      </c>
      <c r="F1165" t="e">
        <f ca="1">BDP("611312QK Muni","ISSUE_DT")</f>
        <v>#NAME?</v>
      </c>
      <c r="G1165" t="e">
        <f ca="1">BDP("611312QK Muni","MATURITY")</f>
        <v>#NAME?</v>
      </c>
      <c r="H1165" t="e">
        <f ca="1">BDP("611312QK Muni","MUNI_TAX_PROV")</f>
        <v>#NAME?</v>
      </c>
      <c r="I1165" t="e">
        <f ca="1">BDP("611312QK Muni","FINANCING_TYPE")</f>
        <v>#NAME?</v>
      </c>
      <c r="J1165" t="e">
        <f ca="1">BDP("611312QK Muni","BICS_LEVEL_2_INDUSTRY_GROUP_NAME")</f>
        <v>#NAME?</v>
      </c>
      <c r="K1165" t="e">
        <f ca="1">BDP("611312QK Muni","SELF_REPRTD_GREEN_INSTR_INDCTR")</f>
        <v>#NAME?</v>
      </c>
      <c r="L1165" t="e">
        <f ca="1">BDP("611312QK Muni","GB_MANAGEMENT_PROCEEDS")</f>
        <v>#NAME?</v>
      </c>
      <c r="M1165" t="e">
        <f ca="1">BDP("611312QK Muni","GB_REPORTING")</f>
        <v>#NAME?</v>
      </c>
      <c r="N1165" t="e">
        <f ca="1">BDP("611312QK Muni","GB_ASSURANCE_PROVIDERS")</f>
        <v>#NAME?</v>
      </c>
      <c r="O1165" t="e">
        <f ca="1">BDP("611312QK Muni","GB_PROJECT_SELECTION_PROCESS")</f>
        <v>#NAME?</v>
      </c>
      <c r="P1165" t="e">
        <f ca="1">BDP("611312QK Muni","ESG_FRAMEWORK_INDICATOR")</f>
        <v>#NAME?</v>
      </c>
      <c r="Q1165" t="e">
        <f ca="1">BDP("611312QK Muni","BLOOMBERG_SECTOR_CODE")</f>
        <v>#NAME?</v>
      </c>
      <c r="R1165" t="e">
        <f ca="1">BDP("611312QK Muni","ISSUER_TYPE")</f>
        <v>#NAME?</v>
      </c>
      <c r="S1165" t="e">
        <f ca="1">BDS("611312QK Muni","ESG_PROJECT_CATEGORY", "aggregate=y")</f>
        <v>#NAME?</v>
      </c>
      <c r="T1165" t="e">
        <f ca="1">BDS("611312QK Muni","ESG_PROJECT_SUBCATEGORY", "aggregate=y")</f>
        <v>#NAME?</v>
      </c>
    </row>
    <row r="1166" spans="1:20" x14ac:dyDescent="0.25">
      <c r="A1166" t="e">
        <f ca="1">BDP("611312QN Muni","ID_CUSIP")</f>
        <v>#NAME?</v>
      </c>
      <c r="B1166" t="e">
        <f ca="1">BDP("611312QN Muni","STATE_CODE")</f>
        <v>#NAME?</v>
      </c>
      <c r="C1166" t="s">
        <v>81</v>
      </c>
      <c r="D1166" t="e">
        <f ca="1">BDP("611312QN Muni","YIELD_ON_ISSUE_DATE")</f>
        <v>#NAME?</v>
      </c>
      <c r="E1166">
        <v>240000</v>
      </c>
      <c r="F1166" t="e">
        <f ca="1">BDP("611312QN Muni","ISSUE_DT")</f>
        <v>#NAME?</v>
      </c>
      <c r="G1166" t="e">
        <f ca="1">BDP("611312QN Muni","MATURITY")</f>
        <v>#NAME?</v>
      </c>
      <c r="H1166" t="e">
        <f ca="1">BDP("611312QN Muni","MUNI_TAX_PROV")</f>
        <v>#NAME?</v>
      </c>
      <c r="I1166" t="e">
        <f ca="1">BDP("611312QN Muni","FINANCING_TYPE")</f>
        <v>#NAME?</v>
      </c>
      <c r="J1166" t="e">
        <f ca="1">BDP("611312QN Muni","BICS_LEVEL_2_INDUSTRY_GROUP_NAME")</f>
        <v>#NAME?</v>
      </c>
      <c r="K1166" t="e">
        <f ca="1">BDP("611312QN Muni","SELF_REPRTD_GREEN_INSTR_INDCTR")</f>
        <v>#NAME?</v>
      </c>
      <c r="L1166" t="e">
        <f ca="1">BDP("611312QN Muni","GB_MANAGEMENT_PROCEEDS")</f>
        <v>#NAME?</v>
      </c>
      <c r="M1166" t="e">
        <f ca="1">BDP("611312QN Muni","GB_REPORTING")</f>
        <v>#NAME?</v>
      </c>
      <c r="N1166" t="e">
        <f ca="1">BDP("611312QN Muni","GB_ASSURANCE_PROVIDERS")</f>
        <v>#NAME?</v>
      </c>
      <c r="O1166" t="e">
        <f ca="1">BDP("611312QN Muni","GB_PROJECT_SELECTION_PROCESS")</f>
        <v>#NAME?</v>
      </c>
      <c r="P1166" t="e">
        <f ca="1">BDP("611312QN Muni","ESG_FRAMEWORK_INDICATOR")</f>
        <v>#NAME?</v>
      </c>
      <c r="Q1166" t="e">
        <f ca="1">BDP("611312QN Muni","BLOOMBERG_SECTOR_CODE")</f>
        <v>#NAME?</v>
      </c>
      <c r="R1166" t="e">
        <f ca="1">BDP("611312QN Muni","ISSUER_TYPE")</f>
        <v>#NAME?</v>
      </c>
      <c r="S1166" t="e">
        <f ca="1">BDS("611312QN Muni","ESG_PROJECT_CATEGORY", "aggregate=y")</f>
        <v>#NAME?</v>
      </c>
      <c r="T1166" t="e">
        <f ca="1">BDS("611312QN Muni","ESG_PROJECT_SUBCATEGORY", "aggregate=y")</f>
        <v>#NAME?</v>
      </c>
    </row>
    <row r="1167" spans="1:20" x14ac:dyDescent="0.25">
      <c r="A1167" t="e">
        <f ca="1">BDP("611312QQ Muni","ID_CUSIP")</f>
        <v>#NAME?</v>
      </c>
      <c r="B1167" t="e">
        <f ca="1">BDP("611312QQ Muni","STATE_CODE")</f>
        <v>#NAME?</v>
      </c>
      <c r="C1167" t="s">
        <v>81</v>
      </c>
      <c r="D1167" t="e">
        <f ca="1">BDP("611312QQ Muni","YIELD_ON_ISSUE_DATE")</f>
        <v>#NAME?</v>
      </c>
      <c r="E1167">
        <v>275000</v>
      </c>
      <c r="F1167" t="e">
        <f ca="1">BDP("611312QQ Muni","ISSUE_DT")</f>
        <v>#NAME?</v>
      </c>
      <c r="G1167" t="e">
        <f ca="1">BDP("611312QQ Muni","MATURITY")</f>
        <v>#NAME?</v>
      </c>
      <c r="H1167" t="e">
        <f ca="1">BDP("611312QQ Muni","MUNI_TAX_PROV")</f>
        <v>#NAME?</v>
      </c>
      <c r="I1167" t="e">
        <f ca="1">BDP("611312QQ Muni","FINANCING_TYPE")</f>
        <v>#NAME?</v>
      </c>
      <c r="J1167" t="e">
        <f ca="1">BDP("611312QQ Muni","BICS_LEVEL_2_INDUSTRY_GROUP_NAME")</f>
        <v>#NAME?</v>
      </c>
      <c r="K1167" t="e">
        <f ca="1">BDP("611312QQ Muni","SELF_REPRTD_GREEN_INSTR_INDCTR")</f>
        <v>#NAME?</v>
      </c>
      <c r="L1167" t="e">
        <f ca="1">BDP("611312QQ Muni","GB_MANAGEMENT_PROCEEDS")</f>
        <v>#NAME?</v>
      </c>
      <c r="M1167" t="e">
        <f ca="1">BDP("611312QQ Muni","GB_REPORTING")</f>
        <v>#NAME?</v>
      </c>
      <c r="N1167" t="e">
        <f ca="1">BDP("611312QQ Muni","GB_ASSURANCE_PROVIDERS")</f>
        <v>#NAME?</v>
      </c>
      <c r="O1167" t="e">
        <f ca="1">BDP("611312QQ Muni","GB_PROJECT_SELECTION_PROCESS")</f>
        <v>#NAME?</v>
      </c>
      <c r="P1167" t="e">
        <f ca="1">BDP("611312QQ Muni","ESG_FRAMEWORK_INDICATOR")</f>
        <v>#NAME?</v>
      </c>
      <c r="Q1167" t="e">
        <f ca="1">BDP("611312QQ Muni","BLOOMBERG_SECTOR_CODE")</f>
        <v>#NAME?</v>
      </c>
      <c r="R1167" t="e">
        <f ca="1">BDP("611312QQ Muni","ISSUER_TYPE")</f>
        <v>#NAME?</v>
      </c>
      <c r="S1167" t="e">
        <f ca="1">BDS("611312QQ Muni","ESG_PROJECT_CATEGORY", "aggregate=y")</f>
        <v>#NAME?</v>
      </c>
      <c r="T1167" t="e">
        <f ca="1">BDS("611312QQ Muni","ESG_PROJECT_SUBCATEGORY", "aggregate=y")</f>
        <v>#NAME?</v>
      </c>
    </row>
    <row r="1168" spans="1:20" x14ac:dyDescent="0.25">
      <c r="A1168" t="e">
        <f ca="1">BDP("611312QS Muni","ID_CUSIP")</f>
        <v>#NAME?</v>
      </c>
      <c r="B1168" t="e">
        <f ca="1">BDP("611312QS Muni","STATE_CODE")</f>
        <v>#NAME?</v>
      </c>
      <c r="C1168" t="s">
        <v>81</v>
      </c>
      <c r="D1168" t="e">
        <f ca="1">BDP("611312QS Muni","YIELD_ON_ISSUE_DATE")</f>
        <v>#NAME?</v>
      </c>
      <c r="E1168">
        <v>320000</v>
      </c>
      <c r="F1168" t="e">
        <f ca="1">BDP("611312QS Muni","ISSUE_DT")</f>
        <v>#NAME?</v>
      </c>
      <c r="G1168" t="e">
        <f ca="1">BDP("611312QS Muni","MATURITY")</f>
        <v>#NAME?</v>
      </c>
      <c r="H1168" t="e">
        <f ca="1">BDP("611312QS Muni","MUNI_TAX_PROV")</f>
        <v>#NAME?</v>
      </c>
      <c r="I1168" t="e">
        <f ca="1">BDP("611312QS Muni","FINANCING_TYPE")</f>
        <v>#NAME?</v>
      </c>
      <c r="J1168" t="e">
        <f ca="1">BDP("611312QS Muni","BICS_LEVEL_2_INDUSTRY_GROUP_NAME")</f>
        <v>#NAME?</v>
      </c>
      <c r="K1168" t="e">
        <f ca="1">BDP("611312QS Muni","SELF_REPRTD_GREEN_INSTR_INDCTR")</f>
        <v>#NAME?</v>
      </c>
      <c r="L1168" t="e">
        <f ca="1">BDP("611312QS Muni","GB_MANAGEMENT_PROCEEDS")</f>
        <v>#NAME?</v>
      </c>
      <c r="M1168" t="e">
        <f ca="1">BDP("611312QS Muni","GB_REPORTING")</f>
        <v>#NAME?</v>
      </c>
      <c r="N1168" t="e">
        <f ca="1">BDP("611312QS Muni","GB_ASSURANCE_PROVIDERS")</f>
        <v>#NAME?</v>
      </c>
      <c r="O1168" t="e">
        <f ca="1">BDP("611312QS Muni","GB_PROJECT_SELECTION_PROCESS")</f>
        <v>#NAME?</v>
      </c>
      <c r="P1168" t="e">
        <f ca="1">BDP("611312QS Muni","ESG_FRAMEWORK_INDICATOR")</f>
        <v>#NAME?</v>
      </c>
      <c r="Q1168" t="e">
        <f ca="1">BDP("611312QS Muni","BLOOMBERG_SECTOR_CODE")</f>
        <v>#NAME?</v>
      </c>
      <c r="R1168" t="e">
        <f ca="1">BDP("611312QS Muni","ISSUER_TYPE")</f>
        <v>#NAME?</v>
      </c>
      <c r="S1168" t="e">
        <f ca="1">BDS("611312QS Muni","ESG_PROJECT_CATEGORY", "aggregate=y")</f>
        <v>#NAME?</v>
      </c>
      <c r="T1168" t="e">
        <f ca="1">BDS("611312QS Muni","ESG_PROJECT_SUBCATEGORY", "aggregate=y")</f>
        <v>#NAME?</v>
      </c>
    </row>
    <row r="1169" spans="1:20" x14ac:dyDescent="0.25">
      <c r="A1169" t="e">
        <f ca="1">BDP("611312QU Muni","ID_CUSIP")</f>
        <v>#NAME?</v>
      </c>
      <c r="B1169" t="e">
        <f ca="1">BDP("611312QU Muni","STATE_CODE")</f>
        <v>#NAME?</v>
      </c>
      <c r="C1169" t="s">
        <v>81</v>
      </c>
      <c r="D1169" t="e">
        <f ca="1">BDP("611312QU Muni","YIELD_ON_ISSUE_DATE")</f>
        <v>#NAME?</v>
      </c>
      <c r="E1169">
        <v>365000</v>
      </c>
      <c r="F1169" t="e">
        <f ca="1">BDP("611312QU Muni","ISSUE_DT")</f>
        <v>#NAME?</v>
      </c>
      <c r="G1169" t="e">
        <f ca="1">BDP("611312QU Muni","MATURITY")</f>
        <v>#NAME?</v>
      </c>
      <c r="H1169" t="e">
        <f ca="1">BDP("611312QU Muni","MUNI_TAX_PROV")</f>
        <v>#NAME?</v>
      </c>
      <c r="I1169" t="e">
        <f ca="1">BDP("611312QU Muni","FINANCING_TYPE")</f>
        <v>#NAME?</v>
      </c>
      <c r="J1169" t="e">
        <f ca="1">BDP("611312QU Muni","BICS_LEVEL_2_INDUSTRY_GROUP_NAME")</f>
        <v>#NAME?</v>
      </c>
      <c r="K1169" t="e">
        <f ca="1">BDP("611312QU Muni","SELF_REPRTD_GREEN_INSTR_INDCTR")</f>
        <v>#NAME?</v>
      </c>
      <c r="L1169" t="e">
        <f ca="1">BDP("611312QU Muni","GB_MANAGEMENT_PROCEEDS")</f>
        <v>#NAME?</v>
      </c>
      <c r="M1169" t="e">
        <f ca="1">BDP("611312QU Muni","GB_REPORTING")</f>
        <v>#NAME?</v>
      </c>
      <c r="N1169" t="e">
        <f ca="1">BDP("611312QU Muni","GB_ASSURANCE_PROVIDERS")</f>
        <v>#NAME?</v>
      </c>
      <c r="O1169" t="e">
        <f ca="1">BDP("611312QU Muni","GB_PROJECT_SELECTION_PROCESS")</f>
        <v>#NAME?</v>
      </c>
      <c r="P1169" t="e">
        <f ca="1">BDP("611312QU Muni","ESG_FRAMEWORK_INDICATOR")</f>
        <v>#NAME?</v>
      </c>
      <c r="Q1169" t="e">
        <f ca="1">BDP("611312QU Muni","BLOOMBERG_SECTOR_CODE")</f>
        <v>#NAME?</v>
      </c>
      <c r="R1169" t="e">
        <f ca="1">BDP("611312QU Muni","ISSUER_TYPE")</f>
        <v>#NAME?</v>
      </c>
      <c r="S1169" t="e">
        <f ca="1">BDS("611312QU Muni","ESG_PROJECT_CATEGORY", "aggregate=y")</f>
        <v>#NAME?</v>
      </c>
      <c r="T1169" t="e">
        <f ca="1">BDS("611312QU Muni","ESG_PROJECT_SUBCATEGORY", "aggregate=y")</f>
        <v>#NAME?</v>
      </c>
    </row>
    <row r="1170" spans="1:20" x14ac:dyDescent="0.25">
      <c r="A1170" t="e">
        <f ca="1">BDP("611312QX Muni","ID_CUSIP")</f>
        <v>#NAME?</v>
      </c>
      <c r="B1170" t="e">
        <f ca="1">BDP("611312QX Muni","STATE_CODE")</f>
        <v>#NAME?</v>
      </c>
      <c r="C1170" t="s">
        <v>81</v>
      </c>
      <c r="D1170" t="e">
        <f ca="1">BDP("611312QX Muni","YIELD_ON_ISSUE_DATE")</f>
        <v>#NAME?</v>
      </c>
      <c r="E1170">
        <v>445000</v>
      </c>
      <c r="F1170" t="e">
        <f ca="1">BDP("611312QX Muni","ISSUE_DT")</f>
        <v>#NAME?</v>
      </c>
      <c r="G1170" t="e">
        <f ca="1">BDP("611312QX Muni","MATURITY")</f>
        <v>#NAME?</v>
      </c>
      <c r="H1170" t="e">
        <f ca="1">BDP("611312QX Muni","MUNI_TAX_PROV")</f>
        <v>#NAME?</v>
      </c>
      <c r="I1170" t="e">
        <f ca="1">BDP("611312QX Muni","FINANCING_TYPE")</f>
        <v>#NAME?</v>
      </c>
      <c r="J1170" t="e">
        <f ca="1">BDP("611312QX Muni","BICS_LEVEL_2_INDUSTRY_GROUP_NAME")</f>
        <v>#NAME?</v>
      </c>
      <c r="K1170" t="e">
        <f ca="1">BDP("611312QX Muni","SELF_REPRTD_GREEN_INSTR_INDCTR")</f>
        <v>#NAME?</v>
      </c>
      <c r="L1170" t="e">
        <f ca="1">BDP("611312QX Muni","GB_MANAGEMENT_PROCEEDS")</f>
        <v>#NAME?</v>
      </c>
      <c r="M1170" t="e">
        <f ca="1">BDP("611312QX Muni","GB_REPORTING")</f>
        <v>#NAME?</v>
      </c>
      <c r="N1170" t="e">
        <f ca="1">BDP("611312QX Muni","GB_ASSURANCE_PROVIDERS")</f>
        <v>#NAME?</v>
      </c>
      <c r="O1170" t="e">
        <f ca="1">BDP("611312QX Muni","GB_PROJECT_SELECTION_PROCESS")</f>
        <v>#NAME?</v>
      </c>
      <c r="P1170" t="e">
        <f ca="1">BDP("611312QX Muni","ESG_FRAMEWORK_INDICATOR")</f>
        <v>#NAME?</v>
      </c>
      <c r="Q1170" t="e">
        <f ca="1">BDP("611312QX Muni","BLOOMBERG_SECTOR_CODE")</f>
        <v>#NAME?</v>
      </c>
      <c r="R1170" t="e">
        <f ca="1">BDP("611312QX Muni","ISSUER_TYPE")</f>
        <v>#NAME?</v>
      </c>
      <c r="S1170" t="e">
        <f ca="1">BDS("611312QX Muni","ESG_PROJECT_CATEGORY", "aggregate=y")</f>
        <v>#NAME?</v>
      </c>
      <c r="T1170" t="e">
        <f ca="1">BDS("611312QX Muni","ESG_PROJECT_SUBCATEGORY", "aggregate=y")</f>
        <v>#NAME?</v>
      </c>
    </row>
    <row r="1171" spans="1:20" x14ac:dyDescent="0.25">
      <c r="A1171" t="e">
        <f ca="1">BDP("611312RB Muni","ID_CUSIP")</f>
        <v>#NAME?</v>
      </c>
      <c r="B1171" t="e">
        <f ca="1">BDP("611312RB Muni","STATE_CODE")</f>
        <v>#NAME?</v>
      </c>
      <c r="C1171" t="s">
        <v>81</v>
      </c>
      <c r="D1171" t="e">
        <f ca="1">BDP("611312RB Muni","YIELD_ON_ISSUE_DATE")</f>
        <v>#NAME?</v>
      </c>
      <c r="E1171">
        <v>575000</v>
      </c>
      <c r="F1171" t="e">
        <f ca="1">BDP("611312RB Muni","ISSUE_DT")</f>
        <v>#NAME?</v>
      </c>
      <c r="G1171" t="e">
        <f ca="1">BDP("611312RB Muni","MATURITY")</f>
        <v>#NAME?</v>
      </c>
      <c r="H1171" t="e">
        <f ca="1">BDP("611312RB Muni","MUNI_TAX_PROV")</f>
        <v>#NAME?</v>
      </c>
      <c r="I1171" t="e">
        <f ca="1">BDP("611312RB Muni","FINANCING_TYPE")</f>
        <v>#NAME?</v>
      </c>
      <c r="J1171" t="e">
        <f ca="1">BDP("611312RB Muni","BICS_LEVEL_2_INDUSTRY_GROUP_NAME")</f>
        <v>#NAME?</v>
      </c>
      <c r="K1171" t="e">
        <f ca="1">BDP("611312RB Muni","SELF_REPRTD_GREEN_INSTR_INDCTR")</f>
        <v>#NAME?</v>
      </c>
      <c r="L1171" t="e">
        <f ca="1">BDP("611312RB Muni","GB_MANAGEMENT_PROCEEDS")</f>
        <v>#NAME?</v>
      </c>
      <c r="M1171" t="e">
        <f ca="1">BDP("611312RB Muni","GB_REPORTING")</f>
        <v>#NAME?</v>
      </c>
      <c r="N1171" t="e">
        <f ca="1">BDP("611312RB Muni","GB_ASSURANCE_PROVIDERS")</f>
        <v>#NAME?</v>
      </c>
      <c r="O1171" t="e">
        <f ca="1">BDP("611312RB Muni","GB_PROJECT_SELECTION_PROCESS")</f>
        <v>#NAME?</v>
      </c>
      <c r="P1171" t="e">
        <f ca="1">BDP("611312RB Muni","ESG_FRAMEWORK_INDICATOR")</f>
        <v>#NAME?</v>
      </c>
      <c r="Q1171" t="e">
        <f ca="1">BDP("611312RB Muni","BLOOMBERG_SECTOR_CODE")</f>
        <v>#NAME?</v>
      </c>
      <c r="R1171" t="e">
        <f ca="1">BDP("611312RB Muni","ISSUER_TYPE")</f>
        <v>#NAME?</v>
      </c>
      <c r="S1171" t="e">
        <f ca="1">BDS("611312RB Muni","ESG_PROJECT_CATEGORY", "aggregate=y")</f>
        <v>#NAME?</v>
      </c>
      <c r="T1171" t="e">
        <f ca="1">BDS("611312RB Muni","ESG_PROJECT_SUBCATEGORY", "aggregate=y")</f>
        <v>#NAME?</v>
      </c>
    </row>
    <row r="1172" spans="1:20" x14ac:dyDescent="0.25">
      <c r="A1172" t="e">
        <f ca="1">BDP("611312RC Muni","ID_CUSIP")</f>
        <v>#NAME?</v>
      </c>
      <c r="B1172" t="e">
        <f ca="1">BDP("611312RC Muni","STATE_CODE")</f>
        <v>#NAME?</v>
      </c>
      <c r="C1172" t="s">
        <v>81</v>
      </c>
      <c r="D1172" t="e">
        <f ca="1">BDP("611312RC Muni","YIELD_ON_ISSUE_DATE")</f>
        <v>#NAME?</v>
      </c>
      <c r="E1172">
        <v>610000</v>
      </c>
      <c r="F1172" t="e">
        <f ca="1">BDP("611312RC Muni","ISSUE_DT")</f>
        <v>#NAME?</v>
      </c>
      <c r="G1172" t="e">
        <f ca="1">BDP("611312RC Muni","MATURITY")</f>
        <v>#NAME?</v>
      </c>
      <c r="H1172" t="e">
        <f ca="1">BDP("611312RC Muni","MUNI_TAX_PROV")</f>
        <v>#NAME?</v>
      </c>
      <c r="I1172" t="e">
        <f ca="1">BDP("611312RC Muni","FINANCING_TYPE")</f>
        <v>#NAME?</v>
      </c>
      <c r="J1172" t="e">
        <f ca="1">BDP("611312RC Muni","BICS_LEVEL_2_INDUSTRY_GROUP_NAME")</f>
        <v>#NAME?</v>
      </c>
      <c r="K1172" t="e">
        <f ca="1">BDP("611312RC Muni","SELF_REPRTD_GREEN_INSTR_INDCTR")</f>
        <v>#NAME?</v>
      </c>
      <c r="L1172" t="e">
        <f ca="1">BDP("611312RC Muni","GB_MANAGEMENT_PROCEEDS")</f>
        <v>#NAME?</v>
      </c>
      <c r="M1172" t="e">
        <f ca="1">BDP("611312RC Muni","GB_REPORTING")</f>
        <v>#NAME?</v>
      </c>
      <c r="N1172" t="e">
        <f ca="1">BDP("611312RC Muni","GB_ASSURANCE_PROVIDERS")</f>
        <v>#NAME?</v>
      </c>
      <c r="O1172" t="e">
        <f ca="1">BDP("611312RC Muni","GB_PROJECT_SELECTION_PROCESS")</f>
        <v>#NAME?</v>
      </c>
      <c r="P1172" t="e">
        <f ca="1">BDP("611312RC Muni","ESG_FRAMEWORK_INDICATOR")</f>
        <v>#NAME?</v>
      </c>
      <c r="Q1172" t="e">
        <f ca="1">BDP("611312RC Muni","BLOOMBERG_SECTOR_CODE")</f>
        <v>#NAME?</v>
      </c>
      <c r="R1172" t="e">
        <f ca="1">BDP("611312RC Muni","ISSUER_TYPE")</f>
        <v>#NAME?</v>
      </c>
      <c r="S1172" t="e">
        <f ca="1">BDS("611312RC Muni","ESG_PROJECT_CATEGORY", "aggregate=y")</f>
        <v>#NAME?</v>
      </c>
      <c r="T1172" t="e">
        <f ca="1">BDS("611312RC Muni","ESG_PROJECT_SUBCATEGORY", "aggregate=y")</f>
        <v>#NAME?</v>
      </c>
    </row>
    <row r="1173" spans="1:20" x14ac:dyDescent="0.25">
      <c r="A1173" t="e">
        <f ca="1">BDP("64579SJC Muni","ID_CUSIP")</f>
        <v>#NAME?</v>
      </c>
      <c r="B1173" t="e">
        <f ca="1">BDP("64579SJC Muni","STATE_CODE")</f>
        <v>#NAME?</v>
      </c>
      <c r="C1173" t="s">
        <v>82</v>
      </c>
      <c r="D1173" t="e">
        <f ca="1">BDP("64579SJC Muni","YIELD_ON_ISSUE_DATE")</f>
        <v>#NAME?</v>
      </c>
      <c r="E1173">
        <v>3420000</v>
      </c>
      <c r="F1173" t="e">
        <f ca="1">BDP("64579SJC Muni","ISSUE_DT")</f>
        <v>#NAME?</v>
      </c>
      <c r="G1173" t="e">
        <f ca="1">BDP("64579SJC Muni","MATURITY")</f>
        <v>#NAME?</v>
      </c>
      <c r="H1173" t="e">
        <f ca="1">BDP("64579SJC Muni","MUNI_TAX_PROV")</f>
        <v>#NAME?</v>
      </c>
      <c r="I1173" t="e">
        <f ca="1">BDP("64579SJC Muni","FINANCING_TYPE")</f>
        <v>#NAME?</v>
      </c>
      <c r="J1173" t="e">
        <f ca="1">BDP("64579SJC Muni","BICS_LEVEL_2_INDUSTRY_GROUP_NAME")</f>
        <v>#NAME?</v>
      </c>
      <c r="K1173" t="e">
        <f ca="1">BDP("64579SJC Muni","SELF_REPRTD_GREEN_INSTR_INDCTR")</f>
        <v>#NAME?</v>
      </c>
      <c r="L1173" t="e">
        <f ca="1">BDP("64579SJC Muni","GB_MANAGEMENT_PROCEEDS")</f>
        <v>#NAME?</v>
      </c>
      <c r="M1173" t="e">
        <f ca="1">BDP("64579SJC Muni","GB_REPORTING")</f>
        <v>#NAME?</v>
      </c>
      <c r="N1173" t="e">
        <f ca="1">BDP("64579SJC Muni","GB_ASSURANCE_PROVIDERS")</f>
        <v>#NAME?</v>
      </c>
      <c r="O1173" t="e">
        <f ca="1">BDP("64579SJC Muni","GB_PROJECT_SELECTION_PROCESS")</f>
        <v>#NAME?</v>
      </c>
      <c r="P1173" t="e">
        <f ca="1">BDP("64579SJC Muni","ESG_FRAMEWORK_INDICATOR")</f>
        <v>#NAME?</v>
      </c>
      <c r="Q1173" t="e">
        <f ca="1">BDP("64579SJC Muni","BLOOMBERG_SECTOR_CODE")</f>
        <v>#NAME?</v>
      </c>
      <c r="R1173" t="e">
        <f ca="1">BDP("64579SJC Muni","ISSUER_TYPE")</f>
        <v>#NAME?</v>
      </c>
      <c r="S1173" t="e">
        <f ca="1">BDS("64579SJC Muni","ESG_PROJECT_CATEGORY", "aggregate=y")</f>
        <v>#NAME?</v>
      </c>
      <c r="T1173" t="e">
        <f ca="1">BDS("64579SJC Muni","ESG_PROJECT_SUBCATEGORY", "aggregate=y")</f>
        <v>#NAME?</v>
      </c>
    </row>
    <row r="1174" spans="1:20" x14ac:dyDescent="0.25">
      <c r="A1174" t="e">
        <f ca="1">BDP("64579SJD Muni","ID_CUSIP")</f>
        <v>#NAME?</v>
      </c>
      <c r="B1174" t="e">
        <f ca="1">BDP("64579SJD Muni","STATE_CODE")</f>
        <v>#NAME?</v>
      </c>
      <c r="C1174" t="s">
        <v>82</v>
      </c>
      <c r="D1174" t="e">
        <f ca="1">BDP("64579SJD Muni","YIELD_ON_ISSUE_DATE")</f>
        <v>#NAME?</v>
      </c>
      <c r="E1174">
        <v>3550000</v>
      </c>
      <c r="F1174" t="e">
        <f ca="1">BDP("64579SJD Muni","ISSUE_DT")</f>
        <v>#NAME?</v>
      </c>
      <c r="G1174" t="e">
        <f ca="1">BDP("64579SJD Muni","MATURITY")</f>
        <v>#NAME?</v>
      </c>
      <c r="H1174" t="e">
        <f ca="1">BDP("64579SJD Muni","MUNI_TAX_PROV")</f>
        <v>#NAME?</v>
      </c>
      <c r="I1174" t="e">
        <f ca="1">BDP("64579SJD Muni","FINANCING_TYPE")</f>
        <v>#NAME?</v>
      </c>
      <c r="J1174" t="e">
        <f ca="1">BDP("64579SJD Muni","BICS_LEVEL_2_INDUSTRY_GROUP_NAME")</f>
        <v>#NAME?</v>
      </c>
      <c r="K1174" t="e">
        <f ca="1">BDP("64579SJD Muni","SELF_REPRTD_GREEN_INSTR_INDCTR")</f>
        <v>#NAME?</v>
      </c>
      <c r="L1174" t="e">
        <f ca="1">BDP("64579SJD Muni","GB_MANAGEMENT_PROCEEDS")</f>
        <v>#NAME?</v>
      </c>
      <c r="M1174" t="e">
        <f ca="1">BDP("64579SJD Muni","GB_REPORTING")</f>
        <v>#NAME?</v>
      </c>
      <c r="N1174" t="e">
        <f ca="1">BDP("64579SJD Muni","GB_ASSURANCE_PROVIDERS")</f>
        <v>#NAME?</v>
      </c>
      <c r="O1174" t="e">
        <f ca="1">BDP("64579SJD Muni","GB_PROJECT_SELECTION_PROCESS")</f>
        <v>#NAME?</v>
      </c>
      <c r="P1174" t="e">
        <f ca="1">BDP("64579SJD Muni","ESG_FRAMEWORK_INDICATOR")</f>
        <v>#NAME?</v>
      </c>
      <c r="Q1174" t="e">
        <f ca="1">BDP("64579SJD Muni","BLOOMBERG_SECTOR_CODE")</f>
        <v>#NAME?</v>
      </c>
      <c r="R1174" t="e">
        <f ca="1">BDP("64579SJD Muni","ISSUER_TYPE")</f>
        <v>#NAME?</v>
      </c>
      <c r="S1174" t="e">
        <f ca="1">BDS("64579SJD Muni","ESG_PROJECT_CATEGORY", "aggregate=y")</f>
        <v>#NAME?</v>
      </c>
      <c r="T1174" t="e">
        <f ca="1">BDS("64579SJD Muni","ESG_PROJECT_SUBCATEGORY", "aggregate=y")</f>
        <v>#NAME?</v>
      </c>
    </row>
    <row r="1175" spans="1:20" x14ac:dyDescent="0.25">
      <c r="A1175" t="e">
        <f ca="1">BDP("64579SJE Muni","ID_CUSIP")</f>
        <v>#NAME?</v>
      </c>
      <c r="B1175" t="e">
        <f ca="1">BDP("64579SJE Muni","STATE_CODE")</f>
        <v>#NAME?</v>
      </c>
      <c r="C1175" t="s">
        <v>82</v>
      </c>
      <c r="D1175" t="e">
        <f ca="1">BDP("64579SJE Muni","YIELD_ON_ISSUE_DATE")</f>
        <v>#NAME?</v>
      </c>
      <c r="E1175">
        <v>3690000</v>
      </c>
      <c r="F1175" t="e">
        <f ca="1">BDP("64579SJE Muni","ISSUE_DT")</f>
        <v>#NAME?</v>
      </c>
      <c r="G1175" t="e">
        <f ca="1">BDP("64579SJE Muni","MATURITY")</f>
        <v>#NAME?</v>
      </c>
      <c r="H1175" t="e">
        <f ca="1">BDP("64579SJE Muni","MUNI_TAX_PROV")</f>
        <v>#NAME?</v>
      </c>
      <c r="I1175" t="e">
        <f ca="1">BDP("64579SJE Muni","FINANCING_TYPE")</f>
        <v>#NAME?</v>
      </c>
      <c r="J1175" t="e">
        <f ca="1">BDP("64579SJE Muni","BICS_LEVEL_2_INDUSTRY_GROUP_NAME")</f>
        <v>#NAME?</v>
      </c>
      <c r="K1175" t="e">
        <f ca="1">BDP("64579SJE Muni","SELF_REPRTD_GREEN_INSTR_INDCTR")</f>
        <v>#NAME?</v>
      </c>
      <c r="L1175" t="e">
        <f ca="1">BDP("64579SJE Muni","GB_MANAGEMENT_PROCEEDS")</f>
        <v>#NAME?</v>
      </c>
      <c r="M1175" t="e">
        <f ca="1">BDP("64579SJE Muni","GB_REPORTING")</f>
        <v>#NAME?</v>
      </c>
      <c r="N1175" t="e">
        <f ca="1">BDP("64579SJE Muni","GB_ASSURANCE_PROVIDERS")</f>
        <v>#NAME?</v>
      </c>
      <c r="O1175" t="e">
        <f ca="1">BDP("64579SJE Muni","GB_PROJECT_SELECTION_PROCESS")</f>
        <v>#NAME?</v>
      </c>
      <c r="P1175" t="e">
        <f ca="1">BDP("64579SJE Muni","ESG_FRAMEWORK_INDICATOR")</f>
        <v>#NAME?</v>
      </c>
      <c r="Q1175" t="e">
        <f ca="1">BDP("64579SJE Muni","BLOOMBERG_SECTOR_CODE")</f>
        <v>#NAME?</v>
      </c>
      <c r="R1175" t="e">
        <f ca="1">BDP("64579SJE Muni","ISSUER_TYPE")</f>
        <v>#NAME?</v>
      </c>
      <c r="S1175" t="e">
        <f ca="1">BDS("64579SJE Muni","ESG_PROJECT_CATEGORY", "aggregate=y")</f>
        <v>#NAME?</v>
      </c>
      <c r="T1175" t="e">
        <f ca="1">BDS("64579SJE Muni","ESG_PROJECT_SUBCATEGORY", "aggregate=y")</f>
        <v>#NAME?</v>
      </c>
    </row>
    <row r="1176" spans="1:20" x14ac:dyDescent="0.25">
      <c r="A1176" t="e">
        <f ca="1">BDP("64579SJF Muni","ID_CUSIP")</f>
        <v>#NAME?</v>
      </c>
      <c r="B1176" t="e">
        <f ca="1">BDP("64579SJF Muni","STATE_CODE")</f>
        <v>#NAME?</v>
      </c>
      <c r="C1176" t="s">
        <v>82</v>
      </c>
      <c r="D1176" t="e">
        <f ca="1">BDP("64579SJF Muni","YIELD_ON_ISSUE_DATE")</f>
        <v>#NAME?</v>
      </c>
      <c r="E1176">
        <v>3845000</v>
      </c>
      <c r="F1176" t="e">
        <f ca="1">BDP("64579SJF Muni","ISSUE_DT")</f>
        <v>#NAME?</v>
      </c>
      <c r="G1176" t="e">
        <f ca="1">BDP("64579SJF Muni","MATURITY")</f>
        <v>#NAME?</v>
      </c>
      <c r="H1176" t="e">
        <f ca="1">BDP("64579SJF Muni","MUNI_TAX_PROV")</f>
        <v>#NAME?</v>
      </c>
      <c r="I1176" t="e">
        <f ca="1">BDP("64579SJF Muni","FINANCING_TYPE")</f>
        <v>#NAME?</v>
      </c>
      <c r="J1176" t="e">
        <f ca="1">BDP("64579SJF Muni","BICS_LEVEL_2_INDUSTRY_GROUP_NAME")</f>
        <v>#NAME?</v>
      </c>
      <c r="K1176" t="e">
        <f ca="1">BDP("64579SJF Muni","SELF_REPRTD_GREEN_INSTR_INDCTR")</f>
        <v>#NAME?</v>
      </c>
      <c r="L1176" t="e">
        <f ca="1">BDP("64579SJF Muni","GB_MANAGEMENT_PROCEEDS")</f>
        <v>#NAME?</v>
      </c>
      <c r="M1176" t="e">
        <f ca="1">BDP("64579SJF Muni","GB_REPORTING")</f>
        <v>#NAME?</v>
      </c>
      <c r="N1176" t="e">
        <f ca="1">BDP("64579SJF Muni","GB_ASSURANCE_PROVIDERS")</f>
        <v>#NAME?</v>
      </c>
      <c r="O1176" t="e">
        <f ca="1">BDP("64579SJF Muni","GB_PROJECT_SELECTION_PROCESS")</f>
        <v>#NAME?</v>
      </c>
      <c r="P1176" t="e">
        <f ca="1">BDP("64579SJF Muni","ESG_FRAMEWORK_INDICATOR")</f>
        <v>#NAME?</v>
      </c>
      <c r="Q1176" t="e">
        <f ca="1">BDP("64579SJF Muni","BLOOMBERG_SECTOR_CODE")</f>
        <v>#NAME?</v>
      </c>
      <c r="R1176" t="e">
        <f ca="1">BDP("64579SJF Muni","ISSUER_TYPE")</f>
        <v>#NAME?</v>
      </c>
      <c r="S1176" t="e">
        <f ca="1">BDS("64579SJF Muni","ESG_PROJECT_CATEGORY", "aggregate=y")</f>
        <v>#NAME?</v>
      </c>
      <c r="T1176" t="e">
        <f ca="1">BDS("64579SJF Muni","ESG_PROJECT_SUBCATEGORY", "aggregate=y")</f>
        <v>#NAME?</v>
      </c>
    </row>
    <row r="1177" spans="1:20" x14ac:dyDescent="0.25">
      <c r="A1177" t="e">
        <f ca="1">BDP("64579SJG Muni","ID_CUSIP")</f>
        <v>#NAME?</v>
      </c>
      <c r="B1177" t="e">
        <f ca="1">BDP("64579SJG Muni","STATE_CODE")</f>
        <v>#NAME?</v>
      </c>
      <c r="C1177" t="s">
        <v>82</v>
      </c>
      <c r="D1177" t="e">
        <f ca="1">BDP("64579SJG Muni","YIELD_ON_ISSUE_DATE")</f>
        <v>#NAME?</v>
      </c>
      <c r="E1177">
        <v>4000000</v>
      </c>
      <c r="F1177" t="e">
        <f ca="1">BDP("64579SJG Muni","ISSUE_DT")</f>
        <v>#NAME?</v>
      </c>
      <c r="G1177" t="e">
        <f ca="1">BDP("64579SJG Muni","MATURITY")</f>
        <v>#NAME?</v>
      </c>
      <c r="H1177" t="e">
        <f ca="1">BDP("64579SJG Muni","MUNI_TAX_PROV")</f>
        <v>#NAME?</v>
      </c>
      <c r="I1177" t="e">
        <f ca="1">BDP("64579SJG Muni","FINANCING_TYPE")</f>
        <v>#NAME?</v>
      </c>
      <c r="J1177" t="e">
        <f ca="1">BDP("64579SJG Muni","BICS_LEVEL_2_INDUSTRY_GROUP_NAME")</f>
        <v>#NAME?</v>
      </c>
      <c r="K1177" t="e">
        <f ca="1">BDP("64579SJG Muni","SELF_REPRTD_GREEN_INSTR_INDCTR")</f>
        <v>#NAME?</v>
      </c>
      <c r="L1177" t="e">
        <f ca="1">BDP("64579SJG Muni","GB_MANAGEMENT_PROCEEDS")</f>
        <v>#NAME?</v>
      </c>
      <c r="M1177" t="e">
        <f ca="1">BDP("64579SJG Muni","GB_REPORTING")</f>
        <v>#NAME?</v>
      </c>
      <c r="N1177" t="e">
        <f ca="1">BDP("64579SJG Muni","GB_ASSURANCE_PROVIDERS")</f>
        <v>#NAME?</v>
      </c>
      <c r="O1177" t="e">
        <f ca="1">BDP("64579SJG Muni","GB_PROJECT_SELECTION_PROCESS")</f>
        <v>#NAME?</v>
      </c>
      <c r="P1177" t="e">
        <f ca="1">BDP("64579SJG Muni","ESG_FRAMEWORK_INDICATOR")</f>
        <v>#NAME?</v>
      </c>
      <c r="Q1177" t="e">
        <f ca="1">BDP("64579SJG Muni","BLOOMBERG_SECTOR_CODE")</f>
        <v>#NAME?</v>
      </c>
      <c r="R1177" t="e">
        <f ca="1">BDP("64579SJG Muni","ISSUER_TYPE")</f>
        <v>#NAME?</v>
      </c>
      <c r="S1177" t="e">
        <f ca="1">BDS("64579SJG Muni","ESG_PROJECT_CATEGORY", "aggregate=y")</f>
        <v>#NAME?</v>
      </c>
      <c r="T1177" t="e">
        <f ca="1">BDS("64579SJG Muni","ESG_PROJECT_SUBCATEGORY", "aggregate=y")</f>
        <v>#NAME?</v>
      </c>
    </row>
    <row r="1178" spans="1:20" x14ac:dyDescent="0.25">
      <c r="A1178" t="e">
        <f ca="1">BDP("64579SJH Muni","ID_CUSIP")</f>
        <v>#NAME?</v>
      </c>
      <c r="B1178" t="e">
        <f ca="1">BDP("64579SJH Muni","STATE_CODE")</f>
        <v>#NAME?</v>
      </c>
      <c r="C1178" t="s">
        <v>82</v>
      </c>
      <c r="D1178" t="e">
        <f ca="1">BDP("64579SJH Muni","YIELD_ON_ISSUE_DATE")</f>
        <v>#NAME?</v>
      </c>
      <c r="E1178">
        <v>4145000</v>
      </c>
      <c r="F1178" t="e">
        <f ca="1">BDP("64579SJH Muni","ISSUE_DT")</f>
        <v>#NAME?</v>
      </c>
      <c r="G1178" t="e">
        <f ca="1">BDP("64579SJH Muni","MATURITY")</f>
        <v>#NAME?</v>
      </c>
      <c r="H1178" t="e">
        <f ca="1">BDP("64579SJH Muni","MUNI_TAX_PROV")</f>
        <v>#NAME?</v>
      </c>
      <c r="I1178" t="e">
        <f ca="1">BDP("64579SJH Muni","FINANCING_TYPE")</f>
        <v>#NAME?</v>
      </c>
      <c r="J1178" t="e">
        <f ca="1">BDP("64579SJH Muni","BICS_LEVEL_2_INDUSTRY_GROUP_NAME")</f>
        <v>#NAME?</v>
      </c>
      <c r="K1178" t="e">
        <f ca="1">BDP("64579SJH Muni","SELF_REPRTD_GREEN_INSTR_INDCTR")</f>
        <v>#NAME?</v>
      </c>
      <c r="L1178" t="e">
        <f ca="1">BDP("64579SJH Muni","GB_MANAGEMENT_PROCEEDS")</f>
        <v>#NAME?</v>
      </c>
      <c r="M1178" t="e">
        <f ca="1">BDP("64579SJH Muni","GB_REPORTING")</f>
        <v>#NAME?</v>
      </c>
      <c r="N1178" t="e">
        <f ca="1">BDP("64579SJH Muni","GB_ASSURANCE_PROVIDERS")</f>
        <v>#NAME?</v>
      </c>
      <c r="O1178" t="e">
        <f ca="1">BDP("64579SJH Muni","GB_PROJECT_SELECTION_PROCESS")</f>
        <v>#NAME?</v>
      </c>
      <c r="P1178" t="e">
        <f ca="1">BDP("64579SJH Muni","ESG_FRAMEWORK_INDICATOR")</f>
        <v>#NAME?</v>
      </c>
      <c r="Q1178" t="e">
        <f ca="1">BDP("64579SJH Muni","BLOOMBERG_SECTOR_CODE")</f>
        <v>#NAME?</v>
      </c>
      <c r="R1178" t="e">
        <f ca="1">BDP("64579SJH Muni","ISSUER_TYPE")</f>
        <v>#NAME?</v>
      </c>
      <c r="S1178" t="e">
        <f ca="1">BDS("64579SJH Muni","ESG_PROJECT_CATEGORY", "aggregate=y")</f>
        <v>#NAME?</v>
      </c>
      <c r="T1178" t="e">
        <f ca="1">BDS("64579SJH Muni","ESG_PROJECT_SUBCATEGORY", "aggregate=y")</f>
        <v>#NAME?</v>
      </c>
    </row>
    <row r="1179" spans="1:20" x14ac:dyDescent="0.25">
      <c r="A1179" t="e">
        <f ca="1">BDP("64579SJJ Muni","ID_CUSIP")</f>
        <v>#NAME?</v>
      </c>
      <c r="B1179" t="e">
        <f ca="1">BDP("64579SJJ Muni","STATE_CODE")</f>
        <v>#NAME?</v>
      </c>
      <c r="C1179" t="s">
        <v>82</v>
      </c>
      <c r="D1179" t="e">
        <f ca="1">BDP("64579SJJ Muni","YIELD_ON_ISSUE_DATE")</f>
        <v>#NAME?</v>
      </c>
      <c r="E1179">
        <v>4305000</v>
      </c>
      <c r="F1179" t="e">
        <f ca="1">BDP("64579SJJ Muni","ISSUE_DT")</f>
        <v>#NAME?</v>
      </c>
      <c r="G1179" t="e">
        <f ca="1">BDP("64579SJJ Muni","MATURITY")</f>
        <v>#NAME?</v>
      </c>
      <c r="H1179" t="e">
        <f ca="1">BDP("64579SJJ Muni","MUNI_TAX_PROV")</f>
        <v>#NAME?</v>
      </c>
      <c r="I1179" t="e">
        <f ca="1">BDP("64579SJJ Muni","FINANCING_TYPE")</f>
        <v>#NAME?</v>
      </c>
      <c r="J1179" t="e">
        <f ca="1">BDP("64579SJJ Muni","BICS_LEVEL_2_INDUSTRY_GROUP_NAME")</f>
        <v>#NAME?</v>
      </c>
      <c r="K1179" t="e">
        <f ca="1">BDP("64579SJJ Muni","SELF_REPRTD_GREEN_INSTR_INDCTR")</f>
        <v>#NAME?</v>
      </c>
      <c r="L1179" t="e">
        <f ca="1">BDP("64579SJJ Muni","GB_MANAGEMENT_PROCEEDS")</f>
        <v>#NAME?</v>
      </c>
      <c r="M1179" t="e">
        <f ca="1">BDP("64579SJJ Muni","GB_REPORTING")</f>
        <v>#NAME?</v>
      </c>
      <c r="N1179" t="e">
        <f ca="1">BDP("64579SJJ Muni","GB_ASSURANCE_PROVIDERS")</f>
        <v>#NAME?</v>
      </c>
      <c r="O1179" t="e">
        <f ca="1">BDP("64579SJJ Muni","GB_PROJECT_SELECTION_PROCESS")</f>
        <v>#NAME?</v>
      </c>
      <c r="P1179" t="e">
        <f ca="1">BDP("64579SJJ Muni","ESG_FRAMEWORK_INDICATOR")</f>
        <v>#NAME?</v>
      </c>
      <c r="Q1179" t="e">
        <f ca="1">BDP("64579SJJ Muni","BLOOMBERG_SECTOR_CODE")</f>
        <v>#NAME?</v>
      </c>
      <c r="R1179" t="e">
        <f ca="1">BDP("64579SJJ Muni","ISSUER_TYPE")</f>
        <v>#NAME?</v>
      </c>
      <c r="S1179" t="e">
        <f ca="1">BDS("64579SJJ Muni","ESG_PROJECT_CATEGORY", "aggregate=y")</f>
        <v>#NAME?</v>
      </c>
      <c r="T1179" t="e">
        <f ca="1">BDS("64579SJJ Muni","ESG_PROJECT_SUBCATEGORY", "aggregate=y")</f>
        <v>#NAME?</v>
      </c>
    </row>
    <row r="1180" spans="1:20" x14ac:dyDescent="0.25">
      <c r="A1180" t="e">
        <f ca="1">BDP("64579SJK Muni","ID_CUSIP")</f>
        <v>#NAME?</v>
      </c>
      <c r="B1180" t="e">
        <f ca="1">BDP("64579SJK Muni","STATE_CODE")</f>
        <v>#NAME?</v>
      </c>
      <c r="C1180" t="s">
        <v>82</v>
      </c>
      <c r="D1180" t="e">
        <f ca="1">BDP("64579SJK Muni","YIELD_ON_ISSUE_DATE")</f>
        <v>#NAME?</v>
      </c>
      <c r="E1180">
        <v>4510000</v>
      </c>
      <c r="F1180" t="e">
        <f ca="1">BDP("64579SJK Muni","ISSUE_DT")</f>
        <v>#NAME?</v>
      </c>
      <c r="G1180" t="e">
        <f ca="1">BDP("64579SJK Muni","MATURITY")</f>
        <v>#NAME?</v>
      </c>
      <c r="H1180" t="e">
        <f ca="1">BDP("64579SJK Muni","MUNI_TAX_PROV")</f>
        <v>#NAME?</v>
      </c>
      <c r="I1180" t="e">
        <f ca="1">BDP("64579SJK Muni","FINANCING_TYPE")</f>
        <v>#NAME?</v>
      </c>
      <c r="J1180" t="e">
        <f ca="1">BDP("64579SJK Muni","BICS_LEVEL_2_INDUSTRY_GROUP_NAME")</f>
        <v>#NAME?</v>
      </c>
      <c r="K1180" t="e">
        <f ca="1">BDP("64579SJK Muni","SELF_REPRTD_GREEN_INSTR_INDCTR")</f>
        <v>#NAME?</v>
      </c>
      <c r="L1180" t="e">
        <f ca="1">BDP("64579SJK Muni","GB_MANAGEMENT_PROCEEDS")</f>
        <v>#NAME?</v>
      </c>
      <c r="M1180" t="e">
        <f ca="1">BDP("64579SJK Muni","GB_REPORTING")</f>
        <v>#NAME?</v>
      </c>
      <c r="N1180" t="e">
        <f ca="1">BDP("64579SJK Muni","GB_ASSURANCE_PROVIDERS")</f>
        <v>#NAME?</v>
      </c>
      <c r="O1180" t="e">
        <f ca="1">BDP("64579SJK Muni","GB_PROJECT_SELECTION_PROCESS")</f>
        <v>#NAME?</v>
      </c>
      <c r="P1180" t="e">
        <f ca="1">BDP("64579SJK Muni","ESG_FRAMEWORK_INDICATOR")</f>
        <v>#NAME?</v>
      </c>
      <c r="Q1180" t="e">
        <f ca="1">BDP("64579SJK Muni","BLOOMBERG_SECTOR_CODE")</f>
        <v>#NAME?</v>
      </c>
      <c r="R1180" t="e">
        <f ca="1">BDP("64579SJK Muni","ISSUER_TYPE")</f>
        <v>#NAME?</v>
      </c>
      <c r="S1180" t="e">
        <f ca="1">BDS("64579SJK Muni","ESG_PROJECT_CATEGORY", "aggregate=y")</f>
        <v>#NAME?</v>
      </c>
      <c r="T1180" t="e">
        <f ca="1">BDS("64579SJK Muni","ESG_PROJECT_SUBCATEGORY", "aggregate=y")</f>
        <v>#NAME?</v>
      </c>
    </row>
    <row r="1181" spans="1:20" x14ac:dyDescent="0.25">
      <c r="A1181" t="e">
        <f ca="1">BDP("64579SJL Muni","ID_CUSIP")</f>
        <v>#NAME?</v>
      </c>
      <c r="B1181" t="e">
        <f ca="1">BDP("64579SJL Muni","STATE_CODE")</f>
        <v>#NAME?</v>
      </c>
      <c r="C1181" t="s">
        <v>82</v>
      </c>
      <c r="D1181" t="e">
        <f ca="1">BDP("64579SJL Muni","YIELD_ON_ISSUE_DATE")</f>
        <v>#NAME?</v>
      </c>
      <c r="E1181">
        <v>4675000</v>
      </c>
      <c r="F1181" t="e">
        <f ca="1">BDP("64579SJL Muni","ISSUE_DT")</f>
        <v>#NAME?</v>
      </c>
      <c r="G1181" t="e">
        <f ca="1">BDP("64579SJL Muni","MATURITY")</f>
        <v>#NAME?</v>
      </c>
      <c r="H1181" t="e">
        <f ca="1">BDP("64579SJL Muni","MUNI_TAX_PROV")</f>
        <v>#NAME?</v>
      </c>
      <c r="I1181" t="e">
        <f ca="1">BDP("64579SJL Muni","FINANCING_TYPE")</f>
        <v>#NAME?</v>
      </c>
      <c r="J1181" t="e">
        <f ca="1">BDP("64579SJL Muni","BICS_LEVEL_2_INDUSTRY_GROUP_NAME")</f>
        <v>#NAME?</v>
      </c>
      <c r="K1181" t="e">
        <f ca="1">BDP("64579SJL Muni","SELF_REPRTD_GREEN_INSTR_INDCTR")</f>
        <v>#NAME?</v>
      </c>
      <c r="L1181" t="e">
        <f ca="1">BDP("64579SJL Muni","GB_MANAGEMENT_PROCEEDS")</f>
        <v>#NAME?</v>
      </c>
      <c r="M1181" t="e">
        <f ca="1">BDP("64579SJL Muni","GB_REPORTING")</f>
        <v>#NAME?</v>
      </c>
      <c r="N1181" t="e">
        <f ca="1">BDP("64579SJL Muni","GB_ASSURANCE_PROVIDERS")</f>
        <v>#NAME?</v>
      </c>
      <c r="O1181" t="e">
        <f ca="1">BDP("64579SJL Muni","GB_PROJECT_SELECTION_PROCESS")</f>
        <v>#NAME?</v>
      </c>
      <c r="P1181" t="e">
        <f ca="1">BDP("64579SJL Muni","ESG_FRAMEWORK_INDICATOR")</f>
        <v>#NAME?</v>
      </c>
      <c r="Q1181" t="e">
        <f ca="1">BDP("64579SJL Muni","BLOOMBERG_SECTOR_CODE")</f>
        <v>#NAME?</v>
      </c>
      <c r="R1181" t="e">
        <f ca="1">BDP("64579SJL Muni","ISSUER_TYPE")</f>
        <v>#NAME?</v>
      </c>
      <c r="S1181" t="e">
        <f ca="1">BDS("64579SJL Muni","ESG_PROJECT_CATEGORY", "aggregate=y")</f>
        <v>#NAME?</v>
      </c>
      <c r="T1181" t="e">
        <f ca="1">BDS("64579SJL Muni","ESG_PROJECT_SUBCATEGORY", "aggregate=y")</f>
        <v>#NAME?</v>
      </c>
    </row>
    <row r="1182" spans="1:20" x14ac:dyDescent="0.25">
      <c r="A1182" t="e">
        <f ca="1">BDP("64579SJM Muni","ID_CUSIP")</f>
        <v>#NAME?</v>
      </c>
      <c r="B1182" t="e">
        <f ca="1">BDP("64579SJM Muni","STATE_CODE")</f>
        <v>#NAME?</v>
      </c>
      <c r="C1182" t="s">
        <v>82</v>
      </c>
      <c r="D1182" t="e">
        <f ca="1">BDP("64579SJM Muni","YIELD_ON_ISSUE_DATE")</f>
        <v>#NAME?</v>
      </c>
      <c r="E1182">
        <v>4815000</v>
      </c>
      <c r="F1182" t="e">
        <f ca="1">BDP("64579SJM Muni","ISSUE_DT")</f>
        <v>#NAME?</v>
      </c>
      <c r="G1182" t="e">
        <f ca="1">BDP("64579SJM Muni","MATURITY")</f>
        <v>#NAME?</v>
      </c>
      <c r="H1182" t="e">
        <f ca="1">BDP("64579SJM Muni","MUNI_TAX_PROV")</f>
        <v>#NAME?</v>
      </c>
      <c r="I1182" t="e">
        <f ca="1">BDP("64579SJM Muni","FINANCING_TYPE")</f>
        <v>#NAME?</v>
      </c>
      <c r="J1182" t="e">
        <f ca="1">BDP("64579SJM Muni","BICS_LEVEL_2_INDUSTRY_GROUP_NAME")</f>
        <v>#NAME?</v>
      </c>
      <c r="K1182" t="e">
        <f ca="1">BDP("64579SJM Muni","SELF_REPRTD_GREEN_INSTR_INDCTR")</f>
        <v>#NAME?</v>
      </c>
      <c r="L1182" t="e">
        <f ca="1">BDP("64579SJM Muni","GB_MANAGEMENT_PROCEEDS")</f>
        <v>#NAME?</v>
      </c>
      <c r="M1182" t="e">
        <f ca="1">BDP("64579SJM Muni","GB_REPORTING")</f>
        <v>#NAME?</v>
      </c>
      <c r="N1182" t="e">
        <f ca="1">BDP("64579SJM Muni","GB_ASSURANCE_PROVIDERS")</f>
        <v>#NAME?</v>
      </c>
      <c r="O1182" t="e">
        <f ca="1">BDP("64579SJM Muni","GB_PROJECT_SELECTION_PROCESS")</f>
        <v>#NAME?</v>
      </c>
      <c r="P1182" t="e">
        <f ca="1">BDP("64579SJM Muni","ESG_FRAMEWORK_INDICATOR")</f>
        <v>#NAME?</v>
      </c>
      <c r="Q1182" t="e">
        <f ca="1">BDP("64579SJM Muni","BLOOMBERG_SECTOR_CODE")</f>
        <v>#NAME?</v>
      </c>
      <c r="R1182" t="e">
        <f ca="1">BDP("64579SJM Muni","ISSUER_TYPE")</f>
        <v>#NAME?</v>
      </c>
      <c r="S1182" t="e">
        <f ca="1">BDS("64579SJM Muni","ESG_PROJECT_CATEGORY", "aggregate=y")</f>
        <v>#NAME?</v>
      </c>
      <c r="T1182" t="e">
        <f ca="1">BDS("64579SJM Muni","ESG_PROJECT_SUBCATEGORY", "aggregate=y")</f>
        <v>#NAME?</v>
      </c>
    </row>
    <row r="1183" spans="1:20" x14ac:dyDescent="0.25">
      <c r="A1183" t="e">
        <f ca="1">BDP("64579SJN Muni","ID_CUSIP")</f>
        <v>#NAME?</v>
      </c>
      <c r="B1183" t="e">
        <f ca="1">BDP("64579SJN Muni","STATE_CODE")</f>
        <v>#NAME?</v>
      </c>
      <c r="C1183" t="s">
        <v>82</v>
      </c>
      <c r="D1183" t="e">
        <f ca="1">BDP("64579SJN Muni","YIELD_ON_ISSUE_DATE")</f>
        <v>#NAME?</v>
      </c>
      <c r="E1183">
        <v>4990000</v>
      </c>
      <c r="F1183" t="e">
        <f ca="1">BDP("64579SJN Muni","ISSUE_DT")</f>
        <v>#NAME?</v>
      </c>
      <c r="G1183" t="e">
        <f ca="1">BDP("64579SJN Muni","MATURITY")</f>
        <v>#NAME?</v>
      </c>
      <c r="H1183" t="e">
        <f ca="1">BDP("64579SJN Muni","MUNI_TAX_PROV")</f>
        <v>#NAME?</v>
      </c>
      <c r="I1183" t="e">
        <f ca="1">BDP("64579SJN Muni","FINANCING_TYPE")</f>
        <v>#NAME?</v>
      </c>
      <c r="J1183" t="e">
        <f ca="1">BDP("64579SJN Muni","BICS_LEVEL_2_INDUSTRY_GROUP_NAME")</f>
        <v>#NAME?</v>
      </c>
      <c r="K1183" t="e">
        <f ca="1">BDP("64579SJN Muni","SELF_REPRTD_GREEN_INSTR_INDCTR")</f>
        <v>#NAME?</v>
      </c>
      <c r="L1183" t="e">
        <f ca="1">BDP("64579SJN Muni","GB_MANAGEMENT_PROCEEDS")</f>
        <v>#NAME?</v>
      </c>
      <c r="M1183" t="e">
        <f ca="1">BDP("64579SJN Muni","GB_REPORTING")</f>
        <v>#NAME?</v>
      </c>
      <c r="N1183" t="e">
        <f ca="1">BDP("64579SJN Muni","GB_ASSURANCE_PROVIDERS")</f>
        <v>#NAME?</v>
      </c>
      <c r="O1183" t="e">
        <f ca="1">BDP("64579SJN Muni","GB_PROJECT_SELECTION_PROCESS")</f>
        <v>#NAME?</v>
      </c>
      <c r="P1183" t="e">
        <f ca="1">BDP("64579SJN Muni","ESG_FRAMEWORK_INDICATOR")</f>
        <v>#NAME?</v>
      </c>
      <c r="Q1183" t="e">
        <f ca="1">BDP("64579SJN Muni","BLOOMBERG_SECTOR_CODE")</f>
        <v>#NAME?</v>
      </c>
      <c r="R1183" t="e">
        <f ca="1">BDP("64579SJN Muni","ISSUER_TYPE")</f>
        <v>#NAME?</v>
      </c>
      <c r="S1183" t="e">
        <f ca="1">BDS("64579SJN Muni","ESG_PROJECT_CATEGORY", "aggregate=y")</f>
        <v>#NAME?</v>
      </c>
      <c r="T1183" t="e">
        <f ca="1">BDS("64579SJN Muni","ESG_PROJECT_SUBCATEGORY", "aggregate=y")</f>
        <v>#NAME?</v>
      </c>
    </row>
    <row r="1184" spans="1:20" x14ac:dyDescent="0.25">
      <c r="A1184" t="e">
        <f ca="1">BDP("64579SJP Muni","ID_CUSIP")</f>
        <v>#NAME?</v>
      </c>
      <c r="B1184" t="e">
        <f ca="1">BDP("64579SJP Muni","STATE_CODE")</f>
        <v>#NAME?</v>
      </c>
      <c r="C1184" t="s">
        <v>82</v>
      </c>
      <c r="D1184" t="e">
        <f ca="1">BDP("64579SJP Muni","YIELD_ON_ISSUE_DATE")</f>
        <v>#NAME?</v>
      </c>
      <c r="E1184">
        <v>5275000</v>
      </c>
      <c r="F1184" t="e">
        <f ca="1">BDP("64579SJP Muni","ISSUE_DT")</f>
        <v>#NAME?</v>
      </c>
      <c r="G1184" t="e">
        <f ca="1">BDP("64579SJP Muni","MATURITY")</f>
        <v>#NAME?</v>
      </c>
      <c r="H1184" t="e">
        <f ca="1">BDP("64579SJP Muni","MUNI_TAX_PROV")</f>
        <v>#NAME?</v>
      </c>
      <c r="I1184" t="e">
        <f ca="1">BDP("64579SJP Muni","FINANCING_TYPE")</f>
        <v>#NAME?</v>
      </c>
      <c r="J1184" t="e">
        <f ca="1">BDP("64579SJP Muni","BICS_LEVEL_2_INDUSTRY_GROUP_NAME")</f>
        <v>#NAME?</v>
      </c>
      <c r="K1184" t="e">
        <f ca="1">BDP("64579SJP Muni","SELF_REPRTD_GREEN_INSTR_INDCTR")</f>
        <v>#NAME?</v>
      </c>
      <c r="L1184" t="e">
        <f ca="1">BDP("64579SJP Muni","GB_MANAGEMENT_PROCEEDS")</f>
        <v>#NAME?</v>
      </c>
      <c r="M1184" t="e">
        <f ca="1">BDP("64579SJP Muni","GB_REPORTING")</f>
        <v>#NAME?</v>
      </c>
      <c r="N1184" t="e">
        <f ca="1">BDP("64579SJP Muni","GB_ASSURANCE_PROVIDERS")</f>
        <v>#NAME?</v>
      </c>
      <c r="O1184" t="e">
        <f ca="1">BDP("64579SJP Muni","GB_PROJECT_SELECTION_PROCESS")</f>
        <v>#NAME?</v>
      </c>
      <c r="P1184" t="e">
        <f ca="1">BDP("64579SJP Muni","ESG_FRAMEWORK_INDICATOR")</f>
        <v>#NAME?</v>
      </c>
      <c r="Q1184" t="e">
        <f ca="1">BDP("64579SJP Muni","BLOOMBERG_SECTOR_CODE")</f>
        <v>#NAME?</v>
      </c>
      <c r="R1184" t="e">
        <f ca="1">BDP("64579SJP Muni","ISSUER_TYPE")</f>
        <v>#NAME?</v>
      </c>
      <c r="S1184" t="e">
        <f ca="1">BDS("64579SJP Muni","ESG_PROJECT_CATEGORY", "aggregate=y")</f>
        <v>#NAME?</v>
      </c>
      <c r="T1184" t="e">
        <f ca="1">BDS("64579SJP Muni","ESG_PROJECT_SUBCATEGORY", "aggregate=y")</f>
        <v>#NAME?</v>
      </c>
    </row>
    <row r="1185" spans="1:20" x14ac:dyDescent="0.25">
      <c r="A1185" t="e">
        <f ca="1">BDP("64579SJQ Muni","ID_CUSIP")</f>
        <v>#NAME?</v>
      </c>
      <c r="B1185" t="e">
        <f ca="1">BDP("64579SJQ Muni","STATE_CODE")</f>
        <v>#NAME?</v>
      </c>
      <c r="C1185" t="s">
        <v>82</v>
      </c>
      <c r="D1185" t="e">
        <f ca="1">BDP("64579SJQ Muni","YIELD_ON_ISSUE_DATE")</f>
        <v>#NAME?</v>
      </c>
      <c r="E1185">
        <v>5440000</v>
      </c>
      <c r="F1185" t="e">
        <f ca="1">BDP("64579SJQ Muni","ISSUE_DT")</f>
        <v>#NAME?</v>
      </c>
      <c r="G1185" t="e">
        <f ca="1">BDP("64579SJQ Muni","MATURITY")</f>
        <v>#NAME?</v>
      </c>
      <c r="H1185" t="e">
        <f ca="1">BDP("64579SJQ Muni","MUNI_TAX_PROV")</f>
        <v>#NAME?</v>
      </c>
      <c r="I1185" t="e">
        <f ca="1">BDP("64579SJQ Muni","FINANCING_TYPE")</f>
        <v>#NAME?</v>
      </c>
      <c r="J1185" t="e">
        <f ca="1">BDP("64579SJQ Muni","BICS_LEVEL_2_INDUSTRY_GROUP_NAME")</f>
        <v>#NAME?</v>
      </c>
      <c r="K1185" t="e">
        <f ca="1">BDP("64579SJQ Muni","SELF_REPRTD_GREEN_INSTR_INDCTR")</f>
        <v>#NAME?</v>
      </c>
      <c r="L1185" t="e">
        <f ca="1">BDP("64579SJQ Muni","GB_MANAGEMENT_PROCEEDS")</f>
        <v>#NAME?</v>
      </c>
      <c r="M1185" t="e">
        <f ca="1">BDP("64579SJQ Muni","GB_REPORTING")</f>
        <v>#NAME?</v>
      </c>
      <c r="N1185" t="e">
        <f ca="1">BDP("64579SJQ Muni","GB_ASSURANCE_PROVIDERS")</f>
        <v>#NAME?</v>
      </c>
      <c r="O1185" t="e">
        <f ca="1">BDP("64579SJQ Muni","GB_PROJECT_SELECTION_PROCESS")</f>
        <v>#NAME?</v>
      </c>
      <c r="P1185" t="e">
        <f ca="1">BDP("64579SJQ Muni","ESG_FRAMEWORK_INDICATOR")</f>
        <v>#NAME?</v>
      </c>
      <c r="Q1185" t="e">
        <f ca="1">BDP("64579SJQ Muni","BLOOMBERG_SECTOR_CODE")</f>
        <v>#NAME?</v>
      </c>
      <c r="R1185" t="e">
        <f ca="1">BDP("64579SJQ Muni","ISSUER_TYPE")</f>
        <v>#NAME?</v>
      </c>
      <c r="S1185" t="e">
        <f ca="1">BDS("64579SJQ Muni","ESG_PROJECT_CATEGORY", "aggregate=y")</f>
        <v>#NAME?</v>
      </c>
      <c r="T1185" t="e">
        <f ca="1">BDS("64579SJQ Muni","ESG_PROJECT_SUBCATEGORY", "aggregate=y")</f>
        <v>#NAME?</v>
      </c>
    </row>
    <row r="1186" spans="1:20" x14ac:dyDescent="0.25">
      <c r="A1186" t="e">
        <f ca="1">BDP("476623DY Muni","ID_CUSIP")</f>
        <v>#NAME?</v>
      </c>
      <c r="B1186" t="e">
        <f ca="1">BDP("476623DY Muni","STATE_CODE")</f>
        <v>#NAME?</v>
      </c>
      <c r="C1186" t="s">
        <v>79</v>
      </c>
      <c r="D1186" t="e">
        <f ca="1">BDP("476623DY Muni","YIELD_ON_ISSUE_DATE")</f>
        <v>#NAME?</v>
      </c>
      <c r="E1186">
        <v>19860000</v>
      </c>
      <c r="F1186" t="e">
        <f ca="1">BDP("476623DY Muni","ISSUE_DT")</f>
        <v>#NAME?</v>
      </c>
      <c r="G1186" t="e">
        <f ca="1">BDP("476623DY Muni","MATURITY")</f>
        <v>#NAME?</v>
      </c>
      <c r="H1186" t="e">
        <f ca="1">BDP("476623DY Muni","MUNI_TAX_PROV")</f>
        <v>#NAME?</v>
      </c>
      <c r="I1186" t="e">
        <f ca="1">BDP("476623DY Muni","FINANCING_TYPE")</f>
        <v>#NAME?</v>
      </c>
      <c r="J1186" t="e">
        <f ca="1">BDP("476623DY Muni","BICS_LEVEL_2_INDUSTRY_GROUP_NAME")</f>
        <v>#NAME?</v>
      </c>
      <c r="K1186" t="e">
        <f ca="1">BDP("476623DY Muni","SELF_REPRTD_GREEN_INSTR_INDCTR")</f>
        <v>#NAME?</v>
      </c>
      <c r="L1186" t="e">
        <f ca="1">BDP("476623DY Muni","GB_MANAGEMENT_PROCEEDS")</f>
        <v>#NAME?</v>
      </c>
      <c r="M1186" t="e">
        <f ca="1">BDP("476623DY Muni","GB_REPORTING")</f>
        <v>#NAME?</v>
      </c>
      <c r="N1186" t="e">
        <f ca="1">BDP("476623DY Muni","GB_ASSURANCE_PROVIDERS")</f>
        <v>#NAME?</v>
      </c>
      <c r="O1186" t="e">
        <f ca="1">BDP("476623DY Muni","GB_PROJECT_SELECTION_PROCESS")</f>
        <v>#NAME?</v>
      </c>
      <c r="P1186" t="e">
        <f ca="1">BDP("476623DY Muni","ESG_FRAMEWORK_INDICATOR")</f>
        <v>#NAME?</v>
      </c>
      <c r="Q1186" t="e">
        <f ca="1">BDP("476623DY Muni","BLOOMBERG_SECTOR_CODE")</f>
        <v>#NAME?</v>
      </c>
      <c r="R1186" t="e">
        <f ca="1">BDP("476623DY Muni","ISSUER_TYPE")</f>
        <v>#NAME?</v>
      </c>
      <c r="S1186" t="e">
        <f ca="1">BDS("476623DY Muni","ESG_PROJECT_CATEGORY", "aggregate=y")</f>
        <v>#NAME?</v>
      </c>
      <c r="T1186" t="e">
        <f ca="1">BDS("476623DY Muni","ESG_PROJECT_SUBCATEGORY", "aggregate=y")</f>
        <v>#NAME?</v>
      </c>
    </row>
    <row r="1187" spans="1:20" x14ac:dyDescent="0.25">
      <c r="A1187" t="e">
        <f ca="1">BDP("476623DX Muni","ID_CUSIP")</f>
        <v>#NAME?</v>
      </c>
      <c r="B1187" t="e">
        <f ca="1">BDP("476623DX Muni","STATE_CODE")</f>
        <v>#NAME?</v>
      </c>
      <c r="C1187" t="s">
        <v>79</v>
      </c>
      <c r="D1187" t="e">
        <f ca="1">BDP("476623DX Muni","YIELD_ON_ISSUE_DATE")</f>
        <v>#NAME?</v>
      </c>
      <c r="E1187">
        <v>12240000</v>
      </c>
      <c r="F1187" t="e">
        <f ca="1">BDP("476623DX Muni","ISSUE_DT")</f>
        <v>#NAME?</v>
      </c>
      <c r="G1187" t="e">
        <f ca="1">BDP("476623DX Muni","MATURITY")</f>
        <v>#NAME?</v>
      </c>
      <c r="H1187" t="e">
        <f ca="1">BDP("476623DX Muni","MUNI_TAX_PROV")</f>
        <v>#NAME?</v>
      </c>
      <c r="I1187" t="e">
        <f ca="1">BDP("476623DX Muni","FINANCING_TYPE")</f>
        <v>#NAME?</v>
      </c>
      <c r="J1187" t="e">
        <f ca="1">BDP("476623DX Muni","BICS_LEVEL_2_INDUSTRY_GROUP_NAME")</f>
        <v>#NAME?</v>
      </c>
      <c r="K1187" t="e">
        <f ca="1">BDP("476623DX Muni","SELF_REPRTD_GREEN_INSTR_INDCTR")</f>
        <v>#NAME?</v>
      </c>
      <c r="L1187" t="e">
        <f ca="1">BDP("476623DX Muni","GB_MANAGEMENT_PROCEEDS")</f>
        <v>#NAME?</v>
      </c>
      <c r="M1187" t="e">
        <f ca="1">BDP("476623DX Muni","GB_REPORTING")</f>
        <v>#NAME?</v>
      </c>
      <c r="N1187" t="e">
        <f ca="1">BDP("476623DX Muni","GB_ASSURANCE_PROVIDERS")</f>
        <v>#NAME?</v>
      </c>
      <c r="O1187" t="e">
        <f ca="1">BDP("476623DX Muni","GB_PROJECT_SELECTION_PROCESS")</f>
        <v>#NAME?</v>
      </c>
      <c r="P1187" t="e">
        <f ca="1">BDP("476623DX Muni","ESG_FRAMEWORK_INDICATOR")</f>
        <v>#NAME?</v>
      </c>
      <c r="Q1187" t="e">
        <f ca="1">BDP("476623DX Muni","BLOOMBERG_SECTOR_CODE")</f>
        <v>#NAME?</v>
      </c>
      <c r="R1187" t="e">
        <f ca="1">BDP("476623DX Muni","ISSUER_TYPE")</f>
        <v>#NAME?</v>
      </c>
      <c r="S1187" t="e">
        <f ca="1">BDS("476623DX Muni","ESG_PROJECT_CATEGORY", "aggregate=y")</f>
        <v>#NAME?</v>
      </c>
      <c r="T1187" t="e">
        <f ca="1">BDS("476623DX Muni","ESG_PROJECT_SUBCATEGORY", "aggregate=y")</f>
        <v>#NAME?</v>
      </c>
    </row>
    <row r="1188" spans="1:20" x14ac:dyDescent="0.25">
      <c r="A1188" t="e">
        <f ca="1">BDP("476623DW Muni","ID_CUSIP")</f>
        <v>#NAME?</v>
      </c>
      <c r="B1188" t="e">
        <f ca="1">BDP("476623DW Muni","STATE_CODE")</f>
        <v>#NAME?</v>
      </c>
      <c r="C1188" t="s">
        <v>79</v>
      </c>
      <c r="D1188" t="e">
        <f ca="1">BDP("476623DW Muni","YIELD_ON_ISSUE_DATE")</f>
        <v>#NAME?</v>
      </c>
      <c r="E1188">
        <v>10350000</v>
      </c>
      <c r="F1188" t="e">
        <f ca="1">BDP("476623DW Muni","ISSUE_DT")</f>
        <v>#NAME?</v>
      </c>
      <c r="G1188" t="e">
        <f ca="1">BDP("476623DW Muni","MATURITY")</f>
        <v>#NAME?</v>
      </c>
      <c r="H1188" t="e">
        <f ca="1">BDP("476623DW Muni","MUNI_TAX_PROV")</f>
        <v>#NAME?</v>
      </c>
      <c r="I1188" t="e">
        <f ca="1">BDP("476623DW Muni","FINANCING_TYPE")</f>
        <v>#NAME?</v>
      </c>
      <c r="J1188" t="e">
        <f ca="1">BDP("476623DW Muni","BICS_LEVEL_2_INDUSTRY_GROUP_NAME")</f>
        <v>#NAME?</v>
      </c>
      <c r="K1188" t="e">
        <f ca="1">BDP("476623DW Muni","SELF_REPRTD_GREEN_INSTR_INDCTR")</f>
        <v>#NAME?</v>
      </c>
      <c r="L1188" t="e">
        <f ca="1">BDP("476623DW Muni","GB_MANAGEMENT_PROCEEDS")</f>
        <v>#NAME?</v>
      </c>
      <c r="M1188" t="e">
        <f ca="1">BDP("476623DW Muni","GB_REPORTING")</f>
        <v>#NAME?</v>
      </c>
      <c r="N1188" t="e">
        <f ca="1">BDP("476623DW Muni","GB_ASSURANCE_PROVIDERS")</f>
        <v>#NAME?</v>
      </c>
      <c r="O1188" t="e">
        <f ca="1">BDP("476623DW Muni","GB_PROJECT_SELECTION_PROCESS")</f>
        <v>#NAME?</v>
      </c>
      <c r="P1188" t="e">
        <f ca="1">BDP("476623DW Muni","ESG_FRAMEWORK_INDICATOR")</f>
        <v>#NAME?</v>
      </c>
      <c r="Q1188" t="e">
        <f ca="1">BDP("476623DW Muni","BLOOMBERG_SECTOR_CODE")</f>
        <v>#NAME?</v>
      </c>
      <c r="R1188" t="e">
        <f ca="1">BDP("476623DW Muni","ISSUER_TYPE")</f>
        <v>#NAME?</v>
      </c>
      <c r="S1188" t="e">
        <f ca="1">BDS("476623DW Muni","ESG_PROJECT_CATEGORY", "aggregate=y")</f>
        <v>#NAME?</v>
      </c>
      <c r="T1188" t="e">
        <f ca="1">BDS("476623DW Muni","ESG_PROJECT_SUBCATEGORY", "aggregate=y")</f>
        <v>#NAME?</v>
      </c>
    </row>
    <row r="1189" spans="1:20" x14ac:dyDescent="0.25">
      <c r="A1189" t="e">
        <f ca="1">BDP("476624EN Muni","ID_CUSIP")</f>
        <v>#NAME?</v>
      </c>
      <c r="B1189" t="e">
        <f ca="1">BDP("476624EN Muni","STATE_CODE")</f>
        <v>#NAME?</v>
      </c>
      <c r="C1189" t="s">
        <v>79</v>
      </c>
      <c r="D1189" t="e">
        <f ca="1">BDP("476624EN Muni","YIELD_ON_ISSUE_DATE")</f>
        <v>#NAME?</v>
      </c>
      <c r="E1189">
        <v>12180000</v>
      </c>
      <c r="F1189" t="e">
        <f ca="1">BDP("476624EN Muni","ISSUE_DT")</f>
        <v>#NAME?</v>
      </c>
      <c r="G1189" t="e">
        <f ca="1">BDP("476624EN Muni","MATURITY")</f>
        <v>#NAME?</v>
      </c>
      <c r="H1189" t="e">
        <f ca="1">BDP("476624EN Muni","MUNI_TAX_PROV")</f>
        <v>#NAME?</v>
      </c>
      <c r="I1189" t="e">
        <f ca="1">BDP("476624EN Muni","FINANCING_TYPE")</f>
        <v>#NAME?</v>
      </c>
      <c r="J1189" t="e">
        <f ca="1">BDP("476624EN Muni","BICS_LEVEL_2_INDUSTRY_GROUP_NAME")</f>
        <v>#NAME?</v>
      </c>
      <c r="K1189" t="e">
        <f ca="1">BDP("476624EN Muni","SELF_REPRTD_GREEN_INSTR_INDCTR")</f>
        <v>#NAME?</v>
      </c>
      <c r="L1189" t="e">
        <f ca="1">BDP("476624EN Muni","GB_MANAGEMENT_PROCEEDS")</f>
        <v>#NAME?</v>
      </c>
      <c r="M1189" t="e">
        <f ca="1">BDP("476624EN Muni","GB_REPORTING")</f>
        <v>#NAME?</v>
      </c>
      <c r="N1189" t="e">
        <f ca="1">BDP("476624EN Muni","GB_ASSURANCE_PROVIDERS")</f>
        <v>#NAME?</v>
      </c>
      <c r="O1189" t="e">
        <f ca="1">BDP("476624EN Muni","GB_PROJECT_SELECTION_PROCESS")</f>
        <v>#NAME?</v>
      </c>
      <c r="P1189" t="e">
        <f ca="1">BDP("476624EN Muni","ESG_FRAMEWORK_INDICATOR")</f>
        <v>#NAME?</v>
      </c>
      <c r="Q1189" t="e">
        <f ca="1">BDP("476624EN Muni","BLOOMBERG_SECTOR_CODE")</f>
        <v>#NAME?</v>
      </c>
      <c r="R1189" t="e">
        <f ca="1">BDP("476624EN Muni","ISSUER_TYPE")</f>
        <v>#NAME?</v>
      </c>
      <c r="S1189" t="e">
        <f ca="1">BDS("476624EN Muni","ESG_PROJECT_CATEGORY", "aggregate=y")</f>
        <v>#NAME?</v>
      </c>
      <c r="T1189" t="e">
        <f ca="1">BDS("476624EN Muni","ESG_PROJECT_SUBCATEGORY", "aggregate=y")</f>
        <v>#NAME?</v>
      </c>
    </row>
    <row r="1190" spans="1:20" x14ac:dyDescent="0.25">
      <c r="A1190" t="e">
        <f ca="1">BDP("476624EL Muni","ID_CUSIP")</f>
        <v>#NAME?</v>
      </c>
      <c r="B1190" t="e">
        <f ca="1">BDP("476624EL Muni","STATE_CODE")</f>
        <v>#NAME?</v>
      </c>
      <c r="C1190" t="s">
        <v>79</v>
      </c>
      <c r="D1190" t="e">
        <f ca="1">BDP("476624EL Muni","YIELD_ON_ISSUE_DATE")</f>
        <v>#NAME?</v>
      </c>
      <c r="E1190">
        <v>6350000</v>
      </c>
      <c r="F1190" t="e">
        <f ca="1">BDP("476624EL Muni","ISSUE_DT")</f>
        <v>#NAME?</v>
      </c>
      <c r="G1190" t="e">
        <f ca="1">BDP("476624EL Muni","MATURITY")</f>
        <v>#NAME?</v>
      </c>
      <c r="H1190" t="e">
        <f ca="1">BDP("476624EL Muni","MUNI_TAX_PROV")</f>
        <v>#NAME?</v>
      </c>
      <c r="I1190" t="e">
        <f ca="1">BDP("476624EL Muni","FINANCING_TYPE")</f>
        <v>#NAME?</v>
      </c>
      <c r="J1190" t="e">
        <f ca="1">BDP("476624EL Muni","BICS_LEVEL_2_INDUSTRY_GROUP_NAME")</f>
        <v>#NAME?</v>
      </c>
      <c r="K1190" t="e">
        <f ca="1">BDP("476624EL Muni","SELF_REPRTD_GREEN_INSTR_INDCTR")</f>
        <v>#NAME?</v>
      </c>
      <c r="L1190" t="e">
        <f ca="1">BDP("476624EL Muni","GB_MANAGEMENT_PROCEEDS")</f>
        <v>#NAME?</v>
      </c>
      <c r="M1190" t="e">
        <f ca="1">BDP("476624EL Muni","GB_REPORTING")</f>
        <v>#NAME?</v>
      </c>
      <c r="N1190" t="e">
        <f ca="1">BDP("476624EL Muni","GB_ASSURANCE_PROVIDERS")</f>
        <v>#NAME?</v>
      </c>
      <c r="O1190" t="e">
        <f ca="1">BDP("476624EL Muni","GB_PROJECT_SELECTION_PROCESS")</f>
        <v>#NAME?</v>
      </c>
      <c r="P1190" t="e">
        <f ca="1">BDP("476624EL Muni","ESG_FRAMEWORK_INDICATOR")</f>
        <v>#NAME?</v>
      </c>
      <c r="Q1190" t="e">
        <f ca="1">BDP("476624EL Muni","BLOOMBERG_SECTOR_CODE")</f>
        <v>#NAME?</v>
      </c>
      <c r="R1190" t="e">
        <f ca="1">BDP("476624EL Muni","ISSUER_TYPE")</f>
        <v>#NAME?</v>
      </c>
      <c r="S1190" t="e">
        <f ca="1">BDS("476624EL Muni","ESG_PROJECT_CATEGORY", "aggregate=y")</f>
        <v>#NAME?</v>
      </c>
      <c r="T1190" t="e">
        <f ca="1">BDS("476624EL Muni","ESG_PROJECT_SUBCATEGORY", "aggregate=y")</f>
        <v>#NAME?</v>
      </c>
    </row>
    <row r="1191" spans="1:20" x14ac:dyDescent="0.25">
      <c r="A1191" t="e">
        <f ca="1">BDP("476624EM Muni","ID_CUSIP")</f>
        <v>#NAME?</v>
      </c>
      <c r="B1191" t="e">
        <f ca="1">BDP("476624EM Muni","STATE_CODE")</f>
        <v>#NAME?</v>
      </c>
      <c r="C1191" t="s">
        <v>79</v>
      </c>
      <c r="D1191" t="e">
        <f ca="1">BDP("476624EM Muni","YIELD_ON_ISSUE_DATE")</f>
        <v>#NAME?</v>
      </c>
      <c r="E1191">
        <v>7500000</v>
      </c>
      <c r="F1191" t="e">
        <f ca="1">BDP("476624EM Muni","ISSUE_DT")</f>
        <v>#NAME?</v>
      </c>
      <c r="G1191" t="e">
        <f ca="1">BDP("476624EM Muni","MATURITY")</f>
        <v>#NAME?</v>
      </c>
      <c r="H1191" t="e">
        <f ca="1">BDP("476624EM Muni","MUNI_TAX_PROV")</f>
        <v>#NAME?</v>
      </c>
      <c r="I1191" t="e">
        <f ca="1">BDP("476624EM Muni","FINANCING_TYPE")</f>
        <v>#NAME?</v>
      </c>
      <c r="J1191" t="e">
        <f ca="1">BDP("476624EM Muni","BICS_LEVEL_2_INDUSTRY_GROUP_NAME")</f>
        <v>#NAME?</v>
      </c>
      <c r="K1191" t="e">
        <f ca="1">BDP("476624EM Muni","SELF_REPRTD_GREEN_INSTR_INDCTR")</f>
        <v>#NAME?</v>
      </c>
      <c r="L1191" t="e">
        <f ca="1">BDP("476624EM Muni","GB_MANAGEMENT_PROCEEDS")</f>
        <v>#NAME?</v>
      </c>
      <c r="M1191" t="e">
        <f ca="1">BDP("476624EM Muni","GB_REPORTING")</f>
        <v>#NAME?</v>
      </c>
      <c r="N1191" t="e">
        <f ca="1">BDP("476624EM Muni","GB_ASSURANCE_PROVIDERS")</f>
        <v>#NAME?</v>
      </c>
      <c r="O1191" t="e">
        <f ca="1">BDP("476624EM Muni","GB_PROJECT_SELECTION_PROCESS")</f>
        <v>#NAME?</v>
      </c>
      <c r="P1191" t="e">
        <f ca="1">BDP("476624EM Muni","ESG_FRAMEWORK_INDICATOR")</f>
        <v>#NAME?</v>
      </c>
      <c r="Q1191" t="e">
        <f ca="1">BDP("476624EM Muni","BLOOMBERG_SECTOR_CODE")</f>
        <v>#NAME?</v>
      </c>
      <c r="R1191" t="e">
        <f ca="1">BDP("476624EM Muni","ISSUER_TYPE")</f>
        <v>#NAME?</v>
      </c>
      <c r="S1191" t="e">
        <f ca="1">BDS("476624EM Muni","ESG_PROJECT_CATEGORY", "aggregate=y")</f>
        <v>#NAME?</v>
      </c>
      <c r="T1191" t="e">
        <f ca="1">BDS("476624EM Muni","ESG_PROJECT_SUBCATEGORY", "aggregate=y")</f>
        <v>#NAME?</v>
      </c>
    </row>
    <row r="1192" spans="1:20" x14ac:dyDescent="0.25">
      <c r="A1192" t="e">
        <f ca="1">BDP("476624DQ Muni","ID_CUSIP")</f>
        <v>#NAME?</v>
      </c>
      <c r="B1192" t="e">
        <f ca="1">BDP("476624DQ Muni","STATE_CODE")</f>
        <v>#NAME?</v>
      </c>
      <c r="C1192" t="s">
        <v>79</v>
      </c>
      <c r="D1192" t="e">
        <f ca="1">BDP("476624DQ Muni","YIELD_ON_ISSUE_DATE")</f>
        <v>#NAME?</v>
      </c>
      <c r="E1192">
        <v>87370000</v>
      </c>
      <c r="F1192" t="e">
        <f ca="1">BDP("476624DQ Muni","ISSUE_DT")</f>
        <v>#NAME?</v>
      </c>
      <c r="G1192" t="e">
        <f ca="1">BDP("476624DQ Muni","MATURITY")</f>
        <v>#NAME?</v>
      </c>
      <c r="H1192" t="e">
        <f ca="1">BDP("476624DQ Muni","MUNI_TAX_PROV")</f>
        <v>#NAME?</v>
      </c>
      <c r="I1192" t="e">
        <f ca="1">BDP("476624DQ Muni","FINANCING_TYPE")</f>
        <v>#NAME?</v>
      </c>
      <c r="J1192" t="e">
        <f ca="1">BDP("476624DQ Muni","BICS_LEVEL_2_INDUSTRY_GROUP_NAME")</f>
        <v>#NAME?</v>
      </c>
      <c r="K1192" t="e">
        <f ca="1">BDP("476624DQ Muni","SELF_REPRTD_GREEN_INSTR_INDCTR")</f>
        <v>#NAME?</v>
      </c>
      <c r="L1192" t="e">
        <f ca="1">BDP("476624DQ Muni","GB_MANAGEMENT_PROCEEDS")</f>
        <v>#NAME?</v>
      </c>
      <c r="M1192" t="e">
        <f ca="1">BDP("476624DQ Muni","GB_REPORTING")</f>
        <v>#NAME?</v>
      </c>
      <c r="N1192" t="e">
        <f ca="1">BDP("476624DQ Muni","GB_ASSURANCE_PROVIDERS")</f>
        <v>#NAME?</v>
      </c>
      <c r="O1192" t="e">
        <f ca="1">BDP("476624DQ Muni","GB_PROJECT_SELECTION_PROCESS")</f>
        <v>#NAME?</v>
      </c>
      <c r="P1192" t="e">
        <f ca="1">BDP("476624DQ Muni","ESG_FRAMEWORK_INDICATOR")</f>
        <v>#NAME?</v>
      </c>
      <c r="Q1192" t="e">
        <f ca="1">BDP("476624DQ Muni","BLOOMBERG_SECTOR_CODE")</f>
        <v>#NAME?</v>
      </c>
      <c r="R1192" t="e">
        <f ca="1">BDP("476624DQ Muni","ISSUER_TYPE")</f>
        <v>#NAME?</v>
      </c>
      <c r="S1192" t="e">
        <f ca="1">BDS("476624DQ Muni","ESG_PROJECT_CATEGORY", "aggregate=y")</f>
        <v>#NAME?</v>
      </c>
      <c r="T1192" t="e">
        <f ca="1">BDS("476624DQ Muni","ESG_PROJECT_SUBCATEGORY", "aggregate=y")</f>
        <v>#NAME?</v>
      </c>
    </row>
    <row r="1193" spans="1:20" x14ac:dyDescent="0.25">
      <c r="A1193" t="e">
        <f ca="1">BDP("924736HT Muni","ID_CUSIP")</f>
        <v>#NAME?</v>
      </c>
      <c r="B1193" t="e">
        <f ca="1">BDP("924736HT Muni","STATE_CODE")</f>
        <v>#NAME?</v>
      </c>
      <c r="C1193" t="s">
        <v>74</v>
      </c>
      <c r="D1193" t="e">
        <f ca="1">BDP("924736HT Muni","YIELD_ON_ISSUE_DATE")</f>
        <v>#NAME?</v>
      </c>
      <c r="E1193">
        <v>335000</v>
      </c>
      <c r="F1193" t="e">
        <f ca="1">BDP("924736HT Muni","ISSUE_DT")</f>
        <v>#NAME?</v>
      </c>
      <c r="G1193" t="e">
        <f ca="1">BDP("924736HT Muni","MATURITY")</f>
        <v>#NAME?</v>
      </c>
      <c r="H1193" t="e">
        <f ca="1">BDP("924736HT Muni","MUNI_TAX_PROV")</f>
        <v>#NAME?</v>
      </c>
      <c r="I1193" t="e">
        <f ca="1">BDP("924736HT Muni","FINANCING_TYPE")</f>
        <v>#NAME?</v>
      </c>
      <c r="J1193" t="e">
        <f ca="1">BDP("924736HT Muni","BICS_LEVEL_2_INDUSTRY_GROUP_NAME")</f>
        <v>#NAME?</v>
      </c>
      <c r="K1193" t="e">
        <f ca="1">BDP("924736HT Muni","SELF_REPRTD_GREEN_INSTR_INDCTR")</f>
        <v>#NAME?</v>
      </c>
      <c r="L1193" t="e">
        <f ca="1">BDP("924736HT Muni","GB_MANAGEMENT_PROCEEDS")</f>
        <v>#NAME?</v>
      </c>
      <c r="M1193" t="e">
        <f ca="1">BDP("924736HT Muni","GB_REPORTING")</f>
        <v>#NAME?</v>
      </c>
      <c r="N1193" t="e">
        <f ca="1">BDP("924736HT Muni","GB_ASSURANCE_PROVIDERS")</f>
        <v>#NAME?</v>
      </c>
      <c r="O1193" t="e">
        <f ca="1">BDP("924736HT Muni","GB_PROJECT_SELECTION_PROCESS")</f>
        <v>#NAME?</v>
      </c>
      <c r="P1193" t="e">
        <f ca="1">BDP("924736HT Muni","ESG_FRAMEWORK_INDICATOR")</f>
        <v>#NAME?</v>
      </c>
      <c r="Q1193" t="e">
        <f ca="1">BDP("924736HT Muni","BLOOMBERG_SECTOR_CODE")</f>
        <v>#NAME?</v>
      </c>
      <c r="R1193" t="e">
        <f ca="1">BDP("924736HT Muni","ISSUER_TYPE")</f>
        <v>#NAME?</v>
      </c>
      <c r="S1193" t="e">
        <f ca="1">BDS("924736HT Muni","ESG_PROJECT_CATEGORY", "aggregate=y")</f>
        <v>#NAME?</v>
      </c>
      <c r="T1193" t="e">
        <f ca="1">BDS("924736HT Muni","ESG_PROJECT_SUBCATEGORY", "aggregate=y")</f>
        <v>#NAME?</v>
      </c>
    </row>
    <row r="1194" spans="1:20" x14ac:dyDescent="0.25">
      <c r="A1194" t="e">
        <f ca="1">BDP("476624EJ Muni","ID_CUSIP")</f>
        <v>#NAME?</v>
      </c>
      <c r="B1194" t="e">
        <f ca="1">BDP("476624EJ Muni","STATE_CODE")</f>
        <v>#NAME?</v>
      </c>
      <c r="C1194" t="s">
        <v>79</v>
      </c>
      <c r="D1194" t="e">
        <f ca="1">BDP("476624EJ Muni","YIELD_ON_ISSUE_DATE")</f>
        <v>#NAME?</v>
      </c>
      <c r="E1194">
        <v>1785000</v>
      </c>
      <c r="F1194" t="e">
        <f ca="1">BDP("476624EJ Muni","ISSUE_DT")</f>
        <v>#NAME?</v>
      </c>
      <c r="G1194" t="e">
        <f ca="1">BDP("476624EJ Muni","MATURITY")</f>
        <v>#NAME?</v>
      </c>
      <c r="H1194" t="e">
        <f ca="1">BDP("476624EJ Muni","MUNI_TAX_PROV")</f>
        <v>#NAME?</v>
      </c>
      <c r="I1194" t="e">
        <f ca="1">BDP("476624EJ Muni","FINANCING_TYPE")</f>
        <v>#NAME?</v>
      </c>
      <c r="J1194" t="e">
        <f ca="1">BDP("476624EJ Muni","BICS_LEVEL_2_INDUSTRY_GROUP_NAME")</f>
        <v>#NAME?</v>
      </c>
      <c r="K1194" t="e">
        <f ca="1">BDP("476624EJ Muni","SELF_REPRTD_GREEN_INSTR_INDCTR")</f>
        <v>#NAME?</v>
      </c>
      <c r="L1194" t="e">
        <f ca="1">BDP("476624EJ Muni","GB_MANAGEMENT_PROCEEDS")</f>
        <v>#NAME?</v>
      </c>
      <c r="M1194" t="e">
        <f ca="1">BDP("476624EJ Muni","GB_REPORTING")</f>
        <v>#NAME?</v>
      </c>
      <c r="N1194" t="e">
        <f ca="1">BDP("476624EJ Muni","GB_ASSURANCE_PROVIDERS")</f>
        <v>#NAME?</v>
      </c>
      <c r="O1194" t="e">
        <f ca="1">BDP("476624EJ Muni","GB_PROJECT_SELECTION_PROCESS")</f>
        <v>#NAME?</v>
      </c>
      <c r="P1194" t="e">
        <f ca="1">BDP("476624EJ Muni","ESG_FRAMEWORK_INDICATOR")</f>
        <v>#NAME?</v>
      </c>
      <c r="Q1194" t="e">
        <f ca="1">BDP("476624EJ Muni","BLOOMBERG_SECTOR_CODE")</f>
        <v>#NAME?</v>
      </c>
      <c r="R1194" t="e">
        <f ca="1">BDP("476624EJ Muni","ISSUER_TYPE")</f>
        <v>#NAME?</v>
      </c>
      <c r="S1194" t="e">
        <f ca="1">BDS("476624EJ Muni","ESG_PROJECT_CATEGORY", "aggregate=y")</f>
        <v>#NAME?</v>
      </c>
      <c r="T1194" t="e">
        <f ca="1">BDS("476624EJ Muni","ESG_PROJECT_SUBCATEGORY", "aggregate=y")</f>
        <v>#NAME?</v>
      </c>
    </row>
    <row r="1195" spans="1:20" x14ac:dyDescent="0.25">
      <c r="A1195" t="e">
        <f ca="1">BDP("224525JE Muni","ID_CUSIP")</f>
        <v>#NAME?</v>
      </c>
      <c r="B1195" t="e">
        <f ca="1">BDP("224525JE Muni","STATE_CODE")</f>
        <v>#NAME?</v>
      </c>
      <c r="C1195" t="s">
        <v>77</v>
      </c>
      <c r="D1195" t="e">
        <f ca="1">BDP("224525JE Muni","YIELD_ON_ISSUE_DATE")</f>
        <v>#NAME?</v>
      </c>
      <c r="E1195">
        <v>550000</v>
      </c>
      <c r="F1195" t="e">
        <f ca="1">BDP("224525JE Muni","ISSUE_DT")</f>
        <v>#NAME?</v>
      </c>
      <c r="G1195" t="e">
        <f ca="1">BDP("224525JE Muni","MATURITY")</f>
        <v>#NAME?</v>
      </c>
      <c r="H1195" t="e">
        <f ca="1">BDP("224525JE Muni","MUNI_TAX_PROV")</f>
        <v>#NAME?</v>
      </c>
      <c r="I1195" t="e">
        <f ca="1">BDP("224525JE Muni","FINANCING_TYPE")</f>
        <v>#NAME?</v>
      </c>
      <c r="J1195" t="e">
        <f ca="1">BDP("224525JE Muni","BICS_LEVEL_2_INDUSTRY_GROUP_NAME")</f>
        <v>#NAME?</v>
      </c>
      <c r="K1195" t="e">
        <f ca="1">BDP("224525JE Muni","SELF_REPRTD_GREEN_INSTR_INDCTR")</f>
        <v>#NAME?</v>
      </c>
      <c r="L1195" t="e">
        <f ca="1">BDP("224525JE Muni","GB_MANAGEMENT_PROCEEDS")</f>
        <v>#NAME?</v>
      </c>
      <c r="M1195" t="e">
        <f ca="1">BDP("224525JE Muni","GB_REPORTING")</f>
        <v>#NAME?</v>
      </c>
      <c r="N1195" t="e">
        <f ca="1">BDP("224525JE Muni","GB_ASSURANCE_PROVIDERS")</f>
        <v>#NAME?</v>
      </c>
      <c r="O1195" t="e">
        <f ca="1">BDP("224525JE Muni","GB_PROJECT_SELECTION_PROCESS")</f>
        <v>#NAME?</v>
      </c>
      <c r="P1195" t="e">
        <f ca="1">BDP("224525JE Muni","ESG_FRAMEWORK_INDICATOR")</f>
        <v>#NAME?</v>
      </c>
      <c r="Q1195" t="e">
        <f ca="1">BDP("224525JE Muni","BLOOMBERG_SECTOR_CODE")</f>
        <v>#NAME?</v>
      </c>
      <c r="R1195" t="e">
        <f ca="1">BDP("224525JE Muni","ISSUER_TYPE")</f>
        <v>#NAME?</v>
      </c>
      <c r="S1195" t="e">
        <f ca="1">BDS("224525JE Muni","ESG_PROJECT_CATEGORY", "aggregate=y")</f>
        <v>#NAME?</v>
      </c>
      <c r="T1195" t="e">
        <f ca="1">BDS("224525JE Muni","ESG_PROJECT_SUBCATEGORY", "aggregate=y")</f>
        <v>#NAME?</v>
      </c>
    </row>
    <row r="1196" spans="1:20" x14ac:dyDescent="0.25">
      <c r="A1196" t="e">
        <f ca="1">BDP("956882RZ Muni","ID_CUSIP")</f>
        <v>#NAME?</v>
      </c>
      <c r="B1196" t="e">
        <f ca="1">BDP("956882RZ Muni","STATE_CODE")</f>
        <v>#NAME?</v>
      </c>
      <c r="C1196" t="s">
        <v>76</v>
      </c>
      <c r="D1196" t="e">
        <f ca="1">BDP("956882RZ Muni","YIELD_ON_ISSUE_DATE")</f>
        <v>#NAME?</v>
      </c>
      <c r="E1196">
        <v>645000</v>
      </c>
      <c r="F1196" t="e">
        <f ca="1">BDP("956882RZ Muni","ISSUE_DT")</f>
        <v>#NAME?</v>
      </c>
      <c r="G1196" t="e">
        <f ca="1">BDP("956882RZ Muni","MATURITY")</f>
        <v>#NAME?</v>
      </c>
      <c r="H1196" t="e">
        <f ca="1">BDP("956882RZ Muni","MUNI_TAX_PROV")</f>
        <v>#NAME?</v>
      </c>
      <c r="I1196" t="e">
        <f ca="1">BDP("956882RZ Muni","FINANCING_TYPE")</f>
        <v>#NAME?</v>
      </c>
      <c r="J1196" t="e">
        <f ca="1">BDP("956882RZ Muni","BICS_LEVEL_2_INDUSTRY_GROUP_NAME")</f>
        <v>#NAME?</v>
      </c>
      <c r="K1196" t="e">
        <f ca="1">BDP("956882RZ Muni","SELF_REPRTD_GREEN_INSTR_INDCTR")</f>
        <v>#NAME?</v>
      </c>
      <c r="L1196" t="e">
        <f ca="1">BDP("956882RZ Muni","GB_MANAGEMENT_PROCEEDS")</f>
        <v>#NAME?</v>
      </c>
      <c r="M1196" t="e">
        <f ca="1">BDP("956882RZ Muni","GB_REPORTING")</f>
        <v>#NAME?</v>
      </c>
      <c r="N1196" t="e">
        <f ca="1">BDP("956882RZ Muni","GB_ASSURANCE_PROVIDERS")</f>
        <v>#NAME?</v>
      </c>
      <c r="O1196" t="e">
        <f ca="1">BDP("956882RZ Muni","GB_PROJECT_SELECTION_PROCESS")</f>
        <v>#NAME?</v>
      </c>
      <c r="P1196" t="e">
        <f ca="1">BDP("956882RZ Muni","ESG_FRAMEWORK_INDICATOR")</f>
        <v>#NAME?</v>
      </c>
      <c r="Q1196" t="e">
        <f ca="1">BDP("956882RZ Muni","BLOOMBERG_SECTOR_CODE")</f>
        <v>#NAME?</v>
      </c>
      <c r="R1196" t="e">
        <f ca="1">BDP("956882RZ Muni","ISSUER_TYPE")</f>
        <v>#NAME?</v>
      </c>
      <c r="S1196" t="e">
        <f ca="1">BDS("956882RZ Muni","ESG_PROJECT_CATEGORY", "aggregate=y")</f>
        <v>#NAME?</v>
      </c>
      <c r="T1196" t="e">
        <f ca="1">BDS("956882RZ Muni","ESG_PROJECT_SUBCATEGORY", "aggregate=y")</f>
        <v>#NAME?</v>
      </c>
    </row>
    <row r="1197" spans="1:20" x14ac:dyDescent="0.25">
      <c r="A1197" t="e">
        <f ca="1">BDP("476623DV Muni","ID_CUSIP")</f>
        <v>#NAME?</v>
      </c>
      <c r="B1197" t="e">
        <f ca="1">BDP("476623DV Muni","STATE_CODE")</f>
        <v>#NAME?</v>
      </c>
      <c r="C1197" t="s">
        <v>79</v>
      </c>
      <c r="D1197" t="e">
        <f ca="1">BDP("476623DV Muni","YIELD_ON_ISSUE_DATE")</f>
        <v>#NAME?</v>
      </c>
      <c r="E1197">
        <v>3080000</v>
      </c>
      <c r="F1197" t="e">
        <f ca="1">BDP("476623DV Muni","ISSUE_DT")</f>
        <v>#NAME?</v>
      </c>
      <c r="G1197" t="e">
        <f ca="1">BDP("476623DV Muni","MATURITY")</f>
        <v>#NAME?</v>
      </c>
      <c r="H1197" t="e">
        <f ca="1">BDP("476623DV Muni","MUNI_TAX_PROV")</f>
        <v>#NAME?</v>
      </c>
      <c r="I1197" t="e">
        <f ca="1">BDP("476623DV Muni","FINANCING_TYPE")</f>
        <v>#NAME?</v>
      </c>
      <c r="J1197" t="e">
        <f ca="1">BDP("476623DV Muni","BICS_LEVEL_2_INDUSTRY_GROUP_NAME")</f>
        <v>#NAME?</v>
      </c>
      <c r="K1197" t="e">
        <f ca="1">BDP("476623DV Muni","SELF_REPRTD_GREEN_INSTR_INDCTR")</f>
        <v>#NAME?</v>
      </c>
      <c r="L1197" t="e">
        <f ca="1">BDP("476623DV Muni","GB_MANAGEMENT_PROCEEDS")</f>
        <v>#NAME?</v>
      </c>
      <c r="M1197" t="e">
        <f ca="1">BDP("476623DV Muni","GB_REPORTING")</f>
        <v>#NAME?</v>
      </c>
      <c r="N1197" t="e">
        <f ca="1">BDP("476623DV Muni","GB_ASSURANCE_PROVIDERS")</f>
        <v>#NAME?</v>
      </c>
      <c r="O1197" t="e">
        <f ca="1">BDP("476623DV Muni","GB_PROJECT_SELECTION_PROCESS")</f>
        <v>#NAME?</v>
      </c>
      <c r="P1197" t="e">
        <f ca="1">BDP("476623DV Muni","ESG_FRAMEWORK_INDICATOR")</f>
        <v>#NAME?</v>
      </c>
      <c r="Q1197" t="e">
        <f ca="1">BDP("476623DV Muni","BLOOMBERG_SECTOR_CODE")</f>
        <v>#NAME?</v>
      </c>
      <c r="R1197" t="e">
        <f ca="1">BDP("476623DV Muni","ISSUER_TYPE")</f>
        <v>#NAME?</v>
      </c>
      <c r="S1197" t="e">
        <f ca="1">BDS("476623DV Muni","ESG_PROJECT_CATEGORY", "aggregate=y")</f>
        <v>#NAME?</v>
      </c>
      <c r="T1197" t="e">
        <f ca="1">BDS("476623DV Muni","ESG_PROJECT_SUBCATEGORY", "aggregate=y")</f>
        <v>#NAME?</v>
      </c>
    </row>
    <row r="1198" spans="1:20" x14ac:dyDescent="0.25">
      <c r="A1198" t="e">
        <f ca="1">BDP("224525JF Muni","ID_CUSIP")</f>
        <v>#NAME?</v>
      </c>
      <c r="B1198" t="e">
        <f ca="1">BDP("224525JF Muni","STATE_CODE")</f>
        <v>#NAME?</v>
      </c>
      <c r="C1198" t="s">
        <v>77</v>
      </c>
      <c r="D1198" t="e">
        <f ca="1">BDP("224525JF Muni","YIELD_ON_ISSUE_DATE")</f>
        <v>#NAME?</v>
      </c>
      <c r="E1198">
        <v>590000</v>
      </c>
      <c r="F1198" t="e">
        <f ca="1">BDP("224525JF Muni","ISSUE_DT")</f>
        <v>#NAME?</v>
      </c>
      <c r="G1198" t="e">
        <f ca="1">BDP("224525JF Muni","MATURITY")</f>
        <v>#NAME?</v>
      </c>
      <c r="H1198" t="e">
        <f ca="1">BDP("224525JF Muni","MUNI_TAX_PROV")</f>
        <v>#NAME?</v>
      </c>
      <c r="I1198" t="e">
        <f ca="1">BDP("224525JF Muni","FINANCING_TYPE")</f>
        <v>#NAME?</v>
      </c>
      <c r="J1198" t="e">
        <f ca="1">BDP("224525JF Muni","BICS_LEVEL_2_INDUSTRY_GROUP_NAME")</f>
        <v>#NAME?</v>
      </c>
      <c r="K1198" t="e">
        <f ca="1">BDP("224525JF Muni","SELF_REPRTD_GREEN_INSTR_INDCTR")</f>
        <v>#NAME?</v>
      </c>
      <c r="L1198" t="e">
        <f ca="1">BDP("224525JF Muni","GB_MANAGEMENT_PROCEEDS")</f>
        <v>#NAME?</v>
      </c>
      <c r="M1198" t="e">
        <f ca="1">BDP("224525JF Muni","GB_REPORTING")</f>
        <v>#NAME?</v>
      </c>
      <c r="N1198" t="e">
        <f ca="1">BDP("224525JF Muni","GB_ASSURANCE_PROVIDERS")</f>
        <v>#NAME?</v>
      </c>
      <c r="O1198" t="e">
        <f ca="1">BDP("224525JF Muni","GB_PROJECT_SELECTION_PROCESS")</f>
        <v>#NAME?</v>
      </c>
      <c r="P1198" t="e">
        <f ca="1">BDP("224525JF Muni","ESG_FRAMEWORK_INDICATOR")</f>
        <v>#NAME?</v>
      </c>
      <c r="Q1198" t="e">
        <f ca="1">BDP("224525JF Muni","BLOOMBERG_SECTOR_CODE")</f>
        <v>#NAME?</v>
      </c>
      <c r="R1198" t="e">
        <f ca="1">BDP("224525JF Muni","ISSUER_TYPE")</f>
        <v>#NAME?</v>
      </c>
      <c r="S1198" t="e">
        <f ca="1">BDS("224525JF Muni","ESG_PROJECT_CATEGORY", "aggregate=y")</f>
        <v>#NAME?</v>
      </c>
      <c r="T1198" t="e">
        <f ca="1">BDS("224525JF Muni","ESG_PROJECT_SUBCATEGORY", "aggregate=y")</f>
        <v>#NAME?</v>
      </c>
    </row>
    <row r="1199" spans="1:20" x14ac:dyDescent="0.25">
      <c r="A1199" t="e">
        <f ca="1">BDP("073013BC Muni","ID_CUSIP")</f>
        <v>#NAME?</v>
      </c>
      <c r="B1199" t="e">
        <f ca="1">BDP("073013BC Muni","STATE_CODE")</f>
        <v>#NAME?</v>
      </c>
      <c r="C1199" t="s">
        <v>83</v>
      </c>
      <c r="D1199" t="e">
        <f ca="1">BDP("073013BC Muni","YIELD_ON_ISSUE_DATE")</f>
        <v>#NAME?</v>
      </c>
      <c r="E1199">
        <v>840000</v>
      </c>
      <c r="F1199" t="e">
        <f ca="1">BDP("073013BC Muni","ISSUE_DT")</f>
        <v>#NAME?</v>
      </c>
      <c r="G1199" t="e">
        <f ca="1">BDP("073013BC Muni","MATURITY")</f>
        <v>#NAME?</v>
      </c>
      <c r="H1199" t="e">
        <f ca="1">BDP("073013BC Muni","MUNI_TAX_PROV")</f>
        <v>#NAME?</v>
      </c>
      <c r="I1199" t="e">
        <f ca="1">BDP("073013BC Muni","FINANCING_TYPE")</f>
        <v>#NAME?</v>
      </c>
      <c r="J1199" t="e">
        <f ca="1">BDP("073013BC Muni","BICS_LEVEL_2_INDUSTRY_GROUP_NAME")</f>
        <v>#NAME?</v>
      </c>
      <c r="K1199" t="e">
        <f ca="1">BDP("073013BC Muni","SELF_REPRTD_GREEN_INSTR_INDCTR")</f>
        <v>#NAME?</v>
      </c>
      <c r="L1199" t="e">
        <f ca="1">BDP("073013BC Muni","GB_MANAGEMENT_PROCEEDS")</f>
        <v>#NAME?</v>
      </c>
      <c r="M1199" t="e">
        <f ca="1">BDP("073013BC Muni","GB_REPORTING")</f>
        <v>#NAME?</v>
      </c>
      <c r="N1199" t="e">
        <f ca="1">BDP("073013BC Muni","GB_ASSURANCE_PROVIDERS")</f>
        <v>#NAME?</v>
      </c>
      <c r="O1199" t="e">
        <f ca="1">BDP("073013BC Muni","GB_PROJECT_SELECTION_PROCESS")</f>
        <v>#NAME?</v>
      </c>
      <c r="P1199" t="e">
        <f ca="1">BDP("073013BC Muni","ESG_FRAMEWORK_INDICATOR")</f>
        <v>#NAME?</v>
      </c>
      <c r="Q1199" t="e">
        <f ca="1">BDP("073013BC Muni","BLOOMBERG_SECTOR_CODE")</f>
        <v>#NAME?</v>
      </c>
      <c r="R1199" t="e">
        <f ca="1">BDP("073013BC Muni","ISSUER_TYPE")</f>
        <v>#NAME?</v>
      </c>
      <c r="S1199" t="e">
        <f ca="1">BDS("073013BC Muni","ESG_PROJECT_CATEGORY", "aggregate=y")</f>
        <v>#NAME?</v>
      </c>
      <c r="T1199" t="e">
        <f ca="1">BDS("073013BC Muni","ESG_PROJECT_SUBCATEGORY", "aggregate=y")</f>
        <v>#NAME?</v>
      </c>
    </row>
    <row r="1200" spans="1:20" x14ac:dyDescent="0.25">
      <c r="A1200" t="e">
        <f ca="1">BDP("476623DU Muni","ID_CUSIP")</f>
        <v>#NAME?</v>
      </c>
      <c r="B1200" t="e">
        <f ca="1">BDP("476623DU Muni","STATE_CODE")</f>
        <v>#NAME?</v>
      </c>
      <c r="C1200" t="s">
        <v>79</v>
      </c>
      <c r="D1200" t="e">
        <f ca="1">BDP("476623DU Muni","YIELD_ON_ISSUE_DATE")</f>
        <v>#NAME?</v>
      </c>
      <c r="E1200">
        <v>2915000</v>
      </c>
      <c r="F1200" t="e">
        <f ca="1">BDP("476623DU Muni","ISSUE_DT")</f>
        <v>#NAME?</v>
      </c>
      <c r="G1200" t="e">
        <f ca="1">BDP("476623DU Muni","MATURITY")</f>
        <v>#NAME?</v>
      </c>
      <c r="H1200" t="e">
        <f ca="1">BDP("476623DU Muni","MUNI_TAX_PROV")</f>
        <v>#NAME?</v>
      </c>
      <c r="I1200" t="e">
        <f ca="1">BDP("476623DU Muni","FINANCING_TYPE")</f>
        <v>#NAME?</v>
      </c>
      <c r="J1200" t="e">
        <f ca="1">BDP("476623DU Muni","BICS_LEVEL_2_INDUSTRY_GROUP_NAME")</f>
        <v>#NAME?</v>
      </c>
      <c r="K1200" t="e">
        <f ca="1">BDP("476623DU Muni","SELF_REPRTD_GREEN_INSTR_INDCTR")</f>
        <v>#NAME?</v>
      </c>
      <c r="L1200" t="e">
        <f ca="1">BDP("476623DU Muni","GB_MANAGEMENT_PROCEEDS")</f>
        <v>#NAME?</v>
      </c>
      <c r="M1200" t="e">
        <f ca="1">BDP("476623DU Muni","GB_REPORTING")</f>
        <v>#NAME?</v>
      </c>
      <c r="N1200" t="e">
        <f ca="1">BDP("476623DU Muni","GB_ASSURANCE_PROVIDERS")</f>
        <v>#NAME?</v>
      </c>
      <c r="O1200" t="e">
        <f ca="1">BDP("476623DU Muni","GB_PROJECT_SELECTION_PROCESS")</f>
        <v>#NAME?</v>
      </c>
      <c r="P1200" t="e">
        <f ca="1">BDP("476623DU Muni","ESG_FRAMEWORK_INDICATOR")</f>
        <v>#NAME?</v>
      </c>
      <c r="Q1200" t="e">
        <f ca="1">BDP("476623DU Muni","BLOOMBERG_SECTOR_CODE")</f>
        <v>#NAME?</v>
      </c>
      <c r="R1200" t="e">
        <f ca="1">BDP("476623DU Muni","ISSUER_TYPE")</f>
        <v>#NAME?</v>
      </c>
      <c r="S1200" t="e">
        <f ca="1">BDS("476623DU Muni","ESG_PROJECT_CATEGORY", "aggregate=y")</f>
        <v>#NAME?</v>
      </c>
      <c r="T1200" t="e">
        <f ca="1">BDS("476623DU Muni","ESG_PROJECT_SUBCATEGORY", "aggregate=y")</f>
        <v>#NAME?</v>
      </c>
    </row>
    <row r="1201" spans="1:20" x14ac:dyDescent="0.25">
      <c r="A1201" t="e">
        <f ca="1">BDP("956882SA Muni","ID_CUSIP")</f>
        <v>#NAME?</v>
      </c>
      <c r="B1201" t="e">
        <f ca="1">BDP("956882SA Muni","STATE_CODE")</f>
        <v>#NAME?</v>
      </c>
      <c r="C1201" t="s">
        <v>76</v>
      </c>
      <c r="D1201" t="e">
        <f ca="1">BDP("956882SA Muni","YIELD_ON_ISSUE_DATE")</f>
        <v>#NAME?</v>
      </c>
      <c r="E1201">
        <v>685000</v>
      </c>
      <c r="F1201" t="e">
        <f ca="1">BDP("956882SA Muni","ISSUE_DT")</f>
        <v>#NAME?</v>
      </c>
      <c r="G1201" t="e">
        <f ca="1">BDP("956882SA Muni","MATURITY")</f>
        <v>#NAME?</v>
      </c>
      <c r="H1201" t="e">
        <f ca="1">BDP("956882SA Muni","MUNI_TAX_PROV")</f>
        <v>#NAME?</v>
      </c>
      <c r="I1201" t="e">
        <f ca="1">BDP("956882SA Muni","FINANCING_TYPE")</f>
        <v>#NAME?</v>
      </c>
      <c r="J1201" t="e">
        <f ca="1">BDP("956882SA Muni","BICS_LEVEL_2_INDUSTRY_GROUP_NAME")</f>
        <v>#NAME?</v>
      </c>
      <c r="K1201" t="e">
        <f ca="1">BDP("956882SA Muni","SELF_REPRTD_GREEN_INSTR_INDCTR")</f>
        <v>#NAME?</v>
      </c>
      <c r="L1201" t="e">
        <f ca="1">BDP("956882SA Muni","GB_MANAGEMENT_PROCEEDS")</f>
        <v>#NAME?</v>
      </c>
      <c r="M1201" t="e">
        <f ca="1">BDP("956882SA Muni","GB_REPORTING")</f>
        <v>#NAME?</v>
      </c>
      <c r="N1201" t="e">
        <f ca="1">BDP("956882SA Muni","GB_ASSURANCE_PROVIDERS")</f>
        <v>#NAME?</v>
      </c>
      <c r="O1201" t="e">
        <f ca="1">BDP("956882SA Muni","GB_PROJECT_SELECTION_PROCESS")</f>
        <v>#NAME?</v>
      </c>
      <c r="P1201" t="e">
        <f ca="1">BDP("956882SA Muni","ESG_FRAMEWORK_INDICATOR")</f>
        <v>#NAME?</v>
      </c>
      <c r="Q1201" t="e">
        <f ca="1">BDP("956882SA Muni","BLOOMBERG_SECTOR_CODE")</f>
        <v>#NAME?</v>
      </c>
      <c r="R1201" t="e">
        <f ca="1">BDP("956882SA Muni","ISSUER_TYPE")</f>
        <v>#NAME?</v>
      </c>
      <c r="S1201" t="e">
        <f ca="1">BDS("956882SA Muni","ESG_PROJECT_CATEGORY", "aggregate=y")</f>
        <v>#NAME?</v>
      </c>
      <c r="T1201" t="e">
        <f ca="1">BDS("956882SA Muni","ESG_PROJECT_SUBCATEGORY", "aggregate=y")</f>
        <v>#NAME?</v>
      </c>
    </row>
    <row r="1202" spans="1:20" x14ac:dyDescent="0.25">
      <c r="A1202" t="e">
        <f ca="1">BDP("476623DE Muni","ID_CUSIP")</f>
        <v>#NAME?</v>
      </c>
      <c r="B1202" t="e">
        <f ca="1">BDP("476623DE Muni","STATE_CODE")</f>
        <v>#NAME?</v>
      </c>
      <c r="C1202" t="s">
        <v>79</v>
      </c>
      <c r="D1202" t="e">
        <f ca="1">BDP("476623DE Muni","YIELD_ON_ISSUE_DATE")</f>
        <v>#NAME?</v>
      </c>
      <c r="E1202">
        <v>1330000</v>
      </c>
      <c r="F1202" t="e">
        <f ca="1">BDP("476623DE Muni","ISSUE_DT")</f>
        <v>#NAME?</v>
      </c>
      <c r="G1202" t="e">
        <f ca="1">BDP("476623DE Muni","MATURITY")</f>
        <v>#NAME?</v>
      </c>
      <c r="H1202" t="e">
        <f ca="1">BDP("476623DE Muni","MUNI_TAX_PROV")</f>
        <v>#NAME?</v>
      </c>
      <c r="I1202" t="e">
        <f ca="1">BDP("476623DE Muni","FINANCING_TYPE")</f>
        <v>#NAME?</v>
      </c>
      <c r="J1202" t="e">
        <f ca="1">BDP("476623DE Muni","BICS_LEVEL_2_INDUSTRY_GROUP_NAME")</f>
        <v>#NAME?</v>
      </c>
      <c r="K1202" t="e">
        <f ca="1">BDP("476623DE Muni","SELF_REPRTD_GREEN_INSTR_INDCTR")</f>
        <v>#NAME?</v>
      </c>
      <c r="L1202" t="e">
        <f ca="1">BDP("476623DE Muni","GB_MANAGEMENT_PROCEEDS")</f>
        <v>#NAME?</v>
      </c>
      <c r="M1202" t="e">
        <f ca="1">BDP("476623DE Muni","GB_REPORTING")</f>
        <v>#NAME?</v>
      </c>
      <c r="N1202" t="e">
        <f ca="1">BDP("476623DE Muni","GB_ASSURANCE_PROVIDERS")</f>
        <v>#NAME?</v>
      </c>
      <c r="O1202" t="e">
        <f ca="1">BDP("476623DE Muni","GB_PROJECT_SELECTION_PROCESS")</f>
        <v>#NAME?</v>
      </c>
      <c r="P1202" t="e">
        <f ca="1">BDP("476623DE Muni","ESG_FRAMEWORK_INDICATOR")</f>
        <v>#NAME?</v>
      </c>
      <c r="Q1202" t="e">
        <f ca="1">BDP("476623DE Muni","BLOOMBERG_SECTOR_CODE")</f>
        <v>#NAME?</v>
      </c>
      <c r="R1202" t="e">
        <f ca="1">BDP("476623DE Muni","ISSUER_TYPE")</f>
        <v>#NAME?</v>
      </c>
      <c r="S1202" t="e">
        <f ca="1">BDS("476623DE Muni","ESG_PROJECT_CATEGORY", "aggregate=y")</f>
        <v>#NAME?</v>
      </c>
      <c r="T1202" t="e">
        <f ca="1">BDS("476623DE Muni","ESG_PROJECT_SUBCATEGORY", "aggregate=y")</f>
        <v>#NAME?</v>
      </c>
    </row>
    <row r="1203" spans="1:20" x14ac:dyDescent="0.25">
      <c r="A1203" t="e">
        <f ca="1">BDP("224525JJ Muni","ID_CUSIP")</f>
        <v>#NAME?</v>
      </c>
      <c r="B1203" t="e">
        <f ca="1">BDP("224525JJ Muni","STATE_CODE")</f>
        <v>#NAME?</v>
      </c>
      <c r="C1203" t="s">
        <v>77</v>
      </c>
      <c r="D1203" t="e">
        <f ca="1">BDP("224525JJ Muni","YIELD_ON_ISSUE_DATE")</f>
        <v>#NAME?</v>
      </c>
      <c r="E1203">
        <v>405000</v>
      </c>
      <c r="F1203" t="e">
        <f ca="1">BDP("224525JJ Muni","ISSUE_DT")</f>
        <v>#NAME?</v>
      </c>
      <c r="G1203" t="e">
        <f ca="1">BDP("224525JJ Muni","MATURITY")</f>
        <v>#NAME?</v>
      </c>
      <c r="H1203" t="e">
        <f ca="1">BDP("224525JJ Muni","MUNI_TAX_PROV")</f>
        <v>#NAME?</v>
      </c>
      <c r="I1203" t="e">
        <f ca="1">BDP("224525JJ Muni","FINANCING_TYPE")</f>
        <v>#NAME?</v>
      </c>
      <c r="J1203" t="e">
        <f ca="1">BDP("224525JJ Muni","BICS_LEVEL_2_INDUSTRY_GROUP_NAME")</f>
        <v>#NAME?</v>
      </c>
      <c r="K1203" t="e">
        <f ca="1">BDP("224525JJ Muni","SELF_REPRTD_GREEN_INSTR_INDCTR")</f>
        <v>#NAME?</v>
      </c>
      <c r="L1203" t="e">
        <f ca="1">BDP("224525JJ Muni","GB_MANAGEMENT_PROCEEDS")</f>
        <v>#NAME?</v>
      </c>
      <c r="M1203" t="e">
        <f ca="1">BDP("224525JJ Muni","GB_REPORTING")</f>
        <v>#NAME?</v>
      </c>
      <c r="N1203" t="e">
        <f ca="1">BDP("224525JJ Muni","GB_ASSURANCE_PROVIDERS")</f>
        <v>#NAME?</v>
      </c>
      <c r="O1203" t="e">
        <f ca="1">BDP("224525JJ Muni","GB_PROJECT_SELECTION_PROCESS")</f>
        <v>#NAME?</v>
      </c>
      <c r="P1203" t="e">
        <f ca="1">BDP("224525JJ Muni","ESG_FRAMEWORK_INDICATOR")</f>
        <v>#NAME?</v>
      </c>
      <c r="Q1203" t="e">
        <f ca="1">BDP("224525JJ Muni","BLOOMBERG_SECTOR_CODE")</f>
        <v>#NAME?</v>
      </c>
      <c r="R1203" t="e">
        <f ca="1">BDP("224525JJ Muni","ISSUER_TYPE")</f>
        <v>#NAME?</v>
      </c>
      <c r="S1203" t="e">
        <f ca="1">BDS("224525JJ Muni","ESG_PROJECT_CATEGORY", "aggregate=y")</f>
        <v>#NAME?</v>
      </c>
      <c r="T1203" t="e">
        <f ca="1">BDS("224525JJ Muni","ESG_PROJECT_SUBCATEGORY", "aggregate=y")</f>
        <v>#NAME?</v>
      </c>
    </row>
    <row r="1204" spans="1:20" x14ac:dyDescent="0.25">
      <c r="A1204" t="e">
        <f ca="1">BDP("476623DG Muni","ID_CUSIP")</f>
        <v>#NAME?</v>
      </c>
      <c r="B1204" t="e">
        <f ca="1">BDP("476623DG Muni","STATE_CODE")</f>
        <v>#NAME?</v>
      </c>
      <c r="C1204" t="s">
        <v>79</v>
      </c>
      <c r="D1204" t="e">
        <f ca="1">BDP("476623DG Muni","YIELD_ON_ISSUE_DATE")</f>
        <v>#NAME?</v>
      </c>
      <c r="E1204">
        <v>1490000</v>
      </c>
      <c r="F1204" t="e">
        <f ca="1">BDP("476623DG Muni","ISSUE_DT")</f>
        <v>#NAME?</v>
      </c>
      <c r="G1204" t="e">
        <f ca="1">BDP("476623DG Muni","MATURITY")</f>
        <v>#NAME?</v>
      </c>
      <c r="H1204" t="e">
        <f ca="1">BDP("476623DG Muni","MUNI_TAX_PROV")</f>
        <v>#NAME?</v>
      </c>
      <c r="I1204" t="e">
        <f ca="1">BDP("476623DG Muni","FINANCING_TYPE")</f>
        <v>#NAME?</v>
      </c>
      <c r="J1204" t="e">
        <f ca="1">BDP("476623DG Muni","BICS_LEVEL_2_INDUSTRY_GROUP_NAME")</f>
        <v>#NAME?</v>
      </c>
      <c r="K1204" t="e">
        <f ca="1">BDP("476623DG Muni","SELF_REPRTD_GREEN_INSTR_INDCTR")</f>
        <v>#NAME?</v>
      </c>
      <c r="L1204" t="e">
        <f ca="1">BDP("476623DG Muni","GB_MANAGEMENT_PROCEEDS")</f>
        <v>#NAME?</v>
      </c>
      <c r="M1204" t="e">
        <f ca="1">BDP("476623DG Muni","GB_REPORTING")</f>
        <v>#NAME?</v>
      </c>
      <c r="N1204" t="e">
        <f ca="1">BDP("476623DG Muni","GB_ASSURANCE_PROVIDERS")</f>
        <v>#NAME?</v>
      </c>
      <c r="O1204" t="e">
        <f ca="1">BDP("476623DG Muni","GB_PROJECT_SELECTION_PROCESS")</f>
        <v>#NAME?</v>
      </c>
      <c r="P1204" t="e">
        <f ca="1">BDP("476623DG Muni","ESG_FRAMEWORK_INDICATOR")</f>
        <v>#NAME?</v>
      </c>
      <c r="Q1204" t="e">
        <f ca="1">BDP("476623DG Muni","BLOOMBERG_SECTOR_CODE")</f>
        <v>#NAME?</v>
      </c>
      <c r="R1204" t="e">
        <f ca="1">BDP("476623DG Muni","ISSUER_TYPE")</f>
        <v>#NAME?</v>
      </c>
      <c r="S1204" t="e">
        <f ca="1">BDS("476623DG Muni","ESG_PROJECT_CATEGORY", "aggregate=y")</f>
        <v>#NAME?</v>
      </c>
      <c r="T1204" t="e">
        <f ca="1">BDS("476623DG Muni","ESG_PROJECT_SUBCATEGORY", "aggregate=y")</f>
        <v>#NAME?</v>
      </c>
    </row>
    <row r="1205" spans="1:20" x14ac:dyDescent="0.25">
      <c r="A1205" t="e">
        <f ca="1">BDP("476623DF Muni","ID_CUSIP")</f>
        <v>#NAME?</v>
      </c>
      <c r="B1205" t="e">
        <f ca="1">BDP("476623DF Muni","STATE_CODE")</f>
        <v>#NAME?</v>
      </c>
      <c r="C1205" t="s">
        <v>79</v>
      </c>
      <c r="D1205" t="e">
        <f ca="1">BDP("476623DF Muni","YIELD_ON_ISSUE_DATE")</f>
        <v>#NAME?</v>
      </c>
      <c r="E1205">
        <v>1410000</v>
      </c>
      <c r="F1205" t="e">
        <f ca="1">BDP("476623DF Muni","ISSUE_DT")</f>
        <v>#NAME?</v>
      </c>
      <c r="G1205" t="e">
        <f ca="1">BDP("476623DF Muni","MATURITY")</f>
        <v>#NAME?</v>
      </c>
      <c r="H1205" t="e">
        <f ca="1">BDP("476623DF Muni","MUNI_TAX_PROV")</f>
        <v>#NAME?</v>
      </c>
      <c r="I1205" t="e">
        <f ca="1">BDP("476623DF Muni","FINANCING_TYPE")</f>
        <v>#NAME?</v>
      </c>
      <c r="J1205" t="e">
        <f ca="1">BDP("476623DF Muni","BICS_LEVEL_2_INDUSTRY_GROUP_NAME")</f>
        <v>#NAME?</v>
      </c>
      <c r="K1205" t="e">
        <f ca="1">BDP("476623DF Muni","SELF_REPRTD_GREEN_INSTR_INDCTR")</f>
        <v>#NAME?</v>
      </c>
      <c r="L1205" t="e">
        <f ca="1">BDP("476623DF Muni","GB_MANAGEMENT_PROCEEDS")</f>
        <v>#NAME?</v>
      </c>
      <c r="M1205" t="e">
        <f ca="1">BDP("476623DF Muni","GB_REPORTING")</f>
        <v>#NAME?</v>
      </c>
      <c r="N1205" t="e">
        <f ca="1">BDP("476623DF Muni","GB_ASSURANCE_PROVIDERS")</f>
        <v>#NAME?</v>
      </c>
      <c r="O1205" t="e">
        <f ca="1">BDP("476623DF Muni","GB_PROJECT_SELECTION_PROCESS")</f>
        <v>#NAME?</v>
      </c>
      <c r="P1205" t="e">
        <f ca="1">BDP("476623DF Muni","ESG_FRAMEWORK_INDICATOR")</f>
        <v>#NAME?</v>
      </c>
      <c r="Q1205" t="e">
        <f ca="1">BDP("476623DF Muni","BLOOMBERG_SECTOR_CODE")</f>
        <v>#NAME?</v>
      </c>
      <c r="R1205" t="e">
        <f ca="1">BDP("476623DF Muni","ISSUER_TYPE")</f>
        <v>#NAME?</v>
      </c>
      <c r="S1205" t="e">
        <f ca="1">BDS("476623DF Muni","ESG_PROJECT_CATEGORY", "aggregate=y")</f>
        <v>#NAME?</v>
      </c>
      <c r="T1205" t="e">
        <f ca="1">BDS("476623DF Muni","ESG_PROJECT_SUBCATEGORY", "aggregate=y")</f>
        <v>#NAME?</v>
      </c>
    </row>
    <row r="1206" spans="1:20" x14ac:dyDescent="0.25">
      <c r="A1206" t="e">
        <f ca="1">BDP("476624EK Muni","ID_CUSIP")</f>
        <v>#NAME?</v>
      </c>
      <c r="B1206" t="e">
        <f ca="1">BDP("476624EK Muni","STATE_CODE")</f>
        <v>#NAME?</v>
      </c>
      <c r="C1206" t="s">
        <v>79</v>
      </c>
      <c r="D1206" t="e">
        <f ca="1">BDP("476624EK Muni","YIELD_ON_ISSUE_DATE")</f>
        <v>#NAME?</v>
      </c>
      <c r="E1206">
        <v>1890000</v>
      </c>
      <c r="F1206" t="e">
        <f ca="1">BDP("476624EK Muni","ISSUE_DT")</f>
        <v>#NAME?</v>
      </c>
      <c r="G1206" t="e">
        <f ca="1">BDP("476624EK Muni","MATURITY")</f>
        <v>#NAME?</v>
      </c>
      <c r="H1206" t="e">
        <f ca="1">BDP("476624EK Muni","MUNI_TAX_PROV")</f>
        <v>#NAME?</v>
      </c>
      <c r="I1206" t="e">
        <f ca="1">BDP("476624EK Muni","FINANCING_TYPE")</f>
        <v>#NAME?</v>
      </c>
      <c r="J1206" t="e">
        <f ca="1">BDP("476624EK Muni","BICS_LEVEL_2_INDUSTRY_GROUP_NAME")</f>
        <v>#NAME?</v>
      </c>
      <c r="K1206" t="e">
        <f ca="1">BDP("476624EK Muni","SELF_REPRTD_GREEN_INSTR_INDCTR")</f>
        <v>#NAME?</v>
      </c>
      <c r="L1206" t="e">
        <f ca="1">BDP("476624EK Muni","GB_MANAGEMENT_PROCEEDS")</f>
        <v>#NAME?</v>
      </c>
      <c r="M1206" t="e">
        <f ca="1">BDP("476624EK Muni","GB_REPORTING")</f>
        <v>#NAME?</v>
      </c>
      <c r="N1206" t="e">
        <f ca="1">BDP("476624EK Muni","GB_ASSURANCE_PROVIDERS")</f>
        <v>#NAME?</v>
      </c>
      <c r="O1206" t="e">
        <f ca="1">BDP("476624EK Muni","GB_PROJECT_SELECTION_PROCESS")</f>
        <v>#NAME?</v>
      </c>
      <c r="P1206" t="e">
        <f ca="1">BDP("476624EK Muni","ESG_FRAMEWORK_INDICATOR")</f>
        <v>#NAME?</v>
      </c>
      <c r="Q1206" t="e">
        <f ca="1">BDP("476624EK Muni","BLOOMBERG_SECTOR_CODE")</f>
        <v>#NAME?</v>
      </c>
      <c r="R1206" t="e">
        <f ca="1">BDP("476624EK Muni","ISSUER_TYPE")</f>
        <v>#NAME?</v>
      </c>
      <c r="S1206" t="e">
        <f ca="1">BDS("476624EK Muni","ESG_PROJECT_CATEGORY", "aggregate=y")</f>
        <v>#NAME?</v>
      </c>
      <c r="T1206" t="e">
        <f ca="1">BDS("476624EK Muni","ESG_PROJECT_SUBCATEGORY", "aggregate=y")</f>
        <v>#NAME?</v>
      </c>
    </row>
    <row r="1207" spans="1:20" x14ac:dyDescent="0.25">
      <c r="A1207" t="e">
        <f ca="1">BDP("224525HT Muni","ID_CUSIP")</f>
        <v>#NAME?</v>
      </c>
      <c r="B1207" t="e">
        <f ca="1">BDP("224525HT Muni","STATE_CODE")</f>
        <v>#NAME?</v>
      </c>
      <c r="C1207" t="s">
        <v>77</v>
      </c>
      <c r="D1207" t="e">
        <f ca="1">BDP("224525HT Muni","YIELD_ON_ISSUE_DATE")</f>
        <v>#NAME?</v>
      </c>
      <c r="E1207">
        <v>245000</v>
      </c>
      <c r="F1207" t="e">
        <f ca="1">BDP("224525HT Muni","ISSUE_DT")</f>
        <v>#NAME?</v>
      </c>
      <c r="G1207" t="e">
        <f ca="1">BDP("224525HT Muni","MATURITY")</f>
        <v>#NAME?</v>
      </c>
      <c r="H1207" t="e">
        <f ca="1">BDP("224525HT Muni","MUNI_TAX_PROV")</f>
        <v>#NAME?</v>
      </c>
      <c r="I1207" t="e">
        <f ca="1">BDP("224525HT Muni","FINANCING_TYPE")</f>
        <v>#NAME?</v>
      </c>
      <c r="J1207" t="e">
        <f ca="1">BDP("224525HT Muni","BICS_LEVEL_2_INDUSTRY_GROUP_NAME")</f>
        <v>#NAME?</v>
      </c>
      <c r="K1207" t="e">
        <f ca="1">BDP("224525HT Muni","SELF_REPRTD_GREEN_INSTR_INDCTR")</f>
        <v>#NAME?</v>
      </c>
      <c r="L1207" t="e">
        <f ca="1">BDP("224525HT Muni","GB_MANAGEMENT_PROCEEDS")</f>
        <v>#NAME?</v>
      </c>
      <c r="M1207" t="e">
        <f ca="1">BDP("224525HT Muni","GB_REPORTING")</f>
        <v>#NAME?</v>
      </c>
      <c r="N1207" t="e">
        <f ca="1">BDP("224525HT Muni","GB_ASSURANCE_PROVIDERS")</f>
        <v>#NAME?</v>
      </c>
      <c r="O1207" t="e">
        <f ca="1">BDP("224525HT Muni","GB_PROJECT_SELECTION_PROCESS")</f>
        <v>#NAME?</v>
      </c>
      <c r="P1207" t="e">
        <f ca="1">BDP("224525HT Muni","ESG_FRAMEWORK_INDICATOR")</f>
        <v>#NAME?</v>
      </c>
      <c r="Q1207" t="e">
        <f ca="1">BDP("224525HT Muni","BLOOMBERG_SECTOR_CODE")</f>
        <v>#NAME?</v>
      </c>
      <c r="R1207" t="e">
        <f ca="1">BDP("224525HT Muni","ISSUER_TYPE")</f>
        <v>#NAME?</v>
      </c>
      <c r="S1207" t="e">
        <f ca="1">BDS("224525HT Muni","ESG_PROJECT_CATEGORY", "aggregate=y")</f>
        <v>#NAME?</v>
      </c>
      <c r="T1207" t="e">
        <f ca="1">BDS("224525HT Muni","ESG_PROJECT_SUBCATEGORY", "aggregate=y")</f>
        <v>#NAME?</v>
      </c>
    </row>
    <row r="1208" spans="1:20" x14ac:dyDescent="0.25">
      <c r="A1208" t="e">
        <f ca="1">BDP("476623DH Muni","ID_CUSIP")</f>
        <v>#NAME?</v>
      </c>
      <c r="B1208" t="e">
        <f ca="1">BDP("476623DH Muni","STATE_CODE")</f>
        <v>#NAME?</v>
      </c>
      <c r="C1208" t="s">
        <v>79</v>
      </c>
      <c r="D1208" t="e">
        <f ca="1">BDP("476623DH Muni","YIELD_ON_ISSUE_DATE")</f>
        <v>#NAME?</v>
      </c>
      <c r="E1208">
        <v>1575000</v>
      </c>
      <c r="F1208" t="e">
        <f ca="1">BDP("476623DH Muni","ISSUE_DT")</f>
        <v>#NAME?</v>
      </c>
      <c r="G1208" t="e">
        <f ca="1">BDP("476623DH Muni","MATURITY")</f>
        <v>#NAME?</v>
      </c>
      <c r="H1208" t="e">
        <f ca="1">BDP("476623DH Muni","MUNI_TAX_PROV")</f>
        <v>#NAME?</v>
      </c>
      <c r="I1208" t="e">
        <f ca="1">BDP("476623DH Muni","FINANCING_TYPE")</f>
        <v>#NAME?</v>
      </c>
      <c r="J1208" t="e">
        <f ca="1">BDP("476623DH Muni","BICS_LEVEL_2_INDUSTRY_GROUP_NAME")</f>
        <v>#NAME?</v>
      </c>
      <c r="K1208" t="e">
        <f ca="1">BDP("476623DH Muni","SELF_REPRTD_GREEN_INSTR_INDCTR")</f>
        <v>#NAME?</v>
      </c>
      <c r="L1208" t="e">
        <f ca="1">BDP("476623DH Muni","GB_MANAGEMENT_PROCEEDS")</f>
        <v>#NAME?</v>
      </c>
      <c r="M1208" t="e">
        <f ca="1">BDP("476623DH Muni","GB_REPORTING")</f>
        <v>#NAME?</v>
      </c>
      <c r="N1208" t="e">
        <f ca="1">BDP("476623DH Muni","GB_ASSURANCE_PROVIDERS")</f>
        <v>#NAME?</v>
      </c>
      <c r="O1208" t="e">
        <f ca="1">BDP("476623DH Muni","GB_PROJECT_SELECTION_PROCESS")</f>
        <v>#NAME?</v>
      </c>
      <c r="P1208" t="e">
        <f ca="1">BDP("476623DH Muni","ESG_FRAMEWORK_INDICATOR")</f>
        <v>#NAME?</v>
      </c>
      <c r="Q1208" t="e">
        <f ca="1">BDP("476623DH Muni","BLOOMBERG_SECTOR_CODE")</f>
        <v>#NAME?</v>
      </c>
      <c r="R1208" t="e">
        <f ca="1">BDP("476623DH Muni","ISSUER_TYPE")</f>
        <v>#NAME?</v>
      </c>
      <c r="S1208" t="e">
        <f ca="1">BDS("476623DH Muni","ESG_PROJECT_CATEGORY", "aggregate=y")</f>
        <v>#NAME?</v>
      </c>
      <c r="T1208" t="e">
        <f ca="1">BDS("476623DH Muni","ESG_PROJECT_SUBCATEGORY", "aggregate=y")</f>
        <v>#NAME?</v>
      </c>
    </row>
    <row r="1209" spans="1:20" x14ac:dyDescent="0.25">
      <c r="A1209" t="e">
        <f ca="1">BDP("476623DN Muni","ID_CUSIP")</f>
        <v>#NAME?</v>
      </c>
      <c r="B1209" t="e">
        <f ca="1">BDP("476623DN Muni","STATE_CODE")</f>
        <v>#NAME?</v>
      </c>
      <c r="C1209" t="s">
        <v>79</v>
      </c>
      <c r="D1209" t="e">
        <f ca="1">BDP("476623DN Muni","YIELD_ON_ISSUE_DATE")</f>
        <v>#NAME?</v>
      </c>
      <c r="E1209">
        <v>2085000</v>
      </c>
      <c r="F1209" t="e">
        <f ca="1">BDP("476623DN Muni","ISSUE_DT")</f>
        <v>#NAME?</v>
      </c>
      <c r="G1209" t="e">
        <f ca="1">BDP("476623DN Muni","MATURITY")</f>
        <v>#NAME?</v>
      </c>
      <c r="H1209" t="e">
        <f ca="1">BDP("476623DN Muni","MUNI_TAX_PROV")</f>
        <v>#NAME?</v>
      </c>
      <c r="I1209" t="e">
        <f ca="1">BDP("476623DN Muni","FINANCING_TYPE")</f>
        <v>#NAME?</v>
      </c>
      <c r="J1209" t="e">
        <f ca="1">BDP("476623DN Muni","BICS_LEVEL_2_INDUSTRY_GROUP_NAME")</f>
        <v>#NAME?</v>
      </c>
      <c r="K1209" t="e">
        <f ca="1">BDP("476623DN Muni","SELF_REPRTD_GREEN_INSTR_INDCTR")</f>
        <v>#NAME?</v>
      </c>
      <c r="L1209" t="e">
        <f ca="1">BDP("476623DN Muni","GB_MANAGEMENT_PROCEEDS")</f>
        <v>#NAME?</v>
      </c>
      <c r="M1209" t="e">
        <f ca="1">BDP("476623DN Muni","GB_REPORTING")</f>
        <v>#NAME?</v>
      </c>
      <c r="N1209" t="e">
        <f ca="1">BDP("476623DN Muni","GB_ASSURANCE_PROVIDERS")</f>
        <v>#NAME?</v>
      </c>
      <c r="O1209" t="e">
        <f ca="1">BDP("476623DN Muni","GB_PROJECT_SELECTION_PROCESS")</f>
        <v>#NAME?</v>
      </c>
      <c r="P1209" t="e">
        <f ca="1">BDP("476623DN Muni","ESG_FRAMEWORK_INDICATOR")</f>
        <v>#NAME?</v>
      </c>
      <c r="Q1209" t="e">
        <f ca="1">BDP("476623DN Muni","BLOOMBERG_SECTOR_CODE")</f>
        <v>#NAME?</v>
      </c>
      <c r="R1209" t="e">
        <f ca="1">BDP("476623DN Muni","ISSUER_TYPE")</f>
        <v>#NAME?</v>
      </c>
      <c r="S1209" t="e">
        <f ca="1">BDS("476623DN Muni","ESG_PROJECT_CATEGORY", "aggregate=y")</f>
        <v>#NAME?</v>
      </c>
      <c r="T1209" t="e">
        <f ca="1">BDS("476623DN Muni","ESG_PROJECT_SUBCATEGORY", "aggregate=y")</f>
        <v>#NAME?</v>
      </c>
    </row>
    <row r="1210" spans="1:20" x14ac:dyDescent="0.25">
      <c r="A1210" t="e">
        <f ca="1">BDP("224525HR Muni","ID_CUSIP")</f>
        <v>#NAME?</v>
      </c>
      <c r="B1210" t="e">
        <f ca="1">BDP("224525HR Muni","STATE_CODE")</f>
        <v>#NAME?</v>
      </c>
      <c r="C1210" t="s">
        <v>77</v>
      </c>
      <c r="D1210" t="e">
        <f ca="1">BDP("224525HR Muni","YIELD_ON_ISSUE_DATE")</f>
        <v>#NAME?</v>
      </c>
      <c r="E1210">
        <v>760000</v>
      </c>
      <c r="F1210" t="e">
        <f ca="1">BDP("224525HR Muni","ISSUE_DT")</f>
        <v>#NAME?</v>
      </c>
      <c r="G1210" t="e">
        <f ca="1">BDP("224525HR Muni","MATURITY")</f>
        <v>#NAME?</v>
      </c>
      <c r="H1210" t="e">
        <f ca="1">BDP("224525HR Muni","MUNI_TAX_PROV")</f>
        <v>#NAME?</v>
      </c>
      <c r="I1210" t="e">
        <f ca="1">BDP("224525HR Muni","FINANCING_TYPE")</f>
        <v>#NAME?</v>
      </c>
      <c r="J1210" t="e">
        <f ca="1">BDP("224525HR Muni","BICS_LEVEL_2_INDUSTRY_GROUP_NAME")</f>
        <v>#NAME?</v>
      </c>
      <c r="K1210" t="e">
        <f ca="1">BDP("224525HR Muni","SELF_REPRTD_GREEN_INSTR_INDCTR")</f>
        <v>#NAME?</v>
      </c>
      <c r="L1210" t="e">
        <f ca="1">BDP("224525HR Muni","GB_MANAGEMENT_PROCEEDS")</f>
        <v>#NAME?</v>
      </c>
      <c r="M1210" t="e">
        <f ca="1">BDP("224525HR Muni","GB_REPORTING")</f>
        <v>#NAME?</v>
      </c>
      <c r="N1210" t="e">
        <f ca="1">BDP("224525HR Muni","GB_ASSURANCE_PROVIDERS")</f>
        <v>#NAME?</v>
      </c>
      <c r="O1210" t="e">
        <f ca="1">BDP("224525HR Muni","GB_PROJECT_SELECTION_PROCESS")</f>
        <v>#NAME?</v>
      </c>
      <c r="P1210" t="e">
        <f ca="1">BDP("224525HR Muni","ESG_FRAMEWORK_INDICATOR")</f>
        <v>#NAME?</v>
      </c>
      <c r="Q1210" t="e">
        <f ca="1">BDP("224525HR Muni","BLOOMBERG_SECTOR_CODE")</f>
        <v>#NAME?</v>
      </c>
      <c r="R1210" t="e">
        <f ca="1">BDP("224525HR Muni","ISSUER_TYPE")</f>
        <v>#NAME?</v>
      </c>
      <c r="S1210" t="e">
        <f ca="1">BDS("224525HR Muni","ESG_PROJECT_CATEGORY", "aggregate=y")</f>
        <v>#NAME?</v>
      </c>
      <c r="T1210" t="e">
        <f ca="1">BDS("224525HR Muni","ESG_PROJECT_SUBCATEGORY", "aggregate=y")</f>
        <v>#NAME?</v>
      </c>
    </row>
    <row r="1211" spans="1:20" x14ac:dyDescent="0.25">
      <c r="A1211" t="e">
        <f ca="1">BDP("224525JG Muni","ID_CUSIP")</f>
        <v>#NAME?</v>
      </c>
      <c r="B1211" t="e">
        <f ca="1">BDP("224525JG Muni","STATE_CODE")</f>
        <v>#NAME?</v>
      </c>
      <c r="C1211" t="s">
        <v>77</v>
      </c>
      <c r="D1211" t="e">
        <f ca="1">BDP("224525JG Muni","YIELD_ON_ISSUE_DATE")</f>
        <v>#NAME?</v>
      </c>
      <c r="E1211">
        <v>350000</v>
      </c>
      <c r="F1211" t="e">
        <f ca="1">BDP("224525JG Muni","ISSUE_DT")</f>
        <v>#NAME?</v>
      </c>
      <c r="G1211" t="e">
        <f ca="1">BDP("224525JG Muni","MATURITY")</f>
        <v>#NAME?</v>
      </c>
      <c r="H1211" t="e">
        <f ca="1">BDP("224525JG Muni","MUNI_TAX_PROV")</f>
        <v>#NAME?</v>
      </c>
      <c r="I1211" t="e">
        <f ca="1">BDP("224525JG Muni","FINANCING_TYPE")</f>
        <v>#NAME?</v>
      </c>
      <c r="J1211" t="e">
        <f ca="1">BDP("224525JG Muni","BICS_LEVEL_2_INDUSTRY_GROUP_NAME")</f>
        <v>#NAME?</v>
      </c>
      <c r="K1211" t="e">
        <f ca="1">BDP("224525JG Muni","SELF_REPRTD_GREEN_INSTR_INDCTR")</f>
        <v>#NAME?</v>
      </c>
      <c r="L1211" t="e">
        <f ca="1">BDP("224525JG Muni","GB_MANAGEMENT_PROCEEDS")</f>
        <v>#NAME?</v>
      </c>
      <c r="M1211" t="e">
        <f ca="1">BDP("224525JG Muni","GB_REPORTING")</f>
        <v>#NAME?</v>
      </c>
      <c r="N1211" t="e">
        <f ca="1">BDP("224525JG Muni","GB_ASSURANCE_PROVIDERS")</f>
        <v>#NAME?</v>
      </c>
      <c r="O1211" t="e">
        <f ca="1">BDP("224525JG Muni","GB_PROJECT_SELECTION_PROCESS")</f>
        <v>#NAME?</v>
      </c>
      <c r="P1211" t="e">
        <f ca="1">BDP("224525JG Muni","ESG_FRAMEWORK_INDICATOR")</f>
        <v>#NAME?</v>
      </c>
      <c r="Q1211" t="e">
        <f ca="1">BDP("224525JG Muni","BLOOMBERG_SECTOR_CODE")</f>
        <v>#NAME?</v>
      </c>
      <c r="R1211" t="e">
        <f ca="1">BDP("224525JG Muni","ISSUER_TYPE")</f>
        <v>#NAME?</v>
      </c>
      <c r="S1211" t="e">
        <f ca="1">BDS("224525JG Muni","ESG_PROJECT_CATEGORY", "aggregate=y")</f>
        <v>#NAME?</v>
      </c>
      <c r="T1211" t="e">
        <f ca="1">BDS("224525JG Muni","ESG_PROJECT_SUBCATEGORY", "aggregate=y")</f>
        <v>#NAME?</v>
      </c>
    </row>
    <row r="1212" spans="1:20" x14ac:dyDescent="0.25">
      <c r="A1212" t="e">
        <f ca="1">BDP("924736HM Muni","ID_CUSIP")</f>
        <v>#NAME?</v>
      </c>
      <c r="B1212" t="e">
        <f ca="1">BDP("924736HM Muni","STATE_CODE")</f>
        <v>#NAME?</v>
      </c>
      <c r="C1212" t="s">
        <v>74</v>
      </c>
      <c r="D1212" t="e">
        <f ca="1">BDP("924736HM Muni","YIELD_ON_ISSUE_DATE")</f>
        <v>#NAME?</v>
      </c>
      <c r="E1212">
        <v>225000</v>
      </c>
      <c r="F1212" t="e">
        <f ca="1">BDP("924736HM Muni","ISSUE_DT")</f>
        <v>#NAME?</v>
      </c>
      <c r="G1212" t="e">
        <f ca="1">BDP("924736HM Muni","MATURITY")</f>
        <v>#NAME?</v>
      </c>
      <c r="H1212" t="e">
        <f ca="1">BDP("924736HM Muni","MUNI_TAX_PROV")</f>
        <v>#NAME?</v>
      </c>
      <c r="I1212" t="e">
        <f ca="1">BDP("924736HM Muni","FINANCING_TYPE")</f>
        <v>#NAME?</v>
      </c>
      <c r="J1212" t="e">
        <f ca="1">BDP("924736HM Muni","BICS_LEVEL_2_INDUSTRY_GROUP_NAME")</f>
        <v>#NAME?</v>
      </c>
      <c r="K1212" t="e">
        <f ca="1">BDP("924736HM Muni","SELF_REPRTD_GREEN_INSTR_INDCTR")</f>
        <v>#NAME?</v>
      </c>
      <c r="L1212" t="e">
        <f ca="1">BDP("924736HM Muni","GB_MANAGEMENT_PROCEEDS")</f>
        <v>#NAME?</v>
      </c>
      <c r="M1212" t="e">
        <f ca="1">BDP("924736HM Muni","GB_REPORTING")</f>
        <v>#NAME?</v>
      </c>
      <c r="N1212" t="e">
        <f ca="1">BDP("924736HM Muni","GB_ASSURANCE_PROVIDERS")</f>
        <v>#NAME?</v>
      </c>
      <c r="O1212" t="e">
        <f ca="1">BDP("924736HM Muni","GB_PROJECT_SELECTION_PROCESS")</f>
        <v>#NAME?</v>
      </c>
      <c r="P1212" t="e">
        <f ca="1">BDP("924736HM Muni","ESG_FRAMEWORK_INDICATOR")</f>
        <v>#NAME?</v>
      </c>
      <c r="Q1212" t="e">
        <f ca="1">BDP("924736HM Muni","BLOOMBERG_SECTOR_CODE")</f>
        <v>#NAME?</v>
      </c>
      <c r="R1212" t="e">
        <f ca="1">BDP("924736HM Muni","ISSUER_TYPE")</f>
        <v>#NAME?</v>
      </c>
      <c r="S1212" t="e">
        <f ca="1">BDS("924736HM Muni","ESG_PROJECT_CATEGORY", "aggregate=y")</f>
        <v>#NAME?</v>
      </c>
      <c r="T1212" t="e">
        <f ca="1">BDS("924736HM Muni","ESG_PROJECT_SUBCATEGORY", "aggregate=y")</f>
        <v>#NAME?</v>
      </c>
    </row>
    <row r="1213" spans="1:20" x14ac:dyDescent="0.25">
      <c r="A1213" t="e">
        <f ca="1">BDP("224525JH Muni","ID_CUSIP")</f>
        <v>#NAME?</v>
      </c>
      <c r="B1213" t="e">
        <f ca="1">BDP("224525JH Muni","STATE_CODE")</f>
        <v>#NAME?</v>
      </c>
      <c r="C1213" t="s">
        <v>77</v>
      </c>
      <c r="D1213" t="e">
        <f ca="1">BDP("224525JH Muni","YIELD_ON_ISSUE_DATE")</f>
        <v>#NAME?</v>
      </c>
      <c r="E1213">
        <v>380000</v>
      </c>
      <c r="F1213" t="e">
        <f ca="1">BDP("224525JH Muni","ISSUE_DT")</f>
        <v>#NAME?</v>
      </c>
      <c r="G1213" t="e">
        <f ca="1">BDP("224525JH Muni","MATURITY")</f>
        <v>#NAME?</v>
      </c>
      <c r="H1213" t="e">
        <f ca="1">BDP("224525JH Muni","MUNI_TAX_PROV")</f>
        <v>#NAME?</v>
      </c>
      <c r="I1213" t="e">
        <f ca="1">BDP("224525JH Muni","FINANCING_TYPE")</f>
        <v>#NAME?</v>
      </c>
      <c r="J1213" t="e">
        <f ca="1">BDP("224525JH Muni","BICS_LEVEL_2_INDUSTRY_GROUP_NAME")</f>
        <v>#NAME?</v>
      </c>
      <c r="K1213" t="e">
        <f ca="1">BDP("224525JH Muni","SELF_REPRTD_GREEN_INSTR_INDCTR")</f>
        <v>#NAME?</v>
      </c>
      <c r="L1213" t="e">
        <f ca="1">BDP("224525JH Muni","GB_MANAGEMENT_PROCEEDS")</f>
        <v>#NAME?</v>
      </c>
      <c r="M1213" t="e">
        <f ca="1">BDP("224525JH Muni","GB_REPORTING")</f>
        <v>#NAME?</v>
      </c>
      <c r="N1213" t="e">
        <f ca="1">BDP("224525JH Muni","GB_ASSURANCE_PROVIDERS")</f>
        <v>#NAME?</v>
      </c>
      <c r="O1213" t="e">
        <f ca="1">BDP("224525JH Muni","GB_PROJECT_SELECTION_PROCESS")</f>
        <v>#NAME?</v>
      </c>
      <c r="P1213" t="e">
        <f ca="1">BDP("224525JH Muni","ESG_FRAMEWORK_INDICATOR")</f>
        <v>#NAME?</v>
      </c>
      <c r="Q1213" t="e">
        <f ca="1">BDP("224525JH Muni","BLOOMBERG_SECTOR_CODE")</f>
        <v>#NAME?</v>
      </c>
      <c r="R1213" t="e">
        <f ca="1">BDP("224525JH Muni","ISSUER_TYPE")</f>
        <v>#NAME?</v>
      </c>
      <c r="S1213" t="e">
        <f ca="1">BDS("224525JH Muni","ESG_PROJECT_CATEGORY", "aggregate=y")</f>
        <v>#NAME?</v>
      </c>
      <c r="T1213" t="e">
        <f ca="1">BDS("224525JH Muni","ESG_PROJECT_SUBCATEGORY", "aggregate=y")</f>
        <v>#NAME?</v>
      </c>
    </row>
    <row r="1214" spans="1:20" x14ac:dyDescent="0.25">
      <c r="A1214" t="e">
        <f ca="1">BDP("476623DL Muni","ID_CUSIP")</f>
        <v>#NAME?</v>
      </c>
      <c r="B1214" t="e">
        <f ca="1">BDP("476623DL Muni","STATE_CODE")</f>
        <v>#NAME?</v>
      </c>
      <c r="C1214" t="s">
        <v>79</v>
      </c>
      <c r="D1214" t="e">
        <f ca="1">BDP("476623DL Muni","YIELD_ON_ISSUE_DATE")</f>
        <v>#NAME?</v>
      </c>
      <c r="E1214">
        <v>1865000</v>
      </c>
      <c r="F1214" t="e">
        <f ca="1">BDP("476623DL Muni","ISSUE_DT")</f>
        <v>#NAME?</v>
      </c>
      <c r="G1214" t="e">
        <f ca="1">BDP("476623DL Muni","MATURITY")</f>
        <v>#NAME?</v>
      </c>
      <c r="H1214" t="e">
        <f ca="1">BDP("476623DL Muni","MUNI_TAX_PROV")</f>
        <v>#NAME?</v>
      </c>
      <c r="I1214" t="e">
        <f ca="1">BDP("476623DL Muni","FINANCING_TYPE")</f>
        <v>#NAME?</v>
      </c>
      <c r="J1214" t="e">
        <f ca="1">BDP("476623DL Muni","BICS_LEVEL_2_INDUSTRY_GROUP_NAME")</f>
        <v>#NAME?</v>
      </c>
      <c r="K1214" t="e">
        <f ca="1">BDP("476623DL Muni","SELF_REPRTD_GREEN_INSTR_INDCTR")</f>
        <v>#NAME?</v>
      </c>
      <c r="L1214" t="e">
        <f ca="1">BDP("476623DL Muni","GB_MANAGEMENT_PROCEEDS")</f>
        <v>#NAME?</v>
      </c>
      <c r="M1214" t="e">
        <f ca="1">BDP("476623DL Muni","GB_REPORTING")</f>
        <v>#NAME?</v>
      </c>
      <c r="N1214" t="e">
        <f ca="1">BDP("476623DL Muni","GB_ASSURANCE_PROVIDERS")</f>
        <v>#NAME?</v>
      </c>
      <c r="O1214" t="e">
        <f ca="1">BDP("476623DL Muni","GB_PROJECT_SELECTION_PROCESS")</f>
        <v>#NAME?</v>
      </c>
      <c r="P1214" t="e">
        <f ca="1">BDP("476623DL Muni","ESG_FRAMEWORK_INDICATOR")</f>
        <v>#NAME?</v>
      </c>
      <c r="Q1214" t="e">
        <f ca="1">BDP("476623DL Muni","BLOOMBERG_SECTOR_CODE")</f>
        <v>#NAME?</v>
      </c>
      <c r="R1214" t="e">
        <f ca="1">BDP("476623DL Muni","ISSUER_TYPE")</f>
        <v>#NAME?</v>
      </c>
      <c r="S1214" t="e">
        <f ca="1">BDS("476623DL Muni","ESG_PROJECT_CATEGORY", "aggregate=y")</f>
        <v>#NAME?</v>
      </c>
      <c r="T1214" t="e">
        <f ca="1">BDS("476623DL Muni","ESG_PROJECT_SUBCATEGORY", "aggregate=y")</f>
        <v>#NAME?</v>
      </c>
    </row>
    <row r="1215" spans="1:20" x14ac:dyDescent="0.25">
      <c r="A1215" t="e">
        <f ca="1">BDP("476623DJ Muni","ID_CUSIP")</f>
        <v>#NAME?</v>
      </c>
      <c r="B1215" t="e">
        <f ca="1">BDP("476623DJ Muni","STATE_CODE")</f>
        <v>#NAME?</v>
      </c>
      <c r="C1215" t="s">
        <v>79</v>
      </c>
      <c r="D1215" t="e">
        <f ca="1">BDP("476623DJ Muni","YIELD_ON_ISSUE_DATE")</f>
        <v>#NAME?</v>
      </c>
      <c r="E1215">
        <v>1665000</v>
      </c>
      <c r="F1215" t="e">
        <f ca="1">BDP("476623DJ Muni","ISSUE_DT")</f>
        <v>#NAME?</v>
      </c>
      <c r="G1215" t="e">
        <f ca="1">BDP("476623DJ Muni","MATURITY")</f>
        <v>#NAME?</v>
      </c>
      <c r="H1215" t="e">
        <f ca="1">BDP("476623DJ Muni","MUNI_TAX_PROV")</f>
        <v>#NAME?</v>
      </c>
      <c r="I1215" t="e">
        <f ca="1">BDP("476623DJ Muni","FINANCING_TYPE")</f>
        <v>#NAME?</v>
      </c>
      <c r="J1215" t="e">
        <f ca="1">BDP("476623DJ Muni","BICS_LEVEL_2_INDUSTRY_GROUP_NAME")</f>
        <v>#NAME?</v>
      </c>
      <c r="K1215" t="e">
        <f ca="1">BDP("476623DJ Muni","SELF_REPRTD_GREEN_INSTR_INDCTR")</f>
        <v>#NAME?</v>
      </c>
      <c r="L1215" t="e">
        <f ca="1">BDP("476623DJ Muni","GB_MANAGEMENT_PROCEEDS")</f>
        <v>#NAME?</v>
      </c>
      <c r="M1215" t="e">
        <f ca="1">BDP("476623DJ Muni","GB_REPORTING")</f>
        <v>#NAME?</v>
      </c>
      <c r="N1215" t="e">
        <f ca="1">BDP("476623DJ Muni","GB_ASSURANCE_PROVIDERS")</f>
        <v>#NAME?</v>
      </c>
      <c r="O1215" t="e">
        <f ca="1">BDP("476623DJ Muni","GB_PROJECT_SELECTION_PROCESS")</f>
        <v>#NAME?</v>
      </c>
      <c r="P1215" t="e">
        <f ca="1">BDP("476623DJ Muni","ESG_FRAMEWORK_INDICATOR")</f>
        <v>#NAME?</v>
      </c>
      <c r="Q1215" t="e">
        <f ca="1">BDP("476623DJ Muni","BLOOMBERG_SECTOR_CODE")</f>
        <v>#NAME?</v>
      </c>
      <c r="R1215" t="e">
        <f ca="1">BDP("476623DJ Muni","ISSUER_TYPE")</f>
        <v>#NAME?</v>
      </c>
      <c r="S1215" t="e">
        <f ca="1">BDS("476623DJ Muni","ESG_PROJECT_CATEGORY", "aggregate=y")</f>
        <v>#NAME?</v>
      </c>
      <c r="T1215" t="e">
        <f ca="1">BDS("476623DJ Muni","ESG_PROJECT_SUBCATEGORY", "aggregate=y")</f>
        <v>#NAME?</v>
      </c>
    </row>
    <row r="1216" spans="1:20" x14ac:dyDescent="0.25">
      <c r="A1216" t="e">
        <f ca="1">BDP("476623DK Muni","ID_CUSIP")</f>
        <v>#NAME?</v>
      </c>
      <c r="B1216" t="e">
        <f ca="1">BDP("476623DK Muni","STATE_CODE")</f>
        <v>#NAME?</v>
      </c>
      <c r="C1216" t="s">
        <v>79</v>
      </c>
      <c r="D1216" t="e">
        <f ca="1">BDP("476623DK Muni","YIELD_ON_ISSUE_DATE")</f>
        <v>#NAME?</v>
      </c>
      <c r="E1216">
        <v>1760000</v>
      </c>
      <c r="F1216" t="e">
        <f ca="1">BDP("476623DK Muni","ISSUE_DT")</f>
        <v>#NAME?</v>
      </c>
      <c r="G1216" t="e">
        <f ca="1">BDP("476623DK Muni","MATURITY")</f>
        <v>#NAME?</v>
      </c>
      <c r="H1216" t="e">
        <f ca="1">BDP("476623DK Muni","MUNI_TAX_PROV")</f>
        <v>#NAME?</v>
      </c>
      <c r="I1216" t="e">
        <f ca="1">BDP("476623DK Muni","FINANCING_TYPE")</f>
        <v>#NAME?</v>
      </c>
      <c r="J1216" t="e">
        <f ca="1">BDP("476623DK Muni","BICS_LEVEL_2_INDUSTRY_GROUP_NAME")</f>
        <v>#NAME?</v>
      </c>
      <c r="K1216" t="e">
        <f ca="1">BDP("476623DK Muni","SELF_REPRTD_GREEN_INSTR_INDCTR")</f>
        <v>#NAME?</v>
      </c>
      <c r="L1216" t="e">
        <f ca="1">BDP("476623DK Muni","GB_MANAGEMENT_PROCEEDS")</f>
        <v>#NAME?</v>
      </c>
      <c r="M1216" t="e">
        <f ca="1">BDP("476623DK Muni","GB_REPORTING")</f>
        <v>#NAME?</v>
      </c>
      <c r="N1216" t="e">
        <f ca="1">BDP("476623DK Muni","GB_ASSURANCE_PROVIDERS")</f>
        <v>#NAME?</v>
      </c>
      <c r="O1216" t="e">
        <f ca="1">BDP("476623DK Muni","GB_PROJECT_SELECTION_PROCESS")</f>
        <v>#NAME?</v>
      </c>
      <c r="P1216" t="e">
        <f ca="1">BDP("476623DK Muni","ESG_FRAMEWORK_INDICATOR")</f>
        <v>#NAME?</v>
      </c>
      <c r="Q1216" t="e">
        <f ca="1">BDP("476623DK Muni","BLOOMBERG_SECTOR_CODE")</f>
        <v>#NAME?</v>
      </c>
      <c r="R1216" t="e">
        <f ca="1">BDP("476623DK Muni","ISSUER_TYPE")</f>
        <v>#NAME?</v>
      </c>
      <c r="S1216" t="e">
        <f ca="1">BDS("476623DK Muni","ESG_PROJECT_CATEGORY", "aggregate=y")</f>
        <v>#NAME?</v>
      </c>
      <c r="T1216" t="e">
        <f ca="1">BDS("476623DK Muni","ESG_PROJECT_SUBCATEGORY", "aggregate=y")</f>
        <v>#NAME?</v>
      </c>
    </row>
    <row r="1217" spans="1:20" x14ac:dyDescent="0.25">
      <c r="A1217" t="e">
        <f ca="1">BDP("476623DM Muni","ID_CUSIP")</f>
        <v>#NAME?</v>
      </c>
      <c r="B1217" t="e">
        <f ca="1">BDP("476623DM Muni","STATE_CODE")</f>
        <v>#NAME?</v>
      </c>
      <c r="C1217" t="s">
        <v>79</v>
      </c>
      <c r="D1217" t="e">
        <f ca="1">BDP("476623DM Muni","YIELD_ON_ISSUE_DATE")</f>
        <v>#NAME?</v>
      </c>
      <c r="E1217">
        <v>1970000</v>
      </c>
      <c r="F1217" t="e">
        <f ca="1">BDP("476623DM Muni","ISSUE_DT")</f>
        <v>#NAME?</v>
      </c>
      <c r="G1217" t="e">
        <f ca="1">BDP("476623DM Muni","MATURITY")</f>
        <v>#NAME?</v>
      </c>
      <c r="H1217" t="e">
        <f ca="1">BDP("476623DM Muni","MUNI_TAX_PROV")</f>
        <v>#NAME?</v>
      </c>
      <c r="I1217" t="e">
        <f ca="1">BDP("476623DM Muni","FINANCING_TYPE")</f>
        <v>#NAME?</v>
      </c>
      <c r="J1217" t="e">
        <f ca="1">BDP("476623DM Muni","BICS_LEVEL_2_INDUSTRY_GROUP_NAME")</f>
        <v>#NAME?</v>
      </c>
      <c r="K1217" t="e">
        <f ca="1">BDP("476623DM Muni","SELF_REPRTD_GREEN_INSTR_INDCTR")</f>
        <v>#NAME?</v>
      </c>
      <c r="L1217" t="e">
        <f ca="1">BDP("476623DM Muni","GB_MANAGEMENT_PROCEEDS")</f>
        <v>#NAME?</v>
      </c>
      <c r="M1217" t="e">
        <f ca="1">BDP("476623DM Muni","GB_REPORTING")</f>
        <v>#NAME?</v>
      </c>
      <c r="N1217" t="e">
        <f ca="1">BDP("476623DM Muni","GB_ASSURANCE_PROVIDERS")</f>
        <v>#NAME?</v>
      </c>
      <c r="O1217" t="e">
        <f ca="1">BDP("476623DM Muni","GB_PROJECT_SELECTION_PROCESS")</f>
        <v>#NAME?</v>
      </c>
      <c r="P1217" t="e">
        <f ca="1">BDP("476623DM Muni","ESG_FRAMEWORK_INDICATOR")</f>
        <v>#NAME?</v>
      </c>
      <c r="Q1217" t="e">
        <f ca="1">BDP("476623DM Muni","BLOOMBERG_SECTOR_CODE")</f>
        <v>#NAME?</v>
      </c>
      <c r="R1217" t="e">
        <f ca="1">BDP("476623DM Muni","ISSUER_TYPE")</f>
        <v>#NAME?</v>
      </c>
      <c r="S1217" t="e">
        <f ca="1">BDS("476623DM Muni","ESG_PROJECT_CATEGORY", "aggregate=y")</f>
        <v>#NAME?</v>
      </c>
      <c r="T1217" t="e">
        <f ca="1">BDS("476623DM Muni","ESG_PROJECT_SUBCATEGORY", "aggregate=y")</f>
        <v>#NAME?</v>
      </c>
    </row>
    <row r="1218" spans="1:20" x14ac:dyDescent="0.25">
      <c r="A1218" t="e">
        <f ca="1">BDP("476624EH Muni","ID_CUSIP")</f>
        <v>#NAME?</v>
      </c>
      <c r="B1218" t="e">
        <f ca="1">BDP("476624EH Muni","STATE_CODE")</f>
        <v>#NAME?</v>
      </c>
      <c r="C1218" t="s">
        <v>79</v>
      </c>
      <c r="D1218" t="e">
        <f ca="1">BDP("476624EH Muni","YIELD_ON_ISSUE_DATE")</f>
        <v>#NAME?</v>
      </c>
      <c r="E1218">
        <v>1690000</v>
      </c>
      <c r="F1218" t="e">
        <f ca="1">BDP("476624EH Muni","ISSUE_DT")</f>
        <v>#NAME?</v>
      </c>
      <c r="G1218" t="e">
        <f ca="1">BDP("476624EH Muni","MATURITY")</f>
        <v>#NAME?</v>
      </c>
      <c r="H1218" t="e">
        <f ca="1">BDP("476624EH Muni","MUNI_TAX_PROV")</f>
        <v>#NAME?</v>
      </c>
      <c r="I1218" t="e">
        <f ca="1">BDP("476624EH Muni","FINANCING_TYPE")</f>
        <v>#NAME?</v>
      </c>
      <c r="J1218" t="e">
        <f ca="1">BDP("476624EH Muni","BICS_LEVEL_2_INDUSTRY_GROUP_NAME")</f>
        <v>#NAME?</v>
      </c>
      <c r="K1218" t="e">
        <f ca="1">BDP("476624EH Muni","SELF_REPRTD_GREEN_INSTR_INDCTR")</f>
        <v>#NAME?</v>
      </c>
      <c r="L1218" t="e">
        <f ca="1">BDP("476624EH Muni","GB_MANAGEMENT_PROCEEDS")</f>
        <v>#NAME?</v>
      </c>
      <c r="M1218" t="e">
        <f ca="1">BDP("476624EH Muni","GB_REPORTING")</f>
        <v>#NAME?</v>
      </c>
      <c r="N1218" t="e">
        <f ca="1">BDP("476624EH Muni","GB_ASSURANCE_PROVIDERS")</f>
        <v>#NAME?</v>
      </c>
      <c r="O1218" t="e">
        <f ca="1">BDP("476624EH Muni","GB_PROJECT_SELECTION_PROCESS")</f>
        <v>#NAME?</v>
      </c>
      <c r="P1218" t="e">
        <f ca="1">BDP("476624EH Muni","ESG_FRAMEWORK_INDICATOR")</f>
        <v>#NAME?</v>
      </c>
      <c r="Q1218" t="e">
        <f ca="1">BDP("476624EH Muni","BLOOMBERG_SECTOR_CODE")</f>
        <v>#NAME?</v>
      </c>
      <c r="R1218" t="e">
        <f ca="1">BDP("476624EH Muni","ISSUER_TYPE")</f>
        <v>#NAME?</v>
      </c>
      <c r="S1218" t="e">
        <f ca="1">BDS("476624EH Muni","ESG_PROJECT_CATEGORY", "aggregate=y")</f>
        <v>#NAME?</v>
      </c>
      <c r="T1218" t="e">
        <f ca="1">BDS("476624EH Muni","ESG_PROJECT_SUBCATEGORY", "aggregate=y")</f>
        <v>#NAME?</v>
      </c>
    </row>
    <row r="1219" spans="1:20" x14ac:dyDescent="0.25">
      <c r="A1219" t="e">
        <f ca="1">BDP("290096CD Muni","ID_CUSIP")</f>
        <v>#NAME?</v>
      </c>
      <c r="B1219" t="e">
        <f ca="1">BDP("290096CD Muni","STATE_CODE")</f>
        <v>#NAME?</v>
      </c>
      <c r="C1219" t="s">
        <v>78</v>
      </c>
      <c r="D1219" t="e">
        <f ca="1">BDP("290096CD Muni","YIELD_ON_ISSUE_DATE")</f>
        <v>#NAME?</v>
      </c>
      <c r="E1219">
        <v>195000</v>
      </c>
      <c r="F1219" t="e">
        <f ca="1">BDP("290096CD Muni","ISSUE_DT")</f>
        <v>#NAME?</v>
      </c>
      <c r="G1219" t="e">
        <f ca="1">BDP("290096CD Muni","MATURITY")</f>
        <v>#NAME?</v>
      </c>
      <c r="H1219" t="e">
        <f ca="1">BDP("290096CD Muni","MUNI_TAX_PROV")</f>
        <v>#NAME?</v>
      </c>
      <c r="I1219" t="e">
        <f ca="1">BDP("290096CD Muni","FINANCING_TYPE")</f>
        <v>#NAME?</v>
      </c>
      <c r="J1219" t="e">
        <f ca="1">BDP("290096CD Muni","BICS_LEVEL_2_INDUSTRY_GROUP_NAME")</f>
        <v>#NAME?</v>
      </c>
      <c r="K1219" t="e">
        <f ca="1">BDP("290096CD Muni","SELF_REPRTD_GREEN_INSTR_INDCTR")</f>
        <v>#NAME?</v>
      </c>
      <c r="L1219" t="e">
        <f ca="1">BDP("290096CD Muni","GB_MANAGEMENT_PROCEEDS")</f>
        <v>#NAME?</v>
      </c>
      <c r="M1219" t="e">
        <f ca="1">BDP("290096CD Muni","GB_REPORTING")</f>
        <v>#NAME?</v>
      </c>
      <c r="N1219" t="e">
        <f ca="1">BDP("290096CD Muni","GB_ASSURANCE_PROVIDERS")</f>
        <v>#NAME?</v>
      </c>
      <c r="O1219" t="e">
        <f ca="1">BDP("290096CD Muni","GB_PROJECT_SELECTION_PROCESS")</f>
        <v>#NAME?</v>
      </c>
      <c r="P1219" t="e">
        <f ca="1">BDP("290096CD Muni","ESG_FRAMEWORK_INDICATOR")</f>
        <v>#NAME?</v>
      </c>
      <c r="Q1219" t="e">
        <f ca="1">BDP("290096CD Muni","BLOOMBERG_SECTOR_CODE")</f>
        <v>#NAME?</v>
      </c>
      <c r="R1219" t="e">
        <f ca="1">BDP("290096CD Muni","ISSUER_TYPE")</f>
        <v>#NAME?</v>
      </c>
      <c r="S1219" t="e">
        <f ca="1">BDS("290096CD Muni","ESG_PROJECT_CATEGORY", "aggregate=y")</f>
        <v>#NAME?</v>
      </c>
      <c r="T1219" t="e">
        <f ca="1">BDS("290096CD Muni","ESG_PROJECT_SUBCATEGORY", "aggregate=y")</f>
        <v>#NAME?</v>
      </c>
    </row>
    <row r="1220" spans="1:20" x14ac:dyDescent="0.25">
      <c r="A1220" t="e">
        <f ca="1">BDP("476624EE Muni","ID_CUSIP")</f>
        <v>#NAME?</v>
      </c>
      <c r="B1220" t="e">
        <f ca="1">BDP("476624EE Muni","STATE_CODE")</f>
        <v>#NAME?</v>
      </c>
      <c r="C1220" t="s">
        <v>79</v>
      </c>
      <c r="D1220" t="e">
        <f ca="1">BDP("476624EE Muni","YIELD_ON_ISSUE_DATE")</f>
        <v>#NAME?</v>
      </c>
      <c r="E1220">
        <v>1430000</v>
      </c>
      <c r="F1220" t="e">
        <f ca="1">BDP("476624EE Muni","ISSUE_DT")</f>
        <v>#NAME?</v>
      </c>
      <c r="G1220" t="e">
        <f ca="1">BDP("476624EE Muni","MATURITY")</f>
        <v>#NAME?</v>
      </c>
      <c r="H1220" t="e">
        <f ca="1">BDP("476624EE Muni","MUNI_TAX_PROV")</f>
        <v>#NAME?</v>
      </c>
      <c r="I1220" t="e">
        <f ca="1">BDP("476624EE Muni","FINANCING_TYPE")</f>
        <v>#NAME?</v>
      </c>
      <c r="J1220" t="e">
        <f ca="1">BDP("476624EE Muni","BICS_LEVEL_2_INDUSTRY_GROUP_NAME")</f>
        <v>#NAME?</v>
      </c>
      <c r="K1220" t="e">
        <f ca="1">BDP("476624EE Muni","SELF_REPRTD_GREEN_INSTR_INDCTR")</f>
        <v>#NAME?</v>
      </c>
      <c r="L1220" t="e">
        <f ca="1">BDP("476624EE Muni","GB_MANAGEMENT_PROCEEDS")</f>
        <v>#NAME?</v>
      </c>
      <c r="M1220" t="e">
        <f ca="1">BDP("476624EE Muni","GB_REPORTING")</f>
        <v>#NAME?</v>
      </c>
      <c r="N1220" t="e">
        <f ca="1">BDP("476624EE Muni","GB_ASSURANCE_PROVIDERS")</f>
        <v>#NAME?</v>
      </c>
      <c r="O1220" t="e">
        <f ca="1">BDP("476624EE Muni","GB_PROJECT_SELECTION_PROCESS")</f>
        <v>#NAME?</v>
      </c>
      <c r="P1220" t="e">
        <f ca="1">BDP("476624EE Muni","ESG_FRAMEWORK_INDICATOR")</f>
        <v>#NAME?</v>
      </c>
      <c r="Q1220" t="e">
        <f ca="1">BDP("476624EE Muni","BLOOMBERG_SECTOR_CODE")</f>
        <v>#NAME?</v>
      </c>
      <c r="R1220" t="e">
        <f ca="1">BDP("476624EE Muni","ISSUER_TYPE")</f>
        <v>#NAME?</v>
      </c>
      <c r="S1220" t="e">
        <f ca="1">BDS("476624EE Muni","ESG_PROJECT_CATEGORY", "aggregate=y")</f>
        <v>#NAME?</v>
      </c>
      <c r="T1220" t="e">
        <f ca="1">BDS("476624EE Muni","ESG_PROJECT_SUBCATEGORY", "aggregate=y")</f>
        <v>#NAME?</v>
      </c>
    </row>
    <row r="1221" spans="1:20" x14ac:dyDescent="0.25">
      <c r="A1221" t="e">
        <f ca="1">BDP("956882RY Muni","ID_CUSIP")</f>
        <v>#NAME?</v>
      </c>
      <c r="B1221" t="e">
        <f ca="1">BDP("956882RY Muni","STATE_CODE")</f>
        <v>#NAME?</v>
      </c>
      <c r="C1221" t="s">
        <v>76</v>
      </c>
      <c r="D1221" t="e">
        <f ca="1">BDP("956882RY Muni","YIELD_ON_ISSUE_DATE")</f>
        <v>#NAME?</v>
      </c>
      <c r="E1221">
        <v>605000</v>
      </c>
      <c r="F1221" t="e">
        <f ca="1">BDP("956882RY Muni","ISSUE_DT")</f>
        <v>#NAME?</v>
      </c>
      <c r="G1221" t="e">
        <f ca="1">BDP("956882RY Muni","MATURITY")</f>
        <v>#NAME?</v>
      </c>
      <c r="H1221" t="e">
        <f ca="1">BDP("956882RY Muni","MUNI_TAX_PROV")</f>
        <v>#NAME?</v>
      </c>
      <c r="I1221" t="e">
        <f ca="1">BDP("956882RY Muni","FINANCING_TYPE")</f>
        <v>#NAME?</v>
      </c>
      <c r="J1221" t="e">
        <f ca="1">BDP("956882RY Muni","BICS_LEVEL_2_INDUSTRY_GROUP_NAME")</f>
        <v>#NAME?</v>
      </c>
      <c r="K1221" t="e">
        <f ca="1">BDP("956882RY Muni","SELF_REPRTD_GREEN_INSTR_INDCTR")</f>
        <v>#NAME?</v>
      </c>
      <c r="L1221" t="e">
        <f ca="1">BDP("956882RY Muni","GB_MANAGEMENT_PROCEEDS")</f>
        <v>#NAME?</v>
      </c>
      <c r="M1221" t="e">
        <f ca="1">BDP("956882RY Muni","GB_REPORTING")</f>
        <v>#NAME?</v>
      </c>
      <c r="N1221" t="e">
        <f ca="1">BDP("956882RY Muni","GB_ASSURANCE_PROVIDERS")</f>
        <v>#NAME?</v>
      </c>
      <c r="O1221" t="e">
        <f ca="1">BDP("956882RY Muni","GB_PROJECT_SELECTION_PROCESS")</f>
        <v>#NAME?</v>
      </c>
      <c r="P1221" t="e">
        <f ca="1">BDP("956882RY Muni","ESG_FRAMEWORK_INDICATOR")</f>
        <v>#NAME?</v>
      </c>
      <c r="Q1221" t="e">
        <f ca="1">BDP("956882RY Muni","BLOOMBERG_SECTOR_CODE")</f>
        <v>#NAME?</v>
      </c>
      <c r="R1221" t="e">
        <f ca="1">BDP("956882RY Muni","ISSUER_TYPE")</f>
        <v>#NAME?</v>
      </c>
      <c r="S1221" t="e">
        <f ca="1">BDS("956882RY Muni","ESG_PROJECT_CATEGORY", "aggregate=y")</f>
        <v>#NAME?</v>
      </c>
      <c r="T1221" t="e">
        <f ca="1">BDS("956882RY Muni","ESG_PROJECT_SUBCATEGORY", "aggregate=y")</f>
        <v>#NAME?</v>
      </c>
    </row>
    <row r="1222" spans="1:20" x14ac:dyDescent="0.25">
      <c r="A1222" t="e">
        <f ca="1">BDP("476623DT Muni","ID_CUSIP")</f>
        <v>#NAME?</v>
      </c>
      <c r="B1222" t="e">
        <f ca="1">BDP("476623DT Muni","STATE_CODE")</f>
        <v>#NAME?</v>
      </c>
      <c r="C1222" t="s">
        <v>79</v>
      </c>
      <c r="D1222" t="e">
        <f ca="1">BDP("476623DT Muni","YIELD_ON_ISSUE_DATE")</f>
        <v>#NAME?</v>
      </c>
      <c r="E1222">
        <v>2755000</v>
      </c>
      <c r="F1222" t="e">
        <f ca="1">BDP("476623DT Muni","ISSUE_DT")</f>
        <v>#NAME?</v>
      </c>
      <c r="G1222" t="e">
        <f ca="1">BDP("476623DT Muni","MATURITY")</f>
        <v>#NAME?</v>
      </c>
      <c r="H1222" t="e">
        <f ca="1">BDP("476623DT Muni","MUNI_TAX_PROV")</f>
        <v>#NAME?</v>
      </c>
      <c r="I1222" t="e">
        <f ca="1">BDP("476623DT Muni","FINANCING_TYPE")</f>
        <v>#NAME?</v>
      </c>
      <c r="J1222" t="e">
        <f ca="1">BDP("476623DT Muni","BICS_LEVEL_2_INDUSTRY_GROUP_NAME")</f>
        <v>#NAME?</v>
      </c>
      <c r="K1222" t="e">
        <f ca="1">BDP("476623DT Muni","SELF_REPRTD_GREEN_INSTR_INDCTR")</f>
        <v>#NAME?</v>
      </c>
      <c r="L1222" t="e">
        <f ca="1">BDP("476623DT Muni","GB_MANAGEMENT_PROCEEDS")</f>
        <v>#NAME?</v>
      </c>
      <c r="M1222" t="e">
        <f ca="1">BDP("476623DT Muni","GB_REPORTING")</f>
        <v>#NAME?</v>
      </c>
      <c r="N1222" t="e">
        <f ca="1">BDP("476623DT Muni","GB_ASSURANCE_PROVIDERS")</f>
        <v>#NAME?</v>
      </c>
      <c r="O1222" t="e">
        <f ca="1">BDP("476623DT Muni","GB_PROJECT_SELECTION_PROCESS")</f>
        <v>#NAME?</v>
      </c>
      <c r="P1222" t="e">
        <f ca="1">BDP("476623DT Muni","ESG_FRAMEWORK_INDICATOR")</f>
        <v>#NAME?</v>
      </c>
      <c r="Q1222" t="e">
        <f ca="1">BDP("476623DT Muni","BLOOMBERG_SECTOR_CODE")</f>
        <v>#NAME?</v>
      </c>
      <c r="R1222" t="e">
        <f ca="1">BDP("476623DT Muni","ISSUER_TYPE")</f>
        <v>#NAME?</v>
      </c>
      <c r="S1222" t="e">
        <f ca="1">BDS("476623DT Muni","ESG_PROJECT_CATEGORY", "aggregate=y")</f>
        <v>#NAME?</v>
      </c>
      <c r="T1222" t="e">
        <f ca="1">BDS("476623DT Muni","ESG_PROJECT_SUBCATEGORY", "aggregate=y")</f>
        <v>#NAME?</v>
      </c>
    </row>
    <row r="1223" spans="1:20" x14ac:dyDescent="0.25">
      <c r="A1223" t="e">
        <f ca="1">BDP("924736HQ Muni","ID_CUSIP")</f>
        <v>#NAME?</v>
      </c>
      <c r="B1223" t="e">
        <f ca="1">BDP("924736HQ Muni","STATE_CODE")</f>
        <v>#NAME?</v>
      </c>
      <c r="C1223" t="s">
        <v>74</v>
      </c>
      <c r="D1223" t="e">
        <f ca="1">BDP("924736HQ Muni","YIELD_ON_ISSUE_DATE")</f>
        <v>#NAME?</v>
      </c>
      <c r="E1223">
        <v>275000</v>
      </c>
      <c r="F1223" t="e">
        <f ca="1">BDP("924736HQ Muni","ISSUE_DT")</f>
        <v>#NAME?</v>
      </c>
      <c r="G1223" t="e">
        <f ca="1">BDP("924736HQ Muni","MATURITY")</f>
        <v>#NAME?</v>
      </c>
      <c r="H1223" t="e">
        <f ca="1">BDP("924736HQ Muni","MUNI_TAX_PROV")</f>
        <v>#NAME?</v>
      </c>
      <c r="I1223" t="e">
        <f ca="1">BDP("924736HQ Muni","FINANCING_TYPE")</f>
        <v>#NAME?</v>
      </c>
      <c r="J1223" t="e">
        <f ca="1">BDP("924736HQ Muni","BICS_LEVEL_2_INDUSTRY_GROUP_NAME")</f>
        <v>#NAME?</v>
      </c>
      <c r="K1223" t="e">
        <f ca="1">BDP("924736HQ Muni","SELF_REPRTD_GREEN_INSTR_INDCTR")</f>
        <v>#NAME?</v>
      </c>
      <c r="L1223" t="e">
        <f ca="1">BDP("924736HQ Muni","GB_MANAGEMENT_PROCEEDS")</f>
        <v>#NAME?</v>
      </c>
      <c r="M1223" t="e">
        <f ca="1">BDP("924736HQ Muni","GB_REPORTING")</f>
        <v>#NAME?</v>
      </c>
      <c r="N1223" t="e">
        <f ca="1">BDP("924736HQ Muni","GB_ASSURANCE_PROVIDERS")</f>
        <v>#NAME?</v>
      </c>
      <c r="O1223" t="e">
        <f ca="1">BDP("924736HQ Muni","GB_PROJECT_SELECTION_PROCESS")</f>
        <v>#NAME?</v>
      </c>
      <c r="P1223" t="e">
        <f ca="1">BDP("924736HQ Muni","ESG_FRAMEWORK_INDICATOR")</f>
        <v>#NAME?</v>
      </c>
      <c r="Q1223" t="e">
        <f ca="1">BDP("924736HQ Muni","BLOOMBERG_SECTOR_CODE")</f>
        <v>#NAME?</v>
      </c>
      <c r="R1223" t="e">
        <f ca="1">BDP("924736HQ Muni","ISSUER_TYPE")</f>
        <v>#NAME?</v>
      </c>
      <c r="S1223" t="e">
        <f ca="1">BDS("924736HQ Muni","ESG_PROJECT_CATEGORY", "aggregate=y")</f>
        <v>#NAME?</v>
      </c>
      <c r="T1223" t="e">
        <f ca="1">BDS("924736HQ Muni","ESG_PROJECT_SUBCATEGORY", "aggregate=y")</f>
        <v>#NAME?</v>
      </c>
    </row>
    <row r="1224" spans="1:20" x14ac:dyDescent="0.25">
      <c r="A1224" t="e">
        <f ca="1">BDP("956882RX Muni","ID_CUSIP")</f>
        <v>#NAME?</v>
      </c>
      <c r="B1224" t="e">
        <f ca="1">BDP("956882RX Muni","STATE_CODE")</f>
        <v>#NAME?</v>
      </c>
      <c r="C1224" t="s">
        <v>76</v>
      </c>
      <c r="D1224" t="e">
        <f ca="1">BDP("956882RX Muni","YIELD_ON_ISSUE_DATE")</f>
        <v>#NAME?</v>
      </c>
      <c r="E1224">
        <v>570000</v>
      </c>
      <c r="F1224" t="e">
        <f ca="1">BDP("956882RX Muni","ISSUE_DT")</f>
        <v>#NAME?</v>
      </c>
      <c r="G1224" t="e">
        <f ca="1">BDP("956882RX Muni","MATURITY")</f>
        <v>#NAME?</v>
      </c>
      <c r="H1224" t="e">
        <f ca="1">BDP("956882RX Muni","MUNI_TAX_PROV")</f>
        <v>#NAME?</v>
      </c>
      <c r="I1224" t="e">
        <f ca="1">BDP("956882RX Muni","FINANCING_TYPE")</f>
        <v>#NAME?</v>
      </c>
      <c r="J1224" t="e">
        <f ca="1">BDP("956882RX Muni","BICS_LEVEL_2_INDUSTRY_GROUP_NAME")</f>
        <v>#NAME?</v>
      </c>
      <c r="K1224" t="e">
        <f ca="1">BDP("956882RX Muni","SELF_REPRTD_GREEN_INSTR_INDCTR")</f>
        <v>#NAME?</v>
      </c>
      <c r="L1224" t="e">
        <f ca="1">BDP("956882RX Muni","GB_MANAGEMENT_PROCEEDS")</f>
        <v>#NAME?</v>
      </c>
      <c r="M1224" t="e">
        <f ca="1">BDP("956882RX Muni","GB_REPORTING")</f>
        <v>#NAME?</v>
      </c>
      <c r="N1224" t="e">
        <f ca="1">BDP("956882RX Muni","GB_ASSURANCE_PROVIDERS")</f>
        <v>#NAME?</v>
      </c>
      <c r="O1224" t="e">
        <f ca="1">BDP("956882RX Muni","GB_PROJECT_SELECTION_PROCESS")</f>
        <v>#NAME?</v>
      </c>
      <c r="P1224" t="e">
        <f ca="1">BDP("956882RX Muni","ESG_FRAMEWORK_INDICATOR")</f>
        <v>#NAME?</v>
      </c>
      <c r="Q1224" t="e">
        <f ca="1">BDP("956882RX Muni","BLOOMBERG_SECTOR_CODE")</f>
        <v>#NAME?</v>
      </c>
      <c r="R1224" t="e">
        <f ca="1">BDP("956882RX Muni","ISSUER_TYPE")</f>
        <v>#NAME?</v>
      </c>
      <c r="S1224" t="e">
        <f ca="1">BDS("956882RX Muni","ESG_PROJECT_CATEGORY", "aggregate=y")</f>
        <v>#NAME?</v>
      </c>
      <c r="T1224" t="e">
        <f ca="1">BDS("956882RX Muni","ESG_PROJECT_SUBCATEGORY", "aggregate=y")</f>
        <v>#NAME?</v>
      </c>
    </row>
    <row r="1225" spans="1:20" x14ac:dyDescent="0.25">
      <c r="A1225" t="e">
        <f ca="1">BDP("924736HL Muni","ID_CUSIP")</f>
        <v>#NAME?</v>
      </c>
      <c r="B1225" t="e">
        <f ca="1">BDP("924736HL Muni","STATE_CODE")</f>
        <v>#NAME?</v>
      </c>
      <c r="C1225" t="s">
        <v>74</v>
      </c>
      <c r="D1225" t="e">
        <f ca="1">BDP("924736HL Muni","YIELD_ON_ISSUE_DATE")</f>
        <v>#NAME?</v>
      </c>
      <c r="E1225">
        <v>210000</v>
      </c>
      <c r="F1225" t="e">
        <f ca="1">BDP("924736HL Muni","ISSUE_DT")</f>
        <v>#NAME?</v>
      </c>
      <c r="G1225" t="e">
        <f ca="1">BDP("924736HL Muni","MATURITY")</f>
        <v>#NAME?</v>
      </c>
      <c r="H1225" t="e">
        <f ca="1">BDP("924736HL Muni","MUNI_TAX_PROV")</f>
        <v>#NAME?</v>
      </c>
      <c r="I1225" t="e">
        <f ca="1">BDP("924736HL Muni","FINANCING_TYPE")</f>
        <v>#NAME?</v>
      </c>
      <c r="J1225" t="e">
        <f ca="1">BDP("924736HL Muni","BICS_LEVEL_2_INDUSTRY_GROUP_NAME")</f>
        <v>#NAME?</v>
      </c>
      <c r="K1225" t="e">
        <f ca="1">BDP("924736HL Muni","SELF_REPRTD_GREEN_INSTR_INDCTR")</f>
        <v>#NAME?</v>
      </c>
      <c r="L1225" t="e">
        <f ca="1">BDP("924736HL Muni","GB_MANAGEMENT_PROCEEDS")</f>
        <v>#NAME?</v>
      </c>
      <c r="M1225" t="e">
        <f ca="1">BDP("924736HL Muni","GB_REPORTING")</f>
        <v>#NAME?</v>
      </c>
      <c r="N1225" t="e">
        <f ca="1">BDP("924736HL Muni","GB_ASSURANCE_PROVIDERS")</f>
        <v>#NAME?</v>
      </c>
      <c r="O1225" t="e">
        <f ca="1">BDP("924736HL Muni","GB_PROJECT_SELECTION_PROCESS")</f>
        <v>#NAME?</v>
      </c>
      <c r="P1225" t="e">
        <f ca="1">BDP("924736HL Muni","ESG_FRAMEWORK_INDICATOR")</f>
        <v>#NAME?</v>
      </c>
      <c r="Q1225" t="e">
        <f ca="1">BDP("924736HL Muni","BLOOMBERG_SECTOR_CODE")</f>
        <v>#NAME?</v>
      </c>
      <c r="R1225" t="e">
        <f ca="1">BDP("924736HL Muni","ISSUER_TYPE")</f>
        <v>#NAME?</v>
      </c>
      <c r="S1225" t="e">
        <f ca="1">BDS("924736HL Muni","ESG_PROJECT_CATEGORY", "aggregate=y")</f>
        <v>#NAME?</v>
      </c>
      <c r="T1225" t="e">
        <f ca="1">BDS("924736HL Muni","ESG_PROJECT_SUBCATEGORY", "aggregate=y")</f>
        <v>#NAME?</v>
      </c>
    </row>
    <row r="1226" spans="1:20" x14ac:dyDescent="0.25">
      <c r="A1226" t="e">
        <f ca="1">BDP("476624EB Muni","ID_CUSIP")</f>
        <v>#NAME?</v>
      </c>
      <c r="B1226" t="e">
        <f ca="1">BDP("476624EB Muni","STATE_CODE")</f>
        <v>#NAME?</v>
      </c>
      <c r="C1226" t="s">
        <v>79</v>
      </c>
      <c r="D1226" t="e">
        <f ca="1">BDP("476624EB Muni","YIELD_ON_ISSUE_DATE")</f>
        <v>#NAME?</v>
      </c>
      <c r="E1226">
        <v>1210000</v>
      </c>
      <c r="F1226" t="e">
        <f ca="1">BDP("476624EB Muni","ISSUE_DT")</f>
        <v>#NAME?</v>
      </c>
      <c r="G1226" t="e">
        <f ca="1">BDP("476624EB Muni","MATURITY")</f>
        <v>#NAME?</v>
      </c>
      <c r="H1226" t="e">
        <f ca="1">BDP("476624EB Muni","MUNI_TAX_PROV")</f>
        <v>#NAME?</v>
      </c>
      <c r="I1226" t="e">
        <f ca="1">BDP("476624EB Muni","FINANCING_TYPE")</f>
        <v>#NAME?</v>
      </c>
      <c r="J1226" t="e">
        <f ca="1">BDP("476624EB Muni","BICS_LEVEL_2_INDUSTRY_GROUP_NAME")</f>
        <v>#NAME?</v>
      </c>
      <c r="K1226" t="e">
        <f ca="1">BDP("476624EB Muni","SELF_REPRTD_GREEN_INSTR_INDCTR")</f>
        <v>#NAME?</v>
      </c>
      <c r="L1226" t="e">
        <f ca="1">BDP("476624EB Muni","GB_MANAGEMENT_PROCEEDS")</f>
        <v>#NAME?</v>
      </c>
      <c r="M1226" t="e">
        <f ca="1">BDP("476624EB Muni","GB_REPORTING")</f>
        <v>#NAME?</v>
      </c>
      <c r="N1226" t="e">
        <f ca="1">BDP("476624EB Muni","GB_ASSURANCE_PROVIDERS")</f>
        <v>#NAME?</v>
      </c>
      <c r="O1226" t="e">
        <f ca="1">BDP("476624EB Muni","GB_PROJECT_SELECTION_PROCESS")</f>
        <v>#NAME?</v>
      </c>
      <c r="P1226" t="e">
        <f ca="1">BDP("476624EB Muni","ESG_FRAMEWORK_INDICATOR")</f>
        <v>#NAME?</v>
      </c>
      <c r="Q1226" t="e">
        <f ca="1">BDP("476624EB Muni","BLOOMBERG_SECTOR_CODE")</f>
        <v>#NAME?</v>
      </c>
      <c r="R1226" t="e">
        <f ca="1">BDP("476624EB Muni","ISSUER_TYPE")</f>
        <v>#NAME?</v>
      </c>
      <c r="S1226" t="e">
        <f ca="1">BDS("476624EB Muni","ESG_PROJECT_CATEGORY", "aggregate=y")</f>
        <v>#NAME?</v>
      </c>
      <c r="T1226" t="e">
        <f ca="1">BDS("476624EB Muni","ESG_PROJECT_SUBCATEGORY", "aggregate=y")</f>
        <v>#NAME?</v>
      </c>
    </row>
    <row r="1227" spans="1:20" x14ac:dyDescent="0.25">
      <c r="A1227" t="e">
        <f ca="1">BDP("290096CH Muni","ID_CUSIP")</f>
        <v>#NAME?</v>
      </c>
      <c r="B1227" t="e">
        <f ca="1">BDP("290096CH Muni","STATE_CODE")</f>
        <v>#NAME?</v>
      </c>
      <c r="C1227" t="s">
        <v>78</v>
      </c>
      <c r="D1227" t="e">
        <f ca="1">BDP("290096CH Muni","YIELD_ON_ISSUE_DATE")</f>
        <v>#NAME?</v>
      </c>
      <c r="E1227">
        <v>260000</v>
      </c>
      <c r="F1227" t="e">
        <f ca="1">BDP("290096CH Muni","ISSUE_DT")</f>
        <v>#NAME?</v>
      </c>
      <c r="G1227" t="e">
        <f ca="1">BDP("290096CH Muni","MATURITY")</f>
        <v>#NAME?</v>
      </c>
      <c r="H1227" t="e">
        <f ca="1">BDP("290096CH Muni","MUNI_TAX_PROV")</f>
        <v>#NAME?</v>
      </c>
      <c r="I1227" t="e">
        <f ca="1">BDP("290096CH Muni","FINANCING_TYPE")</f>
        <v>#NAME?</v>
      </c>
      <c r="J1227" t="e">
        <f ca="1">BDP("290096CH Muni","BICS_LEVEL_2_INDUSTRY_GROUP_NAME")</f>
        <v>#NAME?</v>
      </c>
      <c r="K1227" t="e">
        <f ca="1">BDP("290096CH Muni","SELF_REPRTD_GREEN_INSTR_INDCTR")</f>
        <v>#NAME?</v>
      </c>
      <c r="L1227" t="e">
        <f ca="1">BDP("290096CH Muni","GB_MANAGEMENT_PROCEEDS")</f>
        <v>#NAME?</v>
      </c>
      <c r="M1227" t="e">
        <f ca="1">BDP("290096CH Muni","GB_REPORTING")</f>
        <v>#NAME?</v>
      </c>
      <c r="N1227" t="e">
        <f ca="1">BDP("290096CH Muni","GB_ASSURANCE_PROVIDERS")</f>
        <v>#NAME?</v>
      </c>
      <c r="O1227" t="e">
        <f ca="1">BDP("290096CH Muni","GB_PROJECT_SELECTION_PROCESS")</f>
        <v>#NAME?</v>
      </c>
      <c r="P1227" t="e">
        <f ca="1">BDP("290096CH Muni","ESG_FRAMEWORK_INDICATOR")</f>
        <v>#NAME?</v>
      </c>
      <c r="Q1227" t="e">
        <f ca="1">BDP("290096CH Muni","BLOOMBERG_SECTOR_CODE")</f>
        <v>#NAME?</v>
      </c>
      <c r="R1227" t="e">
        <f ca="1">BDP("290096CH Muni","ISSUER_TYPE")</f>
        <v>#NAME?</v>
      </c>
      <c r="S1227" t="e">
        <f ca="1">BDS("290096CH Muni","ESG_PROJECT_CATEGORY", "aggregate=y")</f>
        <v>#NAME?</v>
      </c>
      <c r="T1227" t="e">
        <f ca="1">BDS("290096CH Muni","ESG_PROJECT_SUBCATEGORY", "aggregate=y")</f>
        <v>#NAME?</v>
      </c>
    </row>
    <row r="1228" spans="1:20" x14ac:dyDescent="0.25">
      <c r="A1228" t="e">
        <f ca="1">BDP("476623DR Muni","ID_CUSIP")</f>
        <v>#NAME?</v>
      </c>
      <c r="B1228" t="e">
        <f ca="1">BDP("476623DR Muni","STATE_CODE")</f>
        <v>#NAME?</v>
      </c>
      <c r="C1228" t="s">
        <v>79</v>
      </c>
      <c r="D1228" t="e">
        <f ca="1">BDP("476623DR Muni","YIELD_ON_ISSUE_DATE")</f>
        <v>#NAME?</v>
      </c>
      <c r="E1228">
        <v>2465000</v>
      </c>
      <c r="F1228" t="e">
        <f ca="1">BDP("476623DR Muni","ISSUE_DT")</f>
        <v>#NAME?</v>
      </c>
      <c r="G1228" t="e">
        <f ca="1">BDP("476623DR Muni","MATURITY")</f>
        <v>#NAME?</v>
      </c>
      <c r="H1228" t="e">
        <f ca="1">BDP("476623DR Muni","MUNI_TAX_PROV")</f>
        <v>#NAME?</v>
      </c>
      <c r="I1228" t="e">
        <f ca="1">BDP("476623DR Muni","FINANCING_TYPE")</f>
        <v>#NAME?</v>
      </c>
      <c r="J1228" t="e">
        <f ca="1">BDP("476623DR Muni","BICS_LEVEL_2_INDUSTRY_GROUP_NAME")</f>
        <v>#NAME?</v>
      </c>
      <c r="K1228" t="e">
        <f ca="1">BDP("476623DR Muni","SELF_REPRTD_GREEN_INSTR_INDCTR")</f>
        <v>#NAME?</v>
      </c>
      <c r="L1228" t="e">
        <f ca="1">BDP("476623DR Muni","GB_MANAGEMENT_PROCEEDS")</f>
        <v>#NAME?</v>
      </c>
      <c r="M1228" t="e">
        <f ca="1">BDP("476623DR Muni","GB_REPORTING")</f>
        <v>#NAME?</v>
      </c>
      <c r="N1228" t="e">
        <f ca="1">BDP("476623DR Muni","GB_ASSURANCE_PROVIDERS")</f>
        <v>#NAME?</v>
      </c>
      <c r="O1228" t="e">
        <f ca="1">BDP("476623DR Muni","GB_PROJECT_SELECTION_PROCESS")</f>
        <v>#NAME?</v>
      </c>
      <c r="P1228" t="e">
        <f ca="1">BDP("476623DR Muni","ESG_FRAMEWORK_INDICATOR")</f>
        <v>#NAME?</v>
      </c>
      <c r="Q1228" t="e">
        <f ca="1">BDP("476623DR Muni","BLOOMBERG_SECTOR_CODE")</f>
        <v>#NAME?</v>
      </c>
      <c r="R1228" t="e">
        <f ca="1">BDP("476623DR Muni","ISSUER_TYPE")</f>
        <v>#NAME?</v>
      </c>
      <c r="S1228" t="e">
        <f ca="1">BDS("476623DR Muni","ESG_PROJECT_CATEGORY", "aggregate=y")</f>
        <v>#NAME?</v>
      </c>
      <c r="T1228" t="e">
        <f ca="1">BDS("476623DR Muni","ESG_PROJECT_SUBCATEGORY", "aggregate=y")</f>
        <v>#NAME?</v>
      </c>
    </row>
    <row r="1229" spans="1:20" x14ac:dyDescent="0.25">
      <c r="A1229" t="e">
        <f ca="1">BDP("476623DS Muni","ID_CUSIP")</f>
        <v>#NAME?</v>
      </c>
      <c r="B1229" t="e">
        <f ca="1">BDP("476623DS Muni","STATE_CODE")</f>
        <v>#NAME?</v>
      </c>
      <c r="C1229" t="s">
        <v>79</v>
      </c>
      <c r="D1229" t="e">
        <f ca="1">BDP("476623DS Muni","YIELD_ON_ISSUE_DATE")</f>
        <v>#NAME?</v>
      </c>
      <c r="E1229">
        <v>2605000</v>
      </c>
      <c r="F1229" t="e">
        <f ca="1">BDP("476623DS Muni","ISSUE_DT")</f>
        <v>#NAME?</v>
      </c>
      <c r="G1229" t="e">
        <f ca="1">BDP("476623DS Muni","MATURITY")</f>
        <v>#NAME?</v>
      </c>
      <c r="H1229" t="e">
        <f ca="1">BDP("476623DS Muni","MUNI_TAX_PROV")</f>
        <v>#NAME?</v>
      </c>
      <c r="I1229" t="e">
        <f ca="1">BDP("476623DS Muni","FINANCING_TYPE")</f>
        <v>#NAME?</v>
      </c>
      <c r="J1229" t="e">
        <f ca="1">BDP("476623DS Muni","BICS_LEVEL_2_INDUSTRY_GROUP_NAME")</f>
        <v>#NAME?</v>
      </c>
      <c r="K1229" t="e">
        <f ca="1">BDP("476623DS Muni","SELF_REPRTD_GREEN_INSTR_INDCTR")</f>
        <v>#NAME?</v>
      </c>
      <c r="L1229" t="e">
        <f ca="1">BDP("476623DS Muni","GB_MANAGEMENT_PROCEEDS")</f>
        <v>#NAME?</v>
      </c>
      <c r="M1229" t="e">
        <f ca="1">BDP("476623DS Muni","GB_REPORTING")</f>
        <v>#NAME?</v>
      </c>
      <c r="N1229" t="e">
        <f ca="1">BDP("476623DS Muni","GB_ASSURANCE_PROVIDERS")</f>
        <v>#NAME?</v>
      </c>
      <c r="O1229" t="e">
        <f ca="1">BDP("476623DS Muni","GB_PROJECT_SELECTION_PROCESS")</f>
        <v>#NAME?</v>
      </c>
      <c r="P1229" t="e">
        <f ca="1">BDP("476623DS Muni","ESG_FRAMEWORK_INDICATOR")</f>
        <v>#NAME?</v>
      </c>
      <c r="Q1229" t="e">
        <f ca="1">BDP("476623DS Muni","BLOOMBERG_SECTOR_CODE")</f>
        <v>#NAME?</v>
      </c>
      <c r="R1229" t="e">
        <f ca="1">BDP("476623DS Muni","ISSUER_TYPE")</f>
        <v>#NAME?</v>
      </c>
      <c r="S1229" t="e">
        <f ca="1">BDS("476623DS Muni","ESG_PROJECT_CATEGORY", "aggregate=y")</f>
        <v>#NAME?</v>
      </c>
      <c r="T1229" t="e">
        <f ca="1">BDS("476623DS Muni","ESG_PROJECT_SUBCATEGORY", "aggregate=y")</f>
        <v>#NAME?</v>
      </c>
    </row>
    <row r="1230" spans="1:20" x14ac:dyDescent="0.25">
      <c r="A1230" t="e">
        <f ca="1">BDP("924736HR Muni","ID_CUSIP")</f>
        <v>#NAME?</v>
      </c>
      <c r="B1230" t="e">
        <f ca="1">BDP("924736HR Muni","STATE_CODE")</f>
        <v>#NAME?</v>
      </c>
      <c r="C1230" t="s">
        <v>74</v>
      </c>
      <c r="D1230" t="e">
        <f ca="1">BDP("924736HR Muni","YIELD_ON_ISSUE_DATE")</f>
        <v>#NAME?</v>
      </c>
      <c r="E1230">
        <v>295000</v>
      </c>
      <c r="F1230" t="e">
        <f ca="1">BDP("924736HR Muni","ISSUE_DT")</f>
        <v>#NAME?</v>
      </c>
      <c r="G1230" t="e">
        <f ca="1">BDP("924736HR Muni","MATURITY")</f>
        <v>#NAME?</v>
      </c>
      <c r="H1230" t="e">
        <f ca="1">BDP("924736HR Muni","MUNI_TAX_PROV")</f>
        <v>#NAME?</v>
      </c>
      <c r="I1230" t="e">
        <f ca="1">BDP("924736HR Muni","FINANCING_TYPE")</f>
        <v>#NAME?</v>
      </c>
      <c r="J1230" t="e">
        <f ca="1">BDP("924736HR Muni","BICS_LEVEL_2_INDUSTRY_GROUP_NAME")</f>
        <v>#NAME?</v>
      </c>
      <c r="K1230" t="e">
        <f ca="1">BDP("924736HR Muni","SELF_REPRTD_GREEN_INSTR_INDCTR")</f>
        <v>#NAME?</v>
      </c>
      <c r="L1230" t="e">
        <f ca="1">BDP("924736HR Muni","GB_MANAGEMENT_PROCEEDS")</f>
        <v>#NAME?</v>
      </c>
      <c r="M1230" t="e">
        <f ca="1">BDP("924736HR Muni","GB_REPORTING")</f>
        <v>#NAME?</v>
      </c>
      <c r="N1230" t="e">
        <f ca="1">BDP("924736HR Muni","GB_ASSURANCE_PROVIDERS")</f>
        <v>#NAME?</v>
      </c>
      <c r="O1230" t="e">
        <f ca="1">BDP("924736HR Muni","GB_PROJECT_SELECTION_PROCESS")</f>
        <v>#NAME?</v>
      </c>
      <c r="P1230" t="e">
        <f ca="1">BDP("924736HR Muni","ESG_FRAMEWORK_INDICATOR")</f>
        <v>#NAME?</v>
      </c>
      <c r="Q1230" t="e">
        <f ca="1">BDP("924736HR Muni","BLOOMBERG_SECTOR_CODE")</f>
        <v>#NAME?</v>
      </c>
      <c r="R1230" t="e">
        <f ca="1">BDP("924736HR Muni","ISSUER_TYPE")</f>
        <v>#NAME?</v>
      </c>
      <c r="S1230" t="e">
        <f ca="1">BDS("924736HR Muni","ESG_PROJECT_CATEGORY", "aggregate=y")</f>
        <v>#NAME?</v>
      </c>
      <c r="T1230" t="e">
        <f ca="1">BDS("924736HR Muni","ESG_PROJECT_SUBCATEGORY", "aggregate=y")</f>
        <v>#NAME?</v>
      </c>
    </row>
    <row r="1231" spans="1:20" x14ac:dyDescent="0.25">
      <c r="A1231" t="e">
        <f ca="1">BDP("224525HW Muni","ID_CUSIP")</f>
        <v>#NAME?</v>
      </c>
      <c r="B1231" t="e">
        <f ca="1">BDP("224525HW Muni","STATE_CODE")</f>
        <v>#NAME?</v>
      </c>
      <c r="C1231" t="s">
        <v>77</v>
      </c>
      <c r="D1231" t="e">
        <f ca="1">BDP("224525HW Muni","YIELD_ON_ISSUE_DATE")</f>
        <v>#NAME?</v>
      </c>
      <c r="E1231">
        <v>305000</v>
      </c>
      <c r="F1231" t="e">
        <f ca="1">BDP("224525HW Muni","ISSUE_DT")</f>
        <v>#NAME?</v>
      </c>
      <c r="G1231" t="e">
        <f ca="1">BDP("224525HW Muni","MATURITY")</f>
        <v>#NAME?</v>
      </c>
      <c r="H1231" t="e">
        <f ca="1">BDP("224525HW Muni","MUNI_TAX_PROV")</f>
        <v>#NAME?</v>
      </c>
      <c r="I1231" t="e">
        <f ca="1">BDP("224525HW Muni","FINANCING_TYPE")</f>
        <v>#NAME?</v>
      </c>
      <c r="J1231" t="e">
        <f ca="1">BDP("224525HW Muni","BICS_LEVEL_2_INDUSTRY_GROUP_NAME")</f>
        <v>#NAME?</v>
      </c>
      <c r="K1231" t="e">
        <f ca="1">BDP("224525HW Muni","SELF_REPRTD_GREEN_INSTR_INDCTR")</f>
        <v>#NAME?</v>
      </c>
      <c r="L1231" t="e">
        <f ca="1">BDP("224525HW Muni","GB_MANAGEMENT_PROCEEDS")</f>
        <v>#NAME?</v>
      </c>
      <c r="M1231" t="e">
        <f ca="1">BDP("224525HW Muni","GB_REPORTING")</f>
        <v>#NAME?</v>
      </c>
      <c r="N1231" t="e">
        <f ca="1">BDP("224525HW Muni","GB_ASSURANCE_PROVIDERS")</f>
        <v>#NAME?</v>
      </c>
      <c r="O1231" t="e">
        <f ca="1">BDP("224525HW Muni","GB_PROJECT_SELECTION_PROCESS")</f>
        <v>#NAME?</v>
      </c>
      <c r="P1231" t="e">
        <f ca="1">BDP("224525HW Muni","ESG_FRAMEWORK_INDICATOR")</f>
        <v>#NAME?</v>
      </c>
      <c r="Q1231" t="e">
        <f ca="1">BDP("224525HW Muni","BLOOMBERG_SECTOR_CODE")</f>
        <v>#NAME?</v>
      </c>
      <c r="R1231" t="e">
        <f ca="1">BDP("224525HW Muni","ISSUER_TYPE")</f>
        <v>#NAME?</v>
      </c>
      <c r="S1231" t="e">
        <f ca="1">BDS("224525HW Muni","ESG_PROJECT_CATEGORY", "aggregate=y")</f>
        <v>#NAME?</v>
      </c>
      <c r="T1231" t="e">
        <f ca="1">BDS("224525HW Muni","ESG_PROJECT_SUBCATEGORY", "aggregate=y")</f>
        <v>#NAME?</v>
      </c>
    </row>
    <row r="1232" spans="1:20" x14ac:dyDescent="0.25">
      <c r="A1232" t="e">
        <f ca="1">BDP("476623DC Muni","ID_CUSIP")</f>
        <v>#NAME?</v>
      </c>
      <c r="B1232" t="e">
        <f ca="1">BDP("476623DC Muni","STATE_CODE")</f>
        <v>#NAME?</v>
      </c>
      <c r="C1232" t="s">
        <v>79</v>
      </c>
      <c r="D1232" t="e">
        <f ca="1">BDP("476623DC Muni","YIELD_ON_ISSUE_DATE")</f>
        <v>#NAME?</v>
      </c>
      <c r="E1232">
        <v>1190000</v>
      </c>
      <c r="F1232" t="e">
        <f ca="1">BDP("476623DC Muni","ISSUE_DT")</f>
        <v>#NAME?</v>
      </c>
      <c r="G1232" t="e">
        <f ca="1">BDP("476623DC Muni","MATURITY")</f>
        <v>#NAME?</v>
      </c>
      <c r="H1232" t="e">
        <f ca="1">BDP("476623DC Muni","MUNI_TAX_PROV")</f>
        <v>#NAME?</v>
      </c>
      <c r="I1232" t="e">
        <f ca="1">BDP("476623DC Muni","FINANCING_TYPE")</f>
        <v>#NAME?</v>
      </c>
      <c r="J1232" t="e">
        <f ca="1">BDP("476623DC Muni","BICS_LEVEL_2_INDUSTRY_GROUP_NAME")</f>
        <v>#NAME?</v>
      </c>
      <c r="K1232" t="e">
        <f ca="1">BDP("476623DC Muni","SELF_REPRTD_GREEN_INSTR_INDCTR")</f>
        <v>#NAME?</v>
      </c>
      <c r="L1232" t="e">
        <f ca="1">BDP("476623DC Muni","GB_MANAGEMENT_PROCEEDS")</f>
        <v>#NAME?</v>
      </c>
      <c r="M1232" t="e">
        <f ca="1">BDP("476623DC Muni","GB_REPORTING")</f>
        <v>#NAME?</v>
      </c>
      <c r="N1232" t="e">
        <f ca="1">BDP("476623DC Muni","GB_ASSURANCE_PROVIDERS")</f>
        <v>#NAME?</v>
      </c>
      <c r="O1232" t="e">
        <f ca="1">BDP("476623DC Muni","GB_PROJECT_SELECTION_PROCESS")</f>
        <v>#NAME?</v>
      </c>
      <c r="P1232" t="e">
        <f ca="1">BDP("476623DC Muni","ESG_FRAMEWORK_INDICATOR")</f>
        <v>#NAME?</v>
      </c>
      <c r="Q1232" t="e">
        <f ca="1">BDP("476623DC Muni","BLOOMBERG_SECTOR_CODE")</f>
        <v>#NAME?</v>
      </c>
      <c r="R1232" t="e">
        <f ca="1">BDP("476623DC Muni","ISSUER_TYPE")</f>
        <v>#NAME?</v>
      </c>
      <c r="S1232" t="e">
        <f ca="1">BDS("476623DC Muni","ESG_PROJECT_CATEGORY", "aggregate=y")</f>
        <v>#NAME?</v>
      </c>
      <c r="T1232" t="e">
        <f ca="1">BDS("476623DC Muni","ESG_PROJECT_SUBCATEGORY", "aggregate=y")</f>
        <v>#NAME?</v>
      </c>
    </row>
    <row r="1233" spans="1:20" x14ac:dyDescent="0.25">
      <c r="A1233" t="e">
        <f ca="1">BDP("476623DP Muni","ID_CUSIP")</f>
        <v>#NAME?</v>
      </c>
      <c r="B1233" t="e">
        <f ca="1">BDP("476623DP Muni","STATE_CODE")</f>
        <v>#NAME?</v>
      </c>
      <c r="C1233" t="s">
        <v>79</v>
      </c>
      <c r="D1233" t="e">
        <f ca="1">BDP("476623DP Muni","YIELD_ON_ISSUE_DATE")</f>
        <v>#NAME?</v>
      </c>
      <c r="E1233">
        <v>2205000</v>
      </c>
      <c r="F1233" t="e">
        <f ca="1">BDP("476623DP Muni","ISSUE_DT")</f>
        <v>#NAME?</v>
      </c>
      <c r="G1233" t="e">
        <f ca="1">BDP("476623DP Muni","MATURITY")</f>
        <v>#NAME?</v>
      </c>
      <c r="H1233" t="e">
        <f ca="1">BDP("476623DP Muni","MUNI_TAX_PROV")</f>
        <v>#NAME?</v>
      </c>
      <c r="I1233" t="e">
        <f ca="1">BDP("476623DP Muni","FINANCING_TYPE")</f>
        <v>#NAME?</v>
      </c>
      <c r="J1233" t="e">
        <f ca="1">BDP("476623DP Muni","BICS_LEVEL_2_INDUSTRY_GROUP_NAME")</f>
        <v>#NAME?</v>
      </c>
      <c r="K1233" t="e">
        <f ca="1">BDP("476623DP Muni","SELF_REPRTD_GREEN_INSTR_INDCTR")</f>
        <v>#NAME?</v>
      </c>
      <c r="L1233" t="e">
        <f ca="1">BDP("476623DP Muni","GB_MANAGEMENT_PROCEEDS")</f>
        <v>#NAME?</v>
      </c>
      <c r="M1233" t="e">
        <f ca="1">BDP("476623DP Muni","GB_REPORTING")</f>
        <v>#NAME?</v>
      </c>
      <c r="N1233" t="e">
        <f ca="1">BDP("476623DP Muni","GB_ASSURANCE_PROVIDERS")</f>
        <v>#NAME?</v>
      </c>
      <c r="O1233" t="e">
        <f ca="1">BDP("476623DP Muni","GB_PROJECT_SELECTION_PROCESS")</f>
        <v>#NAME?</v>
      </c>
      <c r="P1233" t="e">
        <f ca="1">BDP("476623DP Muni","ESG_FRAMEWORK_INDICATOR")</f>
        <v>#NAME?</v>
      </c>
      <c r="Q1233" t="e">
        <f ca="1">BDP("476623DP Muni","BLOOMBERG_SECTOR_CODE")</f>
        <v>#NAME?</v>
      </c>
      <c r="R1233" t="e">
        <f ca="1">BDP("476623DP Muni","ISSUER_TYPE")</f>
        <v>#NAME?</v>
      </c>
      <c r="S1233" t="e">
        <f ca="1">BDS("476623DP Muni","ESG_PROJECT_CATEGORY", "aggregate=y")</f>
        <v>#NAME?</v>
      </c>
      <c r="T1233" t="e">
        <f ca="1">BDS("476623DP Muni","ESG_PROJECT_SUBCATEGORY", "aggregate=y")</f>
        <v>#NAME?</v>
      </c>
    </row>
    <row r="1234" spans="1:20" x14ac:dyDescent="0.25">
      <c r="A1234" t="e">
        <f ca="1">BDP("476623DQ Muni","ID_CUSIP")</f>
        <v>#NAME?</v>
      </c>
      <c r="B1234" t="e">
        <f ca="1">BDP("476623DQ Muni","STATE_CODE")</f>
        <v>#NAME?</v>
      </c>
      <c r="C1234" t="s">
        <v>79</v>
      </c>
      <c r="D1234" t="e">
        <f ca="1">BDP("476623DQ Muni","YIELD_ON_ISSUE_DATE")</f>
        <v>#NAME?</v>
      </c>
      <c r="E1234">
        <v>2330000</v>
      </c>
      <c r="F1234" t="e">
        <f ca="1">BDP("476623DQ Muni","ISSUE_DT")</f>
        <v>#NAME?</v>
      </c>
      <c r="G1234" t="e">
        <f ca="1">BDP("476623DQ Muni","MATURITY")</f>
        <v>#NAME?</v>
      </c>
      <c r="H1234" t="e">
        <f ca="1">BDP("476623DQ Muni","MUNI_TAX_PROV")</f>
        <v>#NAME?</v>
      </c>
      <c r="I1234" t="e">
        <f ca="1">BDP("476623DQ Muni","FINANCING_TYPE")</f>
        <v>#NAME?</v>
      </c>
      <c r="J1234" t="e">
        <f ca="1">BDP("476623DQ Muni","BICS_LEVEL_2_INDUSTRY_GROUP_NAME")</f>
        <v>#NAME?</v>
      </c>
      <c r="K1234" t="e">
        <f ca="1">BDP("476623DQ Muni","SELF_REPRTD_GREEN_INSTR_INDCTR")</f>
        <v>#NAME?</v>
      </c>
      <c r="L1234" t="e">
        <f ca="1">BDP("476623DQ Muni","GB_MANAGEMENT_PROCEEDS")</f>
        <v>#NAME?</v>
      </c>
      <c r="M1234" t="e">
        <f ca="1">BDP("476623DQ Muni","GB_REPORTING")</f>
        <v>#NAME?</v>
      </c>
      <c r="N1234" t="e">
        <f ca="1">BDP("476623DQ Muni","GB_ASSURANCE_PROVIDERS")</f>
        <v>#NAME?</v>
      </c>
      <c r="O1234" t="e">
        <f ca="1">BDP("476623DQ Muni","GB_PROJECT_SELECTION_PROCESS")</f>
        <v>#NAME?</v>
      </c>
      <c r="P1234" t="e">
        <f ca="1">BDP("476623DQ Muni","ESG_FRAMEWORK_INDICATOR")</f>
        <v>#NAME?</v>
      </c>
      <c r="Q1234" t="e">
        <f ca="1">BDP("476623DQ Muni","BLOOMBERG_SECTOR_CODE")</f>
        <v>#NAME?</v>
      </c>
      <c r="R1234" t="e">
        <f ca="1">BDP("476623DQ Muni","ISSUER_TYPE")</f>
        <v>#NAME?</v>
      </c>
      <c r="S1234" t="e">
        <f ca="1">BDS("476623DQ Muni","ESG_PROJECT_CATEGORY", "aggregate=y")</f>
        <v>#NAME?</v>
      </c>
      <c r="T1234" t="e">
        <f ca="1">BDS("476623DQ Muni","ESG_PROJECT_SUBCATEGORY", "aggregate=y")</f>
        <v>#NAME?</v>
      </c>
    </row>
    <row r="1235" spans="1:20" x14ac:dyDescent="0.25">
      <c r="A1235" t="e">
        <f ca="1">BDP("924736HV Muni","ID_CUSIP")</f>
        <v>#NAME?</v>
      </c>
      <c r="B1235" t="e">
        <f ca="1">BDP("924736HV Muni","STATE_CODE")</f>
        <v>#NAME?</v>
      </c>
      <c r="C1235" t="s">
        <v>74</v>
      </c>
      <c r="D1235" t="e">
        <f ca="1">BDP("924736HV Muni","YIELD_ON_ISSUE_DATE")</f>
        <v>#NAME?</v>
      </c>
      <c r="E1235">
        <v>315000</v>
      </c>
      <c r="F1235" t="e">
        <f ca="1">BDP("924736HV Muni","ISSUE_DT")</f>
        <v>#NAME?</v>
      </c>
      <c r="G1235" t="e">
        <f ca="1">BDP("924736HV Muni","MATURITY")</f>
        <v>#NAME?</v>
      </c>
      <c r="H1235" t="e">
        <f ca="1">BDP("924736HV Muni","MUNI_TAX_PROV")</f>
        <v>#NAME?</v>
      </c>
      <c r="I1235" t="e">
        <f ca="1">BDP("924736HV Muni","FINANCING_TYPE")</f>
        <v>#NAME?</v>
      </c>
      <c r="J1235" t="e">
        <f ca="1">BDP("924736HV Muni","BICS_LEVEL_2_INDUSTRY_GROUP_NAME")</f>
        <v>#NAME?</v>
      </c>
      <c r="K1235" t="e">
        <f ca="1">BDP("924736HV Muni","SELF_REPRTD_GREEN_INSTR_INDCTR")</f>
        <v>#NAME?</v>
      </c>
      <c r="L1235" t="e">
        <f ca="1">BDP("924736HV Muni","GB_MANAGEMENT_PROCEEDS")</f>
        <v>#NAME?</v>
      </c>
      <c r="M1235" t="e">
        <f ca="1">BDP("924736HV Muni","GB_REPORTING")</f>
        <v>#NAME?</v>
      </c>
      <c r="N1235" t="e">
        <f ca="1">BDP("924736HV Muni","GB_ASSURANCE_PROVIDERS")</f>
        <v>#NAME?</v>
      </c>
      <c r="O1235" t="e">
        <f ca="1">BDP("924736HV Muni","GB_PROJECT_SELECTION_PROCESS")</f>
        <v>#NAME?</v>
      </c>
      <c r="P1235" t="e">
        <f ca="1">BDP("924736HV Muni","ESG_FRAMEWORK_INDICATOR")</f>
        <v>#NAME?</v>
      </c>
      <c r="Q1235" t="e">
        <f ca="1">BDP("924736HV Muni","BLOOMBERG_SECTOR_CODE")</f>
        <v>#NAME?</v>
      </c>
      <c r="R1235" t="e">
        <f ca="1">BDP("924736HV Muni","ISSUER_TYPE")</f>
        <v>#NAME?</v>
      </c>
      <c r="S1235" t="e">
        <f ca="1">BDS("924736HV Muni","ESG_PROJECT_CATEGORY", "aggregate=y")</f>
        <v>#NAME?</v>
      </c>
      <c r="T1235" t="e">
        <f ca="1">BDS("924736HV Muni","ESG_PROJECT_SUBCATEGORY", "aggregate=y")</f>
        <v>#NAME?</v>
      </c>
    </row>
    <row r="1236" spans="1:20" x14ac:dyDescent="0.25">
      <c r="A1236" t="e">
        <f ca="1">BDP("956882RW Muni","ID_CUSIP")</f>
        <v>#NAME?</v>
      </c>
      <c r="B1236" t="e">
        <f ca="1">BDP("956882RW Muni","STATE_CODE")</f>
        <v>#NAME?</v>
      </c>
      <c r="C1236" t="s">
        <v>76</v>
      </c>
      <c r="D1236" t="e">
        <f ca="1">BDP("956882RW Muni","YIELD_ON_ISSUE_DATE")</f>
        <v>#NAME?</v>
      </c>
      <c r="E1236">
        <v>535000</v>
      </c>
      <c r="F1236" t="e">
        <f ca="1">BDP("956882RW Muni","ISSUE_DT")</f>
        <v>#NAME?</v>
      </c>
      <c r="G1236" t="e">
        <f ca="1">BDP("956882RW Muni","MATURITY")</f>
        <v>#NAME?</v>
      </c>
      <c r="H1236" t="e">
        <f ca="1">BDP("956882RW Muni","MUNI_TAX_PROV")</f>
        <v>#NAME?</v>
      </c>
      <c r="I1236" t="e">
        <f ca="1">BDP("956882RW Muni","FINANCING_TYPE")</f>
        <v>#NAME?</v>
      </c>
      <c r="J1236" t="e">
        <f ca="1">BDP("956882RW Muni","BICS_LEVEL_2_INDUSTRY_GROUP_NAME")</f>
        <v>#NAME?</v>
      </c>
      <c r="K1236" t="e">
        <f ca="1">BDP("956882RW Muni","SELF_REPRTD_GREEN_INSTR_INDCTR")</f>
        <v>#NAME?</v>
      </c>
      <c r="L1236" t="e">
        <f ca="1">BDP("956882RW Muni","GB_MANAGEMENT_PROCEEDS")</f>
        <v>#NAME?</v>
      </c>
      <c r="M1236" t="e">
        <f ca="1">BDP("956882RW Muni","GB_REPORTING")</f>
        <v>#NAME?</v>
      </c>
      <c r="N1236" t="e">
        <f ca="1">BDP("956882RW Muni","GB_ASSURANCE_PROVIDERS")</f>
        <v>#NAME?</v>
      </c>
      <c r="O1236" t="e">
        <f ca="1">BDP("956882RW Muni","GB_PROJECT_SELECTION_PROCESS")</f>
        <v>#NAME?</v>
      </c>
      <c r="P1236" t="e">
        <f ca="1">BDP("956882RW Muni","ESG_FRAMEWORK_INDICATOR")</f>
        <v>#NAME?</v>
      </c>
      <c r="Q1236" t="e">
        <f ca="1">BDP("956882RW Muni","BLOOMBERG_SECTOR_CODE")</f>
        <v>#NAME?</v>
      </c>
      <c r="R1236" t="e">
        <f ca="1">BDP("956882RW Muni","ISSUER_TYPE")</f>
        <v>#NAME?</v>
      </c>
      <c r="S1236" t="e">
        <f ca="1">BDS("956882RW Muni","ESG_PROJECT_CATEGORY", "aggregate=y")</f>
        <v>#NAME?</v>
      </c>
      <c r="T1236" t="e">
        <f ca="1">BDS("956882RW Muni","ESG_PROJECT_SUBCATEGORY", "aggregate=y")</f>
        <v>#NAME?</v>
      </c>
    </row>
    <row r="1237" spans="1:20" x14ac:dyDescent="0.25">
      <c r="A1237" t="e">
        <f ca="1">BDP("224525JK Muni","ID_CUSIP")</f>
        <v>#NAME?</v>
      </c>
      <c r="B1237" t="e">
        <f ca="1">BDP("224525JK Muni","STATE_CODE")</f>
        <v>#NAME?</v>
      </c>
      <c r="C1237" t="s">
        <v>77</v>
      </c>
      <c r="D1237" t="e">
        <f ca="1">BDP("224525JK Muni","YIELD_ON_ISSUE_DATE")</f>
        <v>#NAME?</v>
      </c>
      <c r="E1237">
        <v>435000</v>
      </c>
      <c r="F1237" t="e">
        <f ca="1">BDP("224525JK Muni","ISSUE_DT")</f>
        <v>#NAME?</v>
      </c>
      <c r="G1237" t="e">
        <f ca="1">BDP("224525JK Muni","MATURITY")</f>
        <v>#NAME?</v>
      </c>
      <c r="H1237" t="e">
        <f ca="1">BDP("224525JK Muni","MUNI_TAX_PROV")</f>
        <v>#NAME?</v>
      </c>
      <c r="I1237" t="e">
        <f ca="1">BDP("224525JK Muni","FINANCING_TYPE")</f>
        <v>#NAME?</v>
      </c>
      <c r="J1237" t="e">
        <f ca="1">BDP("224525JK Muni","BICS_LEVEL_2_INDUSTRY_GROUP_NAME")</f>
        <v>#NAME?</v>
      </c>
      <c r="K1237" t="e">
        <f ca="1">BDP("224525JK Muni","SELF_REPRTD_GREEN_INSTR_INDCTR")</f>
        <v>#NAME?</v>
      </c>
      <c r="L1237" t="e">
        <f ca="1">BDP("224525JK Muni","GB_MANAGEMENT_PROCEEDS")</f>
        <v>#NAME?</v>
      </c>
      <c r="M1237" t="e">
        <f ca="1">BDP("224525JK Muni","GB_REPORTING")</f>
        <v>#NAME?</v>
      </c>
      <c r="N1237" t="e">
        <f ca="1">BDP("224525JK Muni","GB_ASSURANCE_PROVIDERS")</f>
        <v>#NAME?</v>
      </c>
      <c r="O1237" t="e">
        <f ca="1">BDP("224525JK Muni","GB_PROJECT_SELECTION_PROCESS")</f>
        <v>#NAME?</v>
      </c>
      <c r="P1237" t="e">
        <f ca="1">BDP("224525JK Muni","ESG_FRAMEWORK_INDICATOR")</f>
        <v>#NAME?</v>
      </c>
      <c r="Q1237" t="e">
        <f ca="1">BDP("224525JK Muni","BLOOMBERG_SECTOR_CODE")</f>
        <v>#NAME?</v>
      </c>
      <c r="R1237" t="e">
        <f ca="1">BDP("224525JK Muni","ISSUER_TYPE")</f>
        <v>#NAME?</v>
      </c>
      <c r="S1237" t="e">
        <f ca="1">BDS("224525JK Muni","ESG_PROJECT_CATEGORY", "aggregate=y")</f>
        <v>#NAME?</v>
      </c>
      <c r="T1237" t="e">
        <f ca="1">BDS("224525JK Muni","ESG_PROJECT_SUBCATEGORY", "aggregate=y")</f>
        <v>#NAME?</v>
      </c>
    </row>
    <row r="1238" spans="1:20" x14ac:dyDescent="0.25">
      <c r="A1238" t="e">
        <f ca="1">BDP("476624DS Muni","ID_CUSIP")</f>
        <v>#NAME?</v>
      </c>
      <c r="B1238" t="e">
        <f ca="1">BDP("476624DS Muni","STATE_CODE")</f>
        <v>#NAME?</v>
      </c>
      <c r="C1238" t="s">
        <v>79</v>
      </c>
      <c r="D1238" t="e">
        <f ca="1">BDP("476624DS Muni","YIELD_ON_ISSUE_DATE")</f>
        <v>#NAME?</v>
      </c>
      <c r="E1238">
        <v>730000</v>
      </c>
      <c r="F1238" t="e">
        <f ca="1">BDP("476624DS Muni","ISSUE_DT")</f>
        <v>#NAME?</v>
      </c>
      <c r="G1238" t="e">
        <f ca="1">BDP("476624DS Muni","MATURITY")</f>
        <v>#NAME?</v>
      </c>
      <c r="H1238" t="e">
        <f ca="1">BDP("476624DS Muni","MUNI_TAX_PROV")</f>
        <v>#NAME?</v>
      </c>
      <c r="I1238" t="e">
        <f ca="1">BDP("476624DS Muni","FINANCING_TYPE")</f>
        <v>#NAME?</v>
      </c>
      <c r="J1238" t="e">
        <f ca="1">BDP("476624DS Muni","BICS_LEVEL_2_INDUSTRY_GROUP_NAME")</f>
        <v>#NAME?</v>
      </c>
      <c r="K1238" t="e">
        <f ca="1">BDP("476624DS Muni","SELF_REPRTD_GREEN_INSTR_INDCTR")</f>
        <v>#NAME?</v>
      </c>
      <c r="L1238" t="e">
        <f ca="1">BDP("476624DS Muni","GB_MANAGEMENT_PROCEEDS")</f>
        <v>#NAME?</v>
      </c>
      <c r="M1238" t="e">
        <f ca="1">BDP("476624DS Muni","GB_REPORTING")</f>
        <v>#NAME?</v>
      </c>
      <c r="N1238" t="e">
        <f ca="1">BDP("476624DS Muni","GB_ASSURANCE_PROVIDERS")</f>
        <v>#NAME?</v>
      </c>
      <c r="O1238" t="e">
        <f ca="1">BDP("476624DS Muni","GB_PROJECT_SELECTION_PROCESS")</f>
        <v>#NAME?</v>
      </c>
      <c r="P1238" t="e">
        <f ca="1">BDP("476624DS Muni","ESG_FRAMEWORK_INDICATOR")</f>
        <v>#NAME?</v>
      </c>
      <c r="Q1238" t="e">
        <f ca="1">BDP("476624DS Muni","BLOOMBERG_SECTOR_CODE")</f>
        <v>#NAME?</v>
      </c>
      <c r="R1238" t="e">
        <f ca="1">BDP("476624DS Muni","ISSUER_TYPE")</f>
        <v>#NAME?</v>
      </c>
      <c r="S1238" t="e">
        <f ca="1">BDS("476624DS Muni","ESG_PROJECT_CATEGORY", "aggregate=y")</f>
        <v>#NAME?</v>
      </c>
      <c r="T1238" t="e">
        <f ca="1">BDS("476624DS Muni","ESG_PROJECT_SUBCATEGORY", "aggregate=y")</f>
        <v>#NAME?</v>
      </c>
    </row>
    <row r="1239" spans="1:20" x14ac:dyDescent="0.25">
      <c r="A1239" t="e">
        <f ca="1">BDP("476624EF Muni","ID_CUSIP")</f>
        <v>#NAME?</v>
      </c>
      <c r="B1239" t="e">
        <f ca="1">BDP("476624EF Muni","STATE_CODE")</f>
        <v>#NAME?</v>
      </c>
      <c r="C1239" t="s">
        <v>79</v>
      </c>
      <c r="D1239" t="e">
        <f ca="1">BDP("476624EF Muni","YIELD_ON_ISSUE_DATE")</f>
        <v>#NAME?</v>
      </c>
      <c r="E1239">
        <v>1510000</v>
      </c>
      <c r="F1239" t="e">
        <f ca="1">BDP("476624EF Muni","ISSUE_DT")</f>
        <v>#NAME?</v>
      </c>
      <c r="G1239" t="e">
        <f ca="1">BDP("476624EF Muni","MATURITY")</f>
        <v>#NAME?</v>
      </c>
      <c r="H1239" t="e">
        <f ca="1">BDP("476624EF Muni","MUNI_TAX_PROV")</f>
        <v>#NAME?</v>
      </c>
      <c r="I1239" t="e">
        <f ca="1">BDP("476624EF Muni","FINANCING_TYPE")</f>
        <v>#NAME?</v>
      </c>
      <c r="J1239" t="e">
        <f ca="1">BDP("476624EF Muni","BICS_LEVEL_2_INDUSTRY_GROUP_NAME")</f>
        <v>#NAME?</v>
      </c>
      <c r="K1239" t="e">
        <f ca="1">BDP("476624EF Muni","SELF_REPRTD_GREEN_INSTR_INDCTR")</f>
        <v>#NAME?</v>
      </c>
      <c r="L1239" t="e">
        <f ca="1">BDP("476624EF Muni","GB_MANAGEMENT_PROCEEDS")</f>
        <v>#NAME?</v>
      </c>
      <c r="M1239" t="e">
        <f ca="1">BDP("476624EF Muni","GB_REPORTING")</f>
        <v>#NAME?</v>
      </c>
      <c r="N1239" t="e">
        <f ca="1">BDP("476624EF Muni","GB_ASSURANCE_PROVIDERS")</f>
        <v>#NAME?</v>
      </c>
      <c r="O1239" t="e">
        <f ca="1">BDP("476624EF Muni","GB_PROJECT_SELECTION_PROCESS")</f>
        <v>#NAME?</v>
      </c>
      <c r="P1239" t="e">
        <f ca="1">BDP("476624EF Muni","ESG_FRAMEWORK_INDICATOR")</f>
        <v>#NAME?</v>
      </c>
      <c r="Q1239" t="e">
        <f ca="1">BDP("476624EF Muni","BLOOMBERG_SECTOR_CODE")</f>
        <v>#NAME?</v>
      </c>
      <c r="R1239" t="e">
        <f ca="1">BDP("476624EF Muni","ISSUER_TYPE")</f>
        <v>#NAME?</v>
      </c>
      <c r="S1239" t="e">
        <f ca="1">BDS("476624EF Muni","ESG_PROJECT_CATEGORY", "aggregate=y")</f>
        <v>#NAME?</v>
      </c>
      <c r="T1239" t="e">
        <f ca="1">BDS("476624EF Muni","ESG_PROJECT_SUBCATEGORY", "aggregate=y")</f>
        <v>#NAME?</v>
      </c>
    </row>
    <row r="1240" spans="1:20" x14ac:dyDescent="0.25">
      <c r="A1240" t="e">
        <f ca="1">BDP("927405BF Muni","ID_CUSIP")</f>
        <v>#NAME?</v>
      </c>
      <c r="B1240" t="e">
        <f ca="1">BDP("927405BF Muni","STATE_CODE")</f>
        <v>#NAME?</v>
      </c>
      <c r="C1240" t="s">
        <v>75</v>
      </c>
      <c r="D1240" t="e">
        <f ca="1">BDP("927405BF Muni","YIELD_ON_ISSUE_DATE")</f>
        <v>#NAME?</v>
      </c>
      <c r="E1240">
        <v>1580000</v>
      </c>
      <c r="F1240" t="e">
        <f ca="1">BDP("927405BF Muni","ISSUE_DT")</f>
        <v>#NAME?</v>
      </c>
      <c r="G1240" t="e">
        <f ca="1">BDP("927405BF Muni","MATURITY")</f>
        <v>#NAME?</v>
      </c>
      <c r="H1240" t="e">
        <f ca="1">BDP("927405BF Muni","MUNI_TAX_PROV")</f>
        <v>#NAME?</v>
      </c>
      <c r="I1240" t="e">
        <f ca="1">BDP("927405BF Muni","FINANCING_TYPE")</f>
        <v>#NAME?</v>
      </c>
      <c r="J1240" t="e">
        <f ca="1">BDP("927405BF Muni","BICS_LEVEL_2_INDUSTRY_GROUP_NAME")</f>
        <v>#NAME?</v>
      </c>
      <c r="K1240" t="e">
        <f ca="1">BDP("927405BF Muni","SELF_REPRTD_GREEN_INSTR_INDCTR")</f>
        <v>#NAME?</v>
      </c>
      <c r="L1240" t="e">
        <f ca="1">BDP("927405BF Muni","GB_MANAGEMENT_PROCEEDS")</f>
        <v>#NAME?</v>
      </c>
      <c r="M1240" t="e">
        <f ca="1">BDP("927405BF Muni","GB_REPORTING")</f>
        <v>#NAME?</v>
      </c>
      <c r="N1240" t="e">
        <f ca="1">BDP("927405BF Muni","GB_ASSURANCE_PROVIDERS")</f>
        <v>#NAME?</v>
      </c>
      <c r="O1240" t="e">
        <f ca="1">BDP("927405BF Muni","GB_PROJECT_SELECTION_PROCESS")</f>
        <v>#NAME?</v>
      </c>
      <c r="P1240" t="e">
        <f ca="1">BDP("927405BF Muni","ESG_FRAMEWORK_INDICATOR")</f>
        <v>#NAME?</v>
      </c>
      <c r="Q1240" t="e">
        <f ca="1">BDP("927405BF Muni","BLOOMBERG_SECTOR_CODE")</f>
        <v>#NAME?</v>
      </c>
      <c r="R1240" t="e">
        <f ca="1">BDP("927405BF Muni","ISSUER_TYPE")</f>
        <v>#NAME?</v>
      </c>
      <c r="S1240" t="e">
        <f ca="1">BDS("927405BF Muni","ESG_PROJECT_CATEGORY", "aggregate=y")</f>
        <v>#NAME?</v>
      </c>
      <c r="T1240" t="e">
        <f ca="1">BDS("927405BF Muni","ESG_PROJECT_SUBCATEGORY", "aggregate=y")</f>
        <v>#NAME?</v>
      </c>
    </row>
    <row r="1241" spans="1:20" x14ac:dyDescent="0.25">
      <c r="A1241" t="e">
        <f ca="1">BDP("224525HS Muni","ID_CUSIP")</f>
        <v>#NAME?</v>
      </c>
      <c r="B1241" t="e">
        <f ca="1">BDP("224525HS Muni","STATE_CODE")</f>
        <v>#NAME?</v>
      </c>
      <c r="C1241" t="s">
        <v>77</v>
      </c>
      <c r="D1241" t="e">
        <f ca="1">BDP("224525HS Muni","YIELD_ON_ISSUE_DATE")</f>
        <v>#NAME?</v>
      </c>
      <c r="E1241">
        <v>810000</v>
      </c>
      <c r="F1241" t="e">
        <f ca="1">BDP("224525HS Muni","ISSUE_DT")</f>
        <v>#NAME?</v>
      </c>
      <c r="G1241" t="e">
        <f ca="1">BDP("224525HS Muni","MATURITY")</f>
        <v>#NAME?</v>
      </c>
      <c r="H1241" t="e">
        <f ca="1">BDP("224525HS Muni","MUNI_TAX_PROV")</f>
        <v>#NAME?</v>
      </c>
      <c r="I1241" t="e">
        <f ca="1">BDP("224525HS Muni","FINANCING_TYPE")</f>
        <v>#NAME?</v>
      </c>
      <c r="J1241" t="e">
        <f ca="1">BDP("224525HS Muni","BICS_LEVEL_2_INDUSTRY_GROUP_NAME")</f>
        <v>#NAME?</v>
      </c>
      <c r="K1241" t="e">
        <f ca="1">BDP("224525HS Muni","SELF_REPRTD_GREEN_INSTR_INDCTR")</f>
        <v>#NAME?</v>
      </c>
      <c r="L1241" t="e">
        <f ca="1">BDP("224525HS Muni","GB_MANAGEMENT_PROCEEDS")</f>
        <v>#NAME?</v>
      </c>
      <c r="M1241" t="e">
        <f ca="1">BDP("224525HS Muni","GB_REPORTING")</f>
        <v>#NAME?</v>
      </c>
      <c r="N1241" t="e">
        <f ca="1">BDP("224525HS Muni","GB_ASSURANCE_PROVIDERS")</f>
        <v>#NAME?</v>
      </c>
      <c r="O1241" t="e">
        <f ca="1">BDP("224525HS Muni","GB_PROJECT_SELECTION_PROCESS")</f>
        <v>#NAME?</v>
      </c>
      <c r="P1241" t="e">
        <f ca="1">BDP("224525HS Muni","ESG_FRAMEWORK_INDICATOR")</f>
        <v>#NAME?</v>
      </c>
      <c r="Q1241" t="e">
        <f ca="1">BDP("224525HS Muni","BLOOMBERG_SECTOR_CODE")</f>
        <v>#NAME?</v>
      </c>
      <c r="R1241" t="e">
        <f ca="1">BDP("224525HS Muni","ISSUER_TYPE")</f>
        <v>#NAME?</v>
      </c>
      <c r="S1241" t="e">
        <f ca="1">BDS("224525HS Muni","ESG_PROJECT_CATEGORY", "aggregate=y")</f>
        <v>#NAME?</v>
      </c>
      <c r="T1241" t="e">
        <f ca="1">BDS("224525HS Muni","ESG_PROJECT_SUBCATEGORY", "aggregate=y")</f>
        <v>#NAME?</v>
      </c>
    </row>
    <row r="1242" spans="1:20" x14ac:dyDescent="0.25">
      <c r="A1242" t="e">
        <f ca="1">BDP("224525JC Muni","ID_CUSIP")</f>
        <v>#NAME?</v>
      </c>
      <c r="B1242" t="e">
        <f ca="1">BDP("224525JC Muni","STATE_CODE")</f>
        <v>#NAME?</v>
      </c>
      <c r="C1242" t="s">
        <v>77</v>
      </c>
      <c r="D1242" t="e">
        <f ca="1">BDP("224525JC Muni","YIELD_ON_ISSUE_DATE")</f>
        <v>#NAME?</v>
      </c>
      <c r="E1242">
        <v>480000</v>
      </c>
      <c r="F1242" t="e">
        <f ca="1">BDP("224525JC Muni","ISSUE_DT")</f>
        <v>#NAME?</v>
      </c>
      <c r="G1242" t="e">
        <f ca="1">BDP("224525JC Muni","MATURITY")</f>
        <v>#NAME?</v>
      </c>
      <c r="H1242" t="e">
        <f ca="1">BDP("224525JC Muni","MUNI_TAX_PROV")</f>
        <v>#NAME?</v>
      </c>
      <c r="I1242" t="e">
        <f ca="1">BDP("224525JC Muni","FINANCING_TYPE")</f>
        <v>#NAME?</v>
      </c>
      <c r="J1242" t="e">
        <f ca="1">BDP("224525JC Muni","BICS_LEVEL_2_INDUSTRY_GROUP_NAME")</f>
        <v>#NAME?</v>
      </c>
      <c r="K1242" t="e">
        <f ca="1">BDP("224525JC Muni","SELF_REPRTD_GREEN_INSTR_INDCTR")</f>
        <v>#NAME?</v>
      </c>
      <c r="L1242" t="e">
        <f ca="1">BDP("224525JC Muni","GB_MANAGEMENT_PROCEEDS")</f>
        <v>#NAME?</v>
      </c>
      <c r="M1242" t="e">
        <f ca="1">BDP("224525JC Muni","GB_REPORTING")</f>
        <v>#NAME?</v>
      </c>
      <c r="N1242" t="e">
        <f ca="1">BDP("224525JC Muni","GB_ASSURANCE_PROVIDERS")</f>
        <v>#NAME?</v>
      </c>
      <c r="O1242" t="e">
        <f ca="1">BDP("224525JC Muni","GB_PROJECT_SELECTION_PROCESS")</f>
        <v>#NAME?</v>
      </c>
      <c r="P1242" t="e">
        <f ca="1">BDP("224525JC Muni","ESG_FRAMEWORK_INDICATOR")</f>
        <v>#NAME?</v>
      </c>
      <c r="Q1242" t="e">
        <f ca="1">BDP("224525JC Muni","BLOOMBERG_SECTOR_CODE")</f>
        <v>#NAME?</v>
      </c>
      <c r="R1242" t="e">
        <f ca="1">BDP("224525JC Muni","ISSUER_TYPE")</f>
        <v>#NAME?</v>
      </c>
      <c r="S1242" t="e">
        <f ca="1">BDS("224525JC Muni","ESG_PROJECT_CATEGORY", "aggregate=y")</f>
        <v>#NAME?</v>
      </c>
      <c r="T1242" t="e">
        <f ca="1">BDS("224525JC Muni","ESG_PROJECT_SUBCATEGORY", "aggregate=y")</f>
        <v>#NAME?</v>
      </c>
    </row>
    <row r="1243" spans="1:20" x14ac:dyDescent="0.25">
      <c r="A1243" t="e">
        <f ca="1">BDP("476623DD Muni","ID_CUSIP")</f>
        <v>#NAME?</v>
      </c>
      <c r="B1243" t="e">
        <f ca="1">BDP("476623DD Muni","STATE_CODE")</f>
        <v>#NAME?</v>
      </c>
      <c r="C1243" t="s">
        <v>79</v>
      </c>
      <c r="D1243" t="e">
        <f ca="1">BDP("476623DD Muni","YIELD_ON_ISSUE_DATE")</f>
        <v>#NAME?</v>
      </c>
      <c r="E1243">
        <v>1260000</v>
      </c>
      <c r="F1243" t="e">
        <f ca="1">BDP("476623DD Muni","ISSUE_DT")</f>
        <v>#NAME?</v>
      </c>
      <c r="G1243" t="e">
        <f ca="1">BDP("476623DD Muni","MATURITY")</f>
        <v>#NAME?</v>
      </c>
      <c r="H1243" t="e">
        <f ca="1">BDP("476623DD Muni","MUNI_TAX_PROV")</f>
        <v>#NAME?</v>
      </c>
      <c r="I1243" t="e">
        <f ca="1">BDP("476623DD Muni","FINANCING_TYPE")</f>
        <v>#NAME?</v>
      </c>
      <c r="J1243" t="e">
        <f ca="1">BDP("476623DD Muni","BICS_LEVEL_2_INDUSTRY_GROUP_NAME")</f>
        <v>#NAME?</v>
      </c>
      <c r="K1243" t="e">
        <f ca="1">BDP("476623DD Muni","SELF_REPRTD_GREEN_INSTR_INDCTR")</f>
        <v>#NAME?</v>
      </c>
      <c r="L1243" t="e">
        <f ca="1">BDP("476623DD Muni","GB_MANAGEMENT_PROCEEDS")</f>
        <v>#NAME?</v>
      </c>
      <c r="M1243" t="e">
        <f ca="1">BDP("476623DD Muni","GB_REPORTING")</f>
        <v>#NAME?</v>
      </c>
      <c r="N1243" t="e">
        <f ca="1">BDP("476623DD Muni","GB_ASSURANCE_PROVIDERS")</f>
        <v>#NAME?</v>
      </c>
      <c r="O1243" t="e">
        <f ca="1">BDP("476623DD Muni","GB_PROJECT_SELECTION_PROCESS")</f>
        <v>#NAME?</v>
      </c>
      <c r="P1243" t="e">
        <f ca="1">BDP("476623DD Muni","ESG_FRAMEWORK_INDICATOR")</f>
        <v>#NAME?</v>
      </c>
      <c r="Q1243" t="e">
        <f ca="1">BDP("476623DD Muni","BLOOMBERG_SECTOR_CODE")</f>
        <v>#NAME?</v>
      </c>
      <c r="R1243" t="e">
        <f ca="1">BDP("476623DD Muni","ISSUER_TYPE")</f>
        <v>#NAME?</v>
      </c>
      <c r="S1243" t="e">
        <f ca="1">BDS("476623DD Muni","ESG_PROJECT_CATEGORY", "aggregate=y")</f>
        <v>#NAME?</v>
      </c>
      <c r="T1243" t="e">
        <f ca="1">BDS("476623DD Muni","ESG_PROJECT_SUBCATEGORY", "aggregate=y")</f>
        <v>#NAME?</v>
      </c>
    </row>
    <row r="1244" spans="1:20" x14ac:dyDescent="0.25">
      <c r="A1244" t="e">
        <f ca="1">BDP("476624DU Muni","ID_CUSIP")</f>
        <v>#NAME?</v>
      </c>
      <c r="B1244" t="e">
        <f ca="1">BDP("476624DU Muni","STATE_CODE")</f>
        <v>#NAME?</v>
      </c>
      <c r="C1244" t="s">
        <v>79</v>
      </c>
      <c r="D1244" t="e">
        <f ca="1">BDP("476624DU Muni","YIELD_ON_ISSUE_DATE")</f>
        <v>#NAME?</v>
      </c>
      <c r="E1244">
        <v>815000</v>
      </c>
      <c r="F1244" t="e">
        <f ca="1">BDP("476624DU Muni","ISSUE_DT")</f>
        <v>#NAME?</v>
      </c>
      <c r="G1244" t="e">
        <f ca="1">BDP("476624DU Muni","MATURITY")</f>
        <v>#NAME?</v>
      </c>
      <c r="H1244" t="e">
        <f ca="1">BDP("476624DU Muni","MUNI_TAX_PROV")</f>
        <v>#NAME?</v>
      </c>
      <c r="I1244" t="e">
        <f ca="1">BDP("476624DU Muni","FINANCING_TYPE")</f>
        <v>#NAME?</v>
      </c>
      <c r="J1244" t="e">
        <f ca="1">BDP("476624DU Muni","BICS_LEVEL_2_INDUSTRY_GROUP_NAME")</f>
        <v>#NAME?</v>
      </c>
      <c r="K1244" t="e">
        <f ca="1">BDP("476624DU Muni","SELF_REPRTD_GREEN_INSTR_INDCTR")</f>
        <v>#NAME?</v>
      </c>
      <c r="L1244" t="e">
        <f ca="1">BDP("476624DU Muni","GB_MANAGEMENT_PROCEEDS")</f>
        <v>#NAME?</v>
      </c>
      <c r="M1244" t="e">
        <f ca="1">BDP("476624DU Muni","GB_REPORTING")</f>
        <v>#NAME?</v>
      </c>
      <c r="N1244" t="e">
        <f ca="1">BDP("476624DU Muni","GB_ASSURANCE_PROVIDERS")</f>
        <v>#NAME?</v>
      </c>
      <c r="O1244" t="e">
        <f ca="1">BDP("476624DU Muni","GB_PROJECT_SELECTION_PROCESS")</f>
        <v>#NAME?</v>
      </c>
      <c r="P1244" t="e">
        <f ca="1">BDP("476624DU Muni","ESG_FRAMEWORK_INDICATOR")</f>
        <v>#NAME?</v>
      </c>
      <c r="Q1244" t="e">
        <f ca="1">BDP("476624DU Muni","BLOOMBERG_SECTOR_CODE")</f>
        <v>#NAME?</v>
      </c>
      <c r="R1244" t="e">
        <f ca="1">BDP("476624DU Muni","ISSUER_TYPE")</f>
        <v>#NAME?</v>
      </c>
      <c r="S1244" t="e">
        <f ca="1">BDS("476624DU Muni","ESG_PROJECT_CATEGORY", "aggregate=y")</f>
        <v>#NAME?</v>
      </c>
      <c r="T1244" t="e">
        <f ca="1">BDS("476624DU Muni","ESG_PROJECT_SUBCATEGORY", "aggregate=y")</f>
        <v>#NAME?</v>
      </c>
    </row>
    <row r="1245" spans="1:20" x14ac:dyDescent="0.25">
      <c r="A1245" t="e">
        <f ca="1">BDP("476624DX Muni","ID_CUSIP")</f>
        <v>#NAME?</v>
      </c>
      <c r="B1245" t="e">
        <f ca="1">BDP("476624DX Muni","STATE_CODE")</f>
        <v>#NAME?</v>
      </c>
      <c r="C1245" t="s">
        <v>79</v>
      </c>
      <c r="D1245" t="e">
        <f ca="1">BDP("476624DX Muni","YIELD_ON_ISSUE_DATE")</f>
        <v>#NAME?</v>
      </c>
      <c r="E1245">
        <v>965000</v>
      </c>
      <c r="F1245" t="e">
        <f ca="1">BDP("476624DX Muni","ISSUE_DT")</f>
        <v>#NAME?</v>
      </c>
      <c r="G1245" t="e">
        <f ca="1">BDP("476624DX Muni","MATURITY")</f>
        <v>#NAME?</v>
      </c>
      <c r="H1245" t="e">
        <f ca="1">BDP("476624DX Muni","MUNI_TAX_PROV")</f>
        <v>#NAME?</v>
      </c>
      <c r="I1245" t="e">
        <f ca="1">BDP("476624DX Muni","FINANCING_TYPE")</f>
        <v>#NAME?</v>
      </c>
      <c r="J1245" t="e">
        <f ca="1">BDP("476624DX Muni","BICS_LEVEL_2_INDUSTRY_GROUP_NAME")</f>
        <v>#NAME?</v>
      </c>
      <c r="K1245" t="e">
        <f ca="1">BDP("476624DX Muni","SELF_REPRTD_GREEN_INSTR_INDCTR")</f>
        <v>#NAME?</v>
      </c>
      <c r="L1245" t="e">
        <f ca="1">BDP("476624DX Muni","GB_MANAGEMENT_PROCEEDS")</f>
        <v>#NAME?</v>
      </c>
      <c r="M1245" t="e">
        <f ca="1">BDP("476624DX Muni","GB_REPORTING")</f>
        <v>#NAME?</v>
      </c>
      <c r="N1245" t="e">
        <f ca="1">BDP("476624DX Muni","GB_ASSURANCE_PROVIDERS")</f>
        <v>#NAME?</v>
      </c>
      <c r="O1245" t="e">
        <f ca="1">BDP("476624DX Muni","GB_PROJECT_SELECTION_PROCESS")</f>
        <v>#NAME?</v>
      </c>
      <c r="P1245" t="e">
        <f ca="1">BDP("476624DX Muni","ESG_FRAMEWORK_INDICATOR")</f>
        <v>#NAME?</v>
      </c>
      <c r="Q1245" t="e">
        <f ca="1">BDP("476624DX Muni","BLOOMBERG_SECTOR_CODE")</f>
        <v>#NAME?</v>
      </c>
      <c r="R1245" t="e">
        <f ca="1">BDP("476624DX Muni","ISSUER_TYPE")</f>
        <v>#NAME?</v>
      </c>
      <c r="S1245" t="e">
        <f ca="1">BDS("476624DX Muni","ESG_PROJECT_CATEGORY", "aggregate=y")</f>
        <v>#NAME?</v>
      </c>
      <c r="T1245" t="e">
        <f ca="1">BDS("476624DX Muni","ESG_PROJECT_SUBCATEGORY", "aggregate=y")</f>
        <v>#NAME?</v>
      </c>
    </row>
    <row r="1246" spans="1:20" x14ac:dyDescent="0.25">
      <c r="A1246" t="e">
        <f ca="1">BDP("476624DZ Muni","ID_CUSIP")</f>
        <v>#NAME?</v>
      </c>
      <c r="B1246" t="e">
        <f ca="1">BDP("476624DZ Muni","STATE_CODE")</f>
        <v>#NAME?</v>
      </c>
      <c r="C1246" t="s">
        <v>79</v>
      </c>
      <c r="D1246" t="e">
        <f ca="1">BDP("476624DZ Muni","YIELD_ON_ISSUE_DATE")</f>
        <v>#NAME?</v>
      </c>
      <c r="E1246">
        <v>1080000</v>
      </c>
      <c r="F1246" t="e">
        <f ca="1">BDP("476624DZ Muni","ISSUE_DT")</f>
        <v>#NAME?</v>
      </c>
      <c r="G1246" t="e">
        <f ca="1">BDP("476624DZ Muni","MATURITY")</f>
        <v>#NAME?</v>
      </c>
      <c r="H1246" t="e">
        <f ca="1">BDP("476624DZ Muni","MUNI_TAX_PROV")</f>
        <v>#NAME?</v>
      </c>
      <c r="I1246" t="e">
        <f ca="1">BDP("476624DZ Muni","FINANCING_TYPE")</f>
        <v>#NAME?</v>
      </c>
      <c r="J1246" t="e">
        <f ca="1">BDP("476624DZ Muni","BICS_LEVEL_2_INDUSTRY_GROUP_NAME")</f>
        <v>#NAME?</v>
      </c>
      <c r="K1246" t="e">
        <f ca="1">BDP("476624DZ Muni","SELF_REPRTD_GREEN_INSTR_INDCTR")</f>
        <v>#NAME?</v>
      </c>
      <c r="L1246" t="e">
        <f ca="1">BDP("476624DZ Muni","GB_MANAGEMENT_PROCEEDS")</f>
        <v>#NAME?</v>
      </c>
      <c r="M1246" t="e">
        <f ca="1">BDP("476624DZ Muni","GB_REPORTING")</f>
        <v>#NAME?</v>
      </c>
      <c r="N1246" t="e">
        <f ca="1">BDP("476624DZ Muni","GB_ASSURANCE_PROVIDERS")</f>
        <v>#NAME?</v>
      </c>
      <c r="O1246" t="e">
        <f ca="1">BDP("476624DZ Muni","GB_PROJECT_SELECTION_PROCESS")</f>
        <v>#NAME?</v>
      </c>
      <c r="P1246" t="e">
        <f ca="1">BDP("476624DZ Muni","ESG_FRAMEWORK_INDICATOR")</f>
        <v>#NAME?</v>
      </c>
      <c r="Q1246" t="e">
        <f ca="1">BDP("476624DZ Muni","BLOOMBERG_SECTOR_CODE")</f>
        <v>#NAME?</v>
      </c>
      <c r="R1246" t="e">
        <f ca="1">BDP("476624DZ Muni","ISSUER_TYPE")</f>
        <v>#NAME?</v>
      </c>
      <c r="S1246" t="e">
        <f ca="1">BDS("476624DZ Muni","ESG_PROJECT_CATEGORY", "aggregate=y")</f>
        <v>#NAME?</v>
      </c>
      <c r="T1246" t="e">
        <f ca="1">BDS("476624DZ Muni","ESG_PROJECT_SUBCATEGORY", "aggregate=y")</f>
        <v>#NAME?</v>
      </c>
    </row>
    <row r="1247" spans="1:20" x14ac:dyDescent="0.25">
      <c r="A1247" t="e">
        <f ca="1">BDP("611305NR Muni","ID_CUSIP")</f>
        <v>#NAME?</v>
      </c>
      <c r="B1247" t="e">
        <f ca="1">BDP("611305NR Muni","STATE_CODE")</f>
        <v>#NAME?</v>
      </c>
      <c r="C1247" t="s">
        <v>80</v>
      </c>
      <c r="D1247" t="e">
        <f ca="1">BDP("611305NR Muni","YIELD_ON_ISSUE_DATE")</f>
        <v>#NAME?</v>
      </c>
      <c r="E1247">
        <v>690000</v>
      </c>
      <c r="F1247" t="e">
        <f ca="1">BDP("611305NR Muni","ISSUE_DT")</f>
        <v>#NAME?</v>
      </c>
      <c r="G1247" t="e">
        <f ca="1">BDP("611305NR Muni","MATURITY")</f>
        <v>#NAME?</v>
      </c>
      <c r="H1247" t="e">
        <f ca="1">BDP("611305NR Muni","MUNI_TAX_PROV")</f>
        <v>#NAME?</v>
      </c>
      <c r="I1247" t="e">
        <f ca="1">BDP("611305NR Muni","FINANCING_TYPE")</f>
        <v>#NAME?</v>
      </c>
      <c r="J1247" t="e">
        <f ca="1">BDP("611305NR Muni","BICS_LEVEL_2_INDUSTRY_GROUP_NAME")</f>
        <v>#NAME?</v>
      </c>
      <c r="K1247" t="e">
        <f ca="1">BDP("611305NR Muni","SELF_REPRTD_GREEN_INSTR_INDCTR")</f>
        <v>#NAME?</v>
      </c>
      <c r="L1247" t="e">
        <f ca="1">BDP("611305NR Muni","GB_MANAGEMENT_PROCEEDS")</f>
        <v>#NAME?</v>
      </c>
      <c r="M1247" t="e">
        <f ca="1">BDP("611305NR Muni","GB_REPORTING")</f>
        <v>#NAME?</v>
      </c>
      <c r="N1247" t="e">
        <f ca="1">BDP("611305NR Muni","GB_ASSURANCE_PROVIDERS")</f>
        <v>#NAME?</v>
      </c>
      <c r="O1247" t="e">
        <f ca="1">BDP("611305NR Muni","GB_PROJECT_SELECTION_PROCESS")</f>
        <v>#NAME?</v>
      </c>
      <c r="P1247" t="e">
        <f ca="1">BDP("611305NR Muni","ESG_FRAMEWORK_INDICATOR")</f>
        <v>#NAME?</v>
      </c>
      <c r="Q1247" t="e">
        <f ca="1">BDP("611305NR Muni","BLOOMBERG_SECTOR_CODE")</f>
        <v>#NAME?</v>
      </c>
      <c r="R1247" t="e">
        <f ca="1">BDP("611305NR Muni","ISSUER_TYPE")</f>
        <v>#NAME?</v>
      </c>
      <c r="S1247" t="e">
        <f ca="1">BDS("611305NR Muni","ESG_PROJECT_CATEGORY", "aggregate=y")</f>
        <v>#NAME?</v>
      </c>
      <c r="T1247" t="e">
        <f ca="1">BDS("611305NR Muni","ESG_PROJECT_SUBCATEGORY", "aggregate=y")</f>
        <v>#NAME?</v>
      </c>
    </row>
    <row r="1248" spans="1:20" x14ac:dyDescent="0.25">
      <c r="A1248" t="e">
        <f ca="1">BDP("611312QL Muni","ID_CUSIP")</f>
        <v>#NAME?</v>
      </c>
      <c r="B1248" t="e">
        <f ca="1">BDP("611312QL Muni","STATE_CODE")</f>
        <v>#NAME?</v>
      </c>
      <c r="C1248" t="s">
        <v>81</v>
      </c>
      <c r="D1248" t="e">
        <f ca="1">BDP("611312QL Muni","YIELD_ON_ISSUE_DATE")</f>
        <v>#NAME?</v>
      </c>
      <c r="E1248">
        <v>205000</v>
      </c>
      <c r="F1248" t="e">
        <f ca="1">BDP("611312QL Muni","ISSUE_DT")</f>
        <v>#NAME?</v>
      </c>
      <c r="G1248" t="e">
        <f ca="1">BDP("611312QL Muni","MATURITY")</f>
        <v>#NAME?</v>
      </c>
      <c r="H1248" t="e">
        <f ca="1">BDP("611312QL Muni","MUNI_TAX_PROV")</f>
        <v>#NAME?</v>
      </c>
      <c r="I1248" t="e">
        <f ca="1">BDP("611312QL Muni","FINANCING_TYPE")</f>
        <v>#NAME?</v>
      </c>
      <c r="J1248" t="e">
        <f ca="1">BDP("611312QL Muni","BICS_LEVEL_2_INDUSTRY_GROUP_NAME")</f>
        <v>#NAME?</v>
      </c>
      <c r="K1248" t="e">
        <f ca="1">BDP("611312QL Muni","SELF_REPRTD_GREEN_INSTR_INDCTR")</f>
        <v>#NAME?</v>
      </c>
      <c r="L1248" t="e">
        <f ca="1">BDP("611312QL Muni","GB_MANAGEMENT_PROCEEDS")</f>
        <v>#NAME?</v>
      </c>
      <c r="M1248" t="e">
        <f ca="1">BDP("611312QL Muni","GB_REPORTING")</f>
        <v>#NAME?</v>
      </c>
      <c r="N1248" t="e">
        <f ca="1">BDP("611312QL Muni","GB_ASSURANCE_PROVIDERS")</f>
        <v>#NAME?</v>
      </c>
      <c r="O1248" t="e">
        <f ca="1">BDP("611312QL Muni","GB_PROJECT_SELECTION_PROCESS")</f>
        <v>#NAME?</v>
      </c>
      <c r="P1248" t="e">
        <f ca="1">BDP("611312QL Muni","ESG_FRAMEWORK_INDICATOR")</f>
        <v>#NAME?</v>
      </c>
      <c r="Q1248" t="e">
        <f ca="1">BDP("611312QL Muni","BLOOMBERG_SECTOR_CODE")</f>
        <v>#NAME?</v>
      </c>
      <c r="R1248" t="e">
        <f ca="1">BDP("611312QL Muni","ISSUER_TYPE")</f>
        <v>#NAME?</v>
      </c>
      <c r="S1248" t="e">
        <f ca="1">BDS("611312QL Muni","ESG_PROJECT_CATEGORY", "aggregate=y")</f>
        <v>#NAME?</v>
      </c>
      <c r="T1248" t="e">
        <f ca="1">BDS("611312QL Muni","ESG_PROJECT_SUBCATEGORY", "aggregate=y")</f>
        <v>#NAME?</v>
      </c>
    </row>
    <row r="1249" spans="1:20" x14ac:dyDescent="0.25">
      <c r="A1249" t="e">
        <f ca="1">BDP("915710CG Muni","ID_CUSIP")</f>
        <v>#NAME?</v>
      </c>
      <c r="B1249" t="e">
        <f ca="1">BDP("915710CG Muni","STATE_CODE")</f>
        <v>#NAME?</v>
      </c>
      <c r="C1249" t="s">
        <v>73</v>
      </c>
      <c r="D1249" t="e">
        <f ca="1">BDP("915710CG Muni","YIELD_ON_ISSUE_DATE")</f>
        <v>#NAME?</v>
      </c>
      <c r="E1249">
        <v>130000</v>
      </c>
      <c r="F1249" t="e">
        <f ca="1">BDP("915710CG Muni","ISSUE_DT")</f>
        <v>#NAME?</v>
      </c>
      <c r="G1249" t="e">
        <f ca="1">BDP("915710CG Muni","MATURITY")</f>
        <v>#NAME?</v>
      </c>
      <c r="H1249" t="e">
        <f ca="1">BDP("915710CG Muni","MUNI_TAX_PROV")</f>
        <v>#NAME?</v>
      </c>
      <c r="I1249" t="e">
        <f ca="1">BDP("915710CG Muni","FINANCING_TYPE")</f>
        <v>#NAME?</v>
      </c>
      <c r="J1249" t="e">
        <f ca="1">BDP("915710CG Muni","BICS_LEVEL_2_INDUSTRY_GROUP_NAME")</f>
        <v>#NAME?</v>
      </c>
      <c r="K1249" t="e">
        <f ca="1">BDP("915710CG Muni","SELF_REPRTD_GREEN_INSTR_INDCTR")</f>
        <v>#NAME?</v>
      </c>
      <c r="L1249" t="e">
        <f ca="1">BDP("915710CG Muni","GB_MANAGEMENT_PROCEEDS")</f>
        <v>#NAME?</v>
      </c>
      <c r="M1249" t="e">
        <f ca="1">BDP("915710CG Muni","GB_REPORTING")</f>
        <v>#NAME?</v>
      </c>
      <c r="N1249" t="e">
        <f ca="1">BDP("915710CG Muni","GB_ASSURANCE_PROVIDERS")</f>
        <v>#NAME?</v>
      </c>
      <c r="O1249" t="e">
        <f ca="1">BDP("915710CG Muni","GB_PROJECT_SELECTION_PROCESS")</f>
        <v>#NAME?</v>
      </c>
      <c r="P1249" t="e">
        <f ca="1">BDP("915710CG Muni","ESG_FRAMEWORK_INDICATOR")</f>
        <v>#NAME?</v>
      </c>
      <c r="Q1249" t="e">
        <f ca="1">BDP("915710CG Muni","BLOOMBERG_SECTOR_CODE")</f>
        <v>#NAME?</v>
      </c>
      <c r="R1249" t="e">
        <f ca="1">BDP("915710CG Muni","ISSUER_TYPE")</f>
        <v>#NAME?</v>
      </c>
      <c r="S1249" t="e">
        <f ca="1">BDS("915710CG Muni","ESG_PROJECT_CATEGORY", "aggregate=y")</f>
        <v>#NAME?</v>
      </c>
      <c r="T1249" t="e">
        <f ca="1">BDS("915710CG Muni","ESG_PROJECT_SUBCATEGORY", "aggregate=y")</f>
        <v>#NAME?</v>
      </c>
    </row>
    <row r="1250" spans="1:20" x14ac:dyDescent="0.25">
      <c r="A1250" t="e">
        <f ca="1">BDP("924736HK Muni","ID_CUSIP")</f>
        <v>#NAME?</v>
      </c>
      <c r="B1250" t="e">
        <f ca="1">BDP("924736HK Muni","STATE_CODE")</f>
        <v>#NAME?</v>
      </c>
      <c r="C1250" t="s">
        <v>74</v>
      </c>
      <c r="D1250" t="e">
        <f ca="1">BDP("924736HK Muni","YIELD_ON_ISSUE_DATE")</f>
        <v>#NAME?</v>
      </c>
      <c r="E1250">
        <v>190000</v>
      </c>
      <c r="F1250" t="e">
        <f ca="1">BDP("924736HK Muni","ISSUE_DT")</f>
        <v>#NAME?</v>
      </c>
      <c r="G1250" t="e">
        <f ca="1">BDP("924736HK Muni","MATURITY")</f>
        <v>#NAME?</v>
      </c>
      <c r="H1250" t="e">
        <f ca="1">BDP("924736HK Muni","MUNI_TAX_PROV")</f>
        <v>#NAME?</v>
      </c>
      <c r="I1250" t="e">
        <f ca="1">BDP("924736HK Muni","FINANCING_TYPE")</f>
        <v>#NAME?</v>
      </c>
      <c r="J1250" t="e">
        <f ca="1">BDP("924736HK Muni","BICS_LEVEL_2_INDUSTRY_GROUP_NAME")</f>
        <v>#NAME?</v>
      </c>
      <c r="K1250" t="e">
        <f ca="1">BDP("924736HK Muni","SELF_REPRTD_GREEN_INSTR_INDCTR")</f>
        <v>#NAME?</v>
      </c>
      <c r="L1250" t="e">
        <f ca="1">BDP("924736HK Muni","GB_MANAGEMENT_PROCEEDS")</f>
        <v>#NAME?</v>
      </c>
      <c r="M1250" t="e">
        <f ca="1">BDP("924736HK Muni","GB_REPORTING")</f>
        <v>#NAME?</v>
      </c>
      <c r="N1250" t="e">
        <f ca="1">BDP("924736HK Muni","GB_ASSURANCE_PROVIDERS")</f>
        <v>#NAME?</v>
      </c>
      <c r="O1250" t="e">
        <f ca="1">BDP("924736HK Muni","GB_PROJECT_SELECTION_PROCESS")</f>
        <v>#NAME?</v>
      </c>
      <c r="P1250" t="e">
        <f ca="1">BDP("924736HK Muni","ESG_FRAMEWORK_INDICATOR")</f>
        <v>#NAME?</v>
      </c>
      <c r="Q1250" t="e">
        <f ca="1">BDP("924736HK Muni","BLOOMBERG_SECTOR_CODE")</f>
        <v>#NAME?</v>
      </c>
      <c r="R1250" t="e">
        <f ca="1">BDP("924736HK Muni","ISSUER_TYPE")</f>
        <v>#NAME?</v>
      </c>
      <c r="S1250" t="e">
        <f ca="1">BDS("924736HK Muni","ESG_PROJECT_CATEGORY", "aggregate=y")</f>
        <v>#NAME?</v>
      </c>
      <c r="T1250" t="e">
        <f ca="1">BDS("924736HK Muni","ESG_PROJECT_SUBCATEGORY", "aggregate=y")</f>
        <v>#NAME?</v>
      </c>
    </row>
    <row r="1251" spans="1:20" x14ac:dyDescent="0.25">
      <c r="A1251" t="e">
        <f ca="1">BDP("290096BX Muni","ID_CUSIP")</f>
        <v>#NAME?</v>
      </c>
      <c r="B1251" t="e">
        <f ca="1">BDP("290096BX Muni","STATE_CODE")</f>
        <v>#NAME?</v>
      </c>
      <c r="C1251" t="s">
        <v>78</v>
      </c>
      <c r="D1251" t="e">
        <f ca="1">BDP("290096BX Muni","YIELD_ON_ISSUE_DATE")</f>
        <v>#NAME?</v>
      </c>
      <c r="E1251">
        <v>125000</v>
      </c>
      <c r="F1251" t="e">
        <f ca="1">BDP("290096BX Muni","ISSUE_DT")</f>
        <v>#NAME?</v>
      </c>
      <c r="G1251" t="e">
        <f ca="1">BDP("290096BX Muni","MATURITY")</f>
        <v>#NAME?</v>
      </c>
      <c r="H1251" t="e">
        <f ca="1">BDP("290096BX Muni","MUNI_TAX_PROV")</f>
        <v>#NAME?</v>
      </c>
      <c r="I1251" t="e">
        <f ca="1">BDP("290096BX Muni","FINANCING_TYPE")</f>
        <v>#NAME?</v>
      </c>
      <c r="J1251" t="e">
        <f ca="1">BDP("290096BX Muni","BICS_LEVEL_2_INDUSTRY_GROUP_NAME")</f>
        <v>#NAME?</v>
      </c>
      <c r="K1251" t="e">
        <f ca="1">BDP("290096BX Muni","SELF_REPRTD_GREEN_INSTR_INDCTR")</f>
        <v>#NAME?</v>
      </c>
      <c r="L1251" t="e">
        <f ca="1">BDP("290096BX Muni","GB_MANAGEMENT_PROCEEDS")</f>
        <v>#NAME?</v>
      </c>
      <c r="M1251" t="e">
        <f ca="1">BDP("290096BX Muni","GB_REPORTING")</f>
        <v>#NAME?</v>
      </c>
      <c r="N1251" t="e">
        <f ca="1">BDP("290096BX Muni","GB_ASSURANCE_PROVIDERS")</f>
        <v>#NAME?</v>
      </c>
      <c r="O1251" t="e">
        <f ca="1">BDP("290096BX Muni","GB_PROJECT_SELECTION_PROCESS")</f>
        <v>#NAME?</v>
      </c>
      <c r="P1251" t="e">
        <f ca="1">BDP("290096BX Muni","ESG_FRAMEWORK_INDICATOR")</f>
        <v>#NAME?</v>
      </c>
      <c r="Q1251" t="e">
        <f ca="1">BDP("290096BX Muni","BLOOMBERG_SECTOR_CODE")</f>
        <v>#NAME?</v>
      </c>
      <c r="R1251" t="e">
        <f ca="1">BDP("290096BX Muni","ISSUER_TYPE")</f>
        <v>#NAME?</v>
      </c>
      <c r="S1251" t="e">
        <f ca="1">BDS("290096BX Muni","ESG_PROJECT_CATEGORY", "aggregate=y")</f>
        <v>#NAME?</v>
      </c>
      <c r="T1251" t="e">
        <f ca="1">BDS("290096BX Muni","ESG_PROJECT_SUBCATEGORY", "aggregate=y")</f>
        <v>#NAME?</v>
      </c>
    </row>
    <row r="1252" spans="1:20" x14ac:dyDescent="0.25">
      <c r="A1252" t="e">
        <f ca="1">BDP("476624EG Muni","ID_CUSIP")</f>
        <v>#NAME?</v>
      </c>
      <c r="B1252" t="e">
        <f ca="1">BDP("476624EG Muni","STATE_CODE")</f>
        <v>#NAME?</v>
      </c>
      <c r="C1252" t="s">
        <v>79</v>
      </c>
      <c r="D1252" t="e">
        <f ca="1">BDP("476624EG Muni","YIELD_ON_ISSUE_DATE")</f>
        <v>#NAME?</v>
      </c>
      <c r="E1252">
        <v>1595000</v>
      </c>
      <c r="F1252" t="e">
        <f ca="1">BDP("476624EG Muni","ISSUE_DT")</f>
        <v>#NAME?</v>
      </c>
      <c r="G1252" t="e">
        <f ca="1">BDP("476624EG Muni","MATURITY")</f>
        <v>#NAME?</v>
      </c>
      <c r="H1252" t="e">
        <f ca="1">BDP("476624EG Muni","MUNI_TAX_PROV")</f>
        <v>#NAME?</v>
      </c>
      <c r="I1252" t="e">
        <f ca="1">BDP("476624EG Muni","FINANCING_TYPE")</f>
        <v>#NAME?</v>
      </c>
      <c r="J1252" t="e">
        <f ca="1">BDP("476624EG Muni","BICS_LEVEL_2_INDUSTRY_GROUP_NAME")</f>
        <v>#NAME?</v>
      </c>
      <c r="K1252" t="e">
        <f ca="1">BDP("476624EG Muni","SELF_REPRTD_GREEN_INSTR_INDCTR")</f>
        <v>#NAME?</v>
      </c>
      <c r="L1252" t="e">
        <f ca="1">BDP("476624EG Muni","GB_MANAGEMENT_PROCEEDS")</f>
        <v>#NAME?</v>
      </c>
      <c r="M1252" t="e">
        <f ca="1">BDP("476624EG Muni","GB_REPORTING")</f>
        <v>#NAME?</v>
      </c>
      <c r="N1252" t="e">
        <f ca="1">BDP("476624EG Muni","GB_ASSURANCE_PROVIDERS")</f>
        <v>#NAME?</v>
      </c>
      <c r="O1252" t="e">
        <f ca="1">BDP("476624EG Muni","GB_PROJECT_SELECTION_PROCESS")</f>
        <v>#NAME?</v>
      </c>
      <c r="P1252" t="e">
        <f ca="1">BDP("476624EG Muni","ESG_FRAMEWORK_INDICATOR")</f>
        <v>#NAME?</v>
      </c>
      <c r="Q1252" t="e">
        <f ca="1">BDP("476624EG Muni","BLOOMBERG_SECTOR_CODE")</f>
        <v>#NAME?</v>
      </c>
      <c r="R1252" t="e">
        <f ca="1">BDP("476624EG Muni","ISSUER_TYPE")</f>
        <v>#NAME?</v>
      </c>
      <c r="S1252" t="e">
        <f ca="1">BDS("476624EG Muni","ESG_PROJECT_CATEGORY", "aggregate=y")</f>
        <v>#NAME?</v>
      </c>
      <c r="T1252" t="e">
        <f ca="1">BDS("476624EG Muni","ESG_PROJECT_SUBCATEGORY", "aggregate=y")</f>
        <v>#NAME?</v>
      </c>
    </row>
    <row r="1253" spans="1:20" x14ac:dyDescent="0.25">
      <c r="A1253" t="e">
        <f ca="1">BDP("924736HN Muni","ID_CUSIP")</f>
        <v>#NAME?</v>
      </c>
      <c r="B1253" t="e">
        <f ca="1">BDP("924736HN Muni","STATE_CODE")</f>
        <v>#NAME?</v>
      </c>
      <c r="C1253" t="s">
        <v>74</v>
      </c>
      <c r="D1253" t="e">
        <f ca="1">BDP("924736HN Muni","YIELD_ON_ISSUE_DATE")</f>
        <v>#NAME?</v>
      </c>
      <c r="E1253">
        <v>240000</v>
      </c>
      <c r="F1253" t="e">
        <f ca="1">BDP("924736HN Muni","ISSUE_DT")</f>
        <v>#NAME?</v>
      </c>
      <c r="G1253" t="e">
        <f ca="1">BDP("924736HN Muni","MATURITY")</f>
        <v>#NAME?</v>
      </c>
      <c r="H1253" t="e">
        <f ca="1">BDP("924736HN Muni","MUNI_TAX_PROV")</f>
        <v>#NAME?</v>
      </c>
      <c r="I1253" t="e">
        <f ca="1">BDP("924736HN Muni","FINANCING_TYPE")</f>
        <v>#NAME?</v>
      </c>
      <c r="J1253" t="e">
        <f ca="1">BDP("924736HN Muni","BICS_LEVEL_2_INDUSTRY_GROUP_NAME")</f>
        <v>#NAME?</v>
      </c>
      <c r="K1253" t="e">
        <f ca="1">BDP("924736HN Muni","SELF_REPRTD_GREEN_INSTR_INDCTR")</f>
        <v>#NAME?</v>
      </c>
      <c r="L1253" t="e">
        <f ca="1">BDP("924736HN Muni","GB_MANAGEMENT_PROCEEDS")</f>
        <v>#NAME?</v>
      </c>
      <c r="M1253" t="e">
        <f ca="1">BDP("924736HN Muni","GB_REPORTING")</f>
        <v>#NAME?</v>
      </c>
      <c r="N1253" t="e">
        <f ca="1">BDP("924736HN Muni","GB_ASSURANCE_PROVIDERS")</f>
        <v>#NAME?</v>
      </c>
      <c r="O1253" t="e">
        <f ca="1">BDP("924736HN Muni","GB_PROJECT_SELECTION_PROCESS")</f>
        <v>#NAME?</v>
      </c>
      <c r="P1253" t="e">
        <f ca="1">BDP("924736HN Muni","ESG_FRAMEWORK_INDICATOR")</f>
        <v>#NAME?</v>
      </c>
      <c r="Q1253" t="e">
        <f ca="1">BDP("924736HN Muni","BLOOMBERG_SECTOR_CODE")</f>
        <v>#NAME?</v>
      </c>
      <c r="R1253" t="e">
        <f ca="1">BDP("924736HN Muni","ISSUER_TYPE")</f>
        <v>#NAME?</v>
      </c>
      <c r="S1253" t="e">
        <f ca="1">BDS("924736HN Muni","ESG_PROJECT_CATEGORY", "aggregate=y")</f>
        <v>#NAME?</v>
      </c>
      <c r="T1253" t="e">
        <f ca="1">BDS("924736HN Muni","ESG_PROJECT_SUBCATEGORY", "aggregate=y")</f>
        <v>#NAME?</v>
      </c>
    </row>
    <row r="1254" spans="1:20" x14ac:dyDescent="0.25">
      <c r="A1254" t="e">
        <f ca="1">BDP("224525HU Muni","ID_CUSIP")</f>
        <v>#NAME?</v>
      </c>
      <c r="B1254" t="e">
        <f ca="1">BDP("224525HU Muni","STATE_CODE")</f>
        <v>#NAME?</v>
      </c>
      <c r="C1254" t="s">
        <v>77</v>
      </c>
      <c r="D1254" t="e">
        <f ca="1">BDP("224525HU Muni","YIELD_ON_ISSUE_DATE")</f>
        <v>#NAME?</v>
      </c>
      <c r="E1254">
        <v>270000</v>
      </c>
      <c r="F1254" t="e">
        <f ca="1">BDP("224525HU Muni","ISSUE_DT")</f>
        <v>#NAME?</v>
      </c>
      <c r="G1254" t="e">
        <f ca="1">BDP("224525HU Muni","MATURITY")</f>
        <v>#NAME?</v>
      </c>
      <c r="H1254" t="e">
        <f ca="1">BDP("224525HU Muni","MUNI_TAX_PROV")</f>
        <v>#NAME?</v>
      </c>
      <c r="I1254" t="e">
        <f ca="1">BDP("224525HU Muni","FINANCING_TYPE")</f>
        <v>#NAME?</v>
      </c>
      <c r="J1254" t="e">
        <f ca="1">BDP("224525HU Muni","BICS_LEVEL_2_INDUSTRY_GROUP_NAME")</f>
        <v>#NAME?</v>
      </c>
      <c r="K1254" t="e">
        <f ca="1">BDP("224525HU Muni","SELF_REPRTD_GREEN_INSTR_INDCTR")</f>
        <v>#NAME?</v>
      </c>
      <c r="L1254" t="e">
        <f ca="1">BDP("224525HU Muni","GB_MANAGEMENT_PROCEEDS")</f>
        <v>#NAME?</v>
      </c>
      <c r="M1254" t="e">
        <f ca="1">BDP("224525HU Muni","GB_REPORTING")</f>
        <v>#NAME?</v>
      </c>
      <c r="N1254" t="e">
        <f ca="1">BDP("224525HU Muni","GB_ASSURANCE_PROVIDERS")</f>
        <v>#NAME?</v>
      </c>
      <c r="O1254" t="e">
        <f ca="1">BDP("224525HU Muni","GB_PROJECT_SELECTION_PROCESS")</f>
        <v>#NAME?</v>
      </c>
      <c r="P1254" t="e">
        <f ca="1">BDP("224525HU Muni","ESG_FRAMEWORK_INDICATOR")</f>
        <v>#NAME?</v>
      </c>
      <c r="Q1254" t="e">
        <f ca="1">BDP("224525HU Muni","BLOOMBERG_SECTOR_CODE")</f>
        <v>#NAME?</v>
      </c>
      <c r="R1254" t="e">
        <f ca="1">BDP("224525HU Muni","ISSUER_TYPE")</f>
        <v>#NAME?</v>
      </c>
      <c r="S1254" t="e">
        <f ca="1">BDS("224525HU Muni","ESG_PROJECT_CATEGORY", "aggregate=y")</f>
        <v>#NAME?</v>
      </c>
      <c r="T1254" t="e">
        <f ca="1">BDS("224525HU Muni","ESG_PROJECT_SUBCATEGORY", "aggregate=y")</f>
        <v>#NAME?</v>
      </c>
    </row>
    <row r="1255" spans="1:20" x14ac:dyDescent="0.25">
      <c r="A1255" t="e">
        <f ca="1">BDP("224525HY Muni","ID_CUSIP")</f>
        <v>#NAME?</v>
      </c>
      <c r="B1255" t="e">
        <f ca="1">BDP("224525HY Muni","STATE_CODE")</f>
        <v>#NAME?</v>
      </c>
      <c r="C1255" t="s">
        <v>77</v>
      </c>
      <c r="D1255" t="e">
        <f ca="1">BDP("224525HY Muni","YIELD_ON_ISSUE_DATE")</f>
        <v>#NAME?</v>
      </c>
      <c r="E1255">
        <v>365000</v>
      </c>
      <c r="F1255" t="e">
        <f ca="1">BDP("224525HY Muni","ISSUE_DT")</f>
        <v>#NAME?</v>
      </c>
      <c r="G1255" t="e">
        <f ca="1">BDP("224525HY Muni","MATURITY")</f>
        <v>#NAME?</v>
      </c>
      <c r="H1255" t="e">
        <f ca="1">BDP("224525HY Muni","MUNI_TAX_PROV")</f>
        <v>#NAME?</v>
      </c>
      <c r="I1255" t="e">
        <f ca="1">BDP("224525HY Muni","FINANCING_TYPE")</f>
        <v>#NAME?</v>
      </c>
      <c r="J1255" t="e">
        <f ca="1">BDP("224525HY Muni","BICS_LEVEL_2_INDUSTRY_GROUP_NAME")</f>
        <v>#NAME?</v>
      </c>
      <c r="K1255" t="e">
        <f ca="1">BDP("224525HY Muni","SELF_REPRTD_GREEN_INSTR_INDCTR")</f>
        <v>#NAME?</v>
      </c>
      <c r="L1255" t="e">
        <f ca="1">BDP("224525HY Muni","GB_MANAGEMENT_PROCEEDS")</f>
        <v>#NAME?</v>
      </c>
      <c r="M1255" t="e">
        <f ca="1">BDP("224525HY Muni","GB_REPORTING")</f>
        <v>#NAME?</v>
      </c>
      <c r="N1255" t="e">
        <f ca="1">BDP("224525HY Muni","GB_ASSURANCE_PROVIDERS")</f>
        <v>#NAME?</v>
      </c>
      <c r="O1255" t="e">
        <f ca="1">BDP("224525HY Muni","GB_PROJECT_SELECTION_PROCESS")</f>
        <v>#NAME?</v>
      </c>
      <c r="P1255" t="e">
        <f ca="1">BDP("224525HY Muni","ESG_FRAMEWORK_INDICATOR")</f>
        <v>#NAME?</v>
      </c>
      <c r="Q1255" t="e">
        <f ca="1">BDP("224525HY Muni","BLOOMBERG_SECTOR_CODE")</f>
        <v>#NAME?</v>
      </c>
      <c r="R1255" t="e">
        <f ca="1">BDP("224525HY Muni","ISSUER_TYPE")</f>
        <v>#NAME?</v>
      </c>
      <c r="S1255" t="e">
        <f ca="1">BDS("224525HY Muni","ESG_PROJECT_CATEGORY", "aggregate=y")</f>
        <v>#NAME?</v>
      </c>
      <c r="T1255" t="e">
        <f ca="1">BDS("224525HY Muni","ESG_PROJECT_SUBCATEGORY", "aggregate=y")</f>
        <v>#NAME?</v>
      </c>
    </row>
    <row r="1256" spans="1:20" x14ac:dyDescent="0.25">
      <c r="A1256" t="e">
        <f ca="1">BDP("224525JL Muni","ID_CUSIP")</f>
        <v>#NAME?</v>
      </c>
      <c r="B1256" t="e">
        <f ca="1">BDP("224525JL Muni","STATE_CODE")</f>
        <v>#NAME?</v>
      </c>
      <c r="C1256" t="s">
        <v>77</v>
      </c>
      <c r="D1256" t="e">
        <f ca="1">BDP("224525JL Muni","YIELD_ON_ISSUE_DATE")</f>
        <v>#NAME?</v>
      </c>
      <c r="E1256">
        <v>465000</v>
      </c>
      <c r="F1256" t="e">
        <f ca="1">BDP("224525JL Muni","ISSUE_DT")</f>
        <v>#NAME?</v>
      </c>
      <c r="G1256" t="e">
        <f ca="1">BDP("224525JL Muni","MATURITY")</f>
        <v>#NAME?</v>
      </c>
      <c r="H1256" t="e">
        <f ca="1">BDP("224525JL Muni","MUNI_TAX_PROV")</f>
        <v>#NAME?</v>
      </c>
      <c r="I1256" t="e">
        <f ca="1">BDP("224525JL Muni","FINANCING_TYPE")</f>
        <v>#NAME?</v>
      </c>
      <c r="J1256" t="e">
        <f ca="1">BDP("224525JL Muni","BICS_LEVEL_2_INDUSTRY_GROUP_NAME")</f>
        <v>#NAME?</v>
      </c>
      <c r="K1256" t="e">
        <f ca="1">BDP("224525JL Muni","SELF_REPRTD_GREEN_INSTR_INDCTR")</f>
        <v>#NAME?</v>
      </c>
      <c r="L1256" t="e">
        <f ca="1">BDP("224525JL Muni","GB_MANAGEMENT_PROCEEDS")</f>
        <v>#NAME?</v>
      </c>
      <c r="M1256" t="e">
        <f ca="1">BDP("224525JL Muni","GB_REPORTING")</f>
        <v>#NAME?</v>
      </c>
      <c r="N1256" t="e">
        <f ca="1">BDP("224525JL Muni","GB_ASSURANCE_PROVIDERS")</f>
        <v>#NAME?</v>
      </c>
      <c r="O1256" t="e">
        <f ca="1">BDP("224525JL Muni","GB_PROJECT_SELECTION_PROCESS")</f>
        <v>#NAME?</v>
      </c>
      <c r="P1256" t="e">
        <f ca="1">BDP("224525JL Muni","ESG_FRAMEWORK_INDICATOR")</f>
        <v>#NAME?</v>
      </c>
      <c r="Q1256" t="e">
        <f ca="1">BDP("224525JL Muni","BLOOMBERG_SECTOR_CODE")</f>
        <v>#NAME?</v>
      </c>
      <c r="R1256" t="e">
        <f ca="1">BDP("224525JL Muni","ISSUER_TYPE")</f>
        <v>#NAME?</v>
      </c>
      <c r="S1256" t="e">
        <f ca="1">BDS("224525JL Muni","ESG_PROJECT_CATEGORY", "aggregate=y")</f>
        <v>#NAME?</v>
      </c>
      <c r="T1256" t="e">
        <f ca="1">BDS("224525JL Muni","ESG_PROJECT_SUBCATEGORY", "aggregate=y")</f>
        <v>#NAME?</v>
      </c>
    </row>
    <row r="1257" spans="1:20" x14ac:dyDescent="0.25">
      <c r="A1257" t="e">
        <f ca="1">BDP("476624DW Muni","ID_CUSIP")</f>
        <v>#NAME?</v>
      </c>
      <c r="B1257" t="e">
        <f ca="1">BDP("476624DW Muni","STATE_CODE")</f>
        <v>#NAME?</v>
      </c>
      <c r="C1257" t="s">
        <v>79</v>
      </c>
      <c r="D1257" t="e">
        <f ca="1">BDP("476624DW Muni","YIELD_ON_ISSUE_DATE")</f>
        <v>#NAME?</v>
      </c>
      <c r="E1257">
        <v>915000</v>
      </c>
      <c r="F1257" t="e">
        <f ca="1">BDP("476624DW Muni","ISSUE_DT")</f>
        <v>#NAME?</v>
      </c>
      <c r="G1257" t="e">
        <f ca="1">BDP("476624DW Muni","MATURITY")</f>
        <v>#NAME?</v>
      </c>
      <c r="H1257" t="e">
        <f ca="1">BDP("476624DW Muni","MUNI_TAX_PROV")</f>
        <v>#NAME?</v>
      </c>
      <c r="I1257" t="e">
        <f ca="1">BDP("476624DW Muni","FINANCING_TYPE")</f>
        <v>#NAME?</v>
      </c>
      <c r="J1257" t="e">
        <f ca="1">BDP("476624DW Muni","BICS_LEVEL_2_INDUSTRY_GROUP_NAME")</f>
        <v>#NAME?</v>
      </c>
      <c r="K1257" t="e">
        <f ca="1">BDP("476624DW Muni","SELF_REPRTD_GREEN_INSTR_INDCTR")</f>
        <v>#NAME?</v>
      </c>
      <c r="L1257" t="e">
        <f ca="1">BDP("476624DW Muni","GB_MANAGEMENT_PROCEEDS")</f>
        <v>#NAME?</v>
      </c>
      <c r="M1257" t="e">
        <f ca="1">BDP("476624DW Muni","GB_REPORTING")</f>
        <v>#NAME?</v>
      </c>
      <c r="N1257" t="e">
        <f ca="1">BDP("476624DW Muni","GB_ASSURANCE_PROVIDERS")</f>
        <v>#NAME?</v>
      </c>
      <c r="O1257" t="e">
        <f ca="1">BDP("476624DW Muni","GB_PROJECT_SELECTION_PROCESS")</f>
        <v>#NAME?</v>
      </c>
      <c r="P1257" t="e">
        <f ca="1">BDP("476624DW Muni","ESG_FRAMEWORK_INDICATOR")</f>
        <v>#NAME?</v>
      </c>
      <c r="Q1257" t="e">
        <f ca="1">BDP("476624DW Muni","BLOOMBERG_SECTOR_CODE")</f>
        <v>#NAME?</v>
      </c>
      <c r="R1257" t="e">
        <f ca="1">BDP("476624DW Muni","ISSUER_TYPE")</f>
        <v>#NAME?</v>
      </c>
      <c r="S1257" t="e">
        <f ca="1">BDS("476624DW Muni","ESG_PROJECT_CATEGORY", "aggregate=y")</f>
        <v>#NAME?</v>
      </c>
      <c r="T1257" t="e">
        <f ca="1">BDS("476624DW Muni","ESG_PROJECT_SUBCATEGORY", "aggregate=y")</f>
        <v>#NAME?</v>
      </c>
    </row>
    <row r="1258" spans="1:20" x14ac:dyDescent="0.25">
      <c r="A1258" t="e">
        <f ca="1">BDP("476624EA Muni","ID_CUSIP")</f>
        <v>#NAME?</v>
      </c>
      <c r="B1258" t="e">
        <f ca="1">BDP("476624EA Muni","STATE_CODE")</f>
        <v>#NAME?</v>
      </c>
      <c r="C1258" t="s">
        <v>79</v>
      </c>
      <c r="D1258" t="e">
        <f ca="1">BDP("476624EA Muni","YIELD_ON_ISSUE_DATE")</f>
        <v>#NAME?</v>
      </c>
      <c r="E1258">
        <v>1140000</v>
      </c>
      <c r="F1258" t="e">
        <f ca="1">BDP("476624EA Muni","ISSUE_DT")</f>
        <v>#NAME?</v>
      </c>
      <c r="G1258" t="e">
        <f ca="1">BDP("476624EA Muni","MATURITY")</f>
        <v>#NAME?</v>
      </c>
      <c r="H1258" t="e">
        <f ca="1">BDP("476624EA Muni","MUNI_TAX_PROV")</f>
        <v>#NAME?</v>
      </c>
      <c r="I1258" t="e">
        <f ca="1">BDP("476624EA Muni","FINANCING_TYPE")</f>
        <v>#NAME?</v>
      </c>
      <c r="J1258" t="e">
        <f ca="1">BDP("476624EA Muni","BICS_LEVEL_2_INDUSTRY_GROUP_NAME")</f>
        <v>#NAME?</v>
      </c>
      <c r="K1258" t="e">
        <f ca="1">BDP("476624EA Muni","SELF_REPRTD_GREEN_INSTR_INDCTR")</f>
        <v>#NAME?</v>
      </c>
      <c r="L1258" t="e">
        <f ca="1">BDP("476624EA Muni","GB_MANAGEMENT_PROCEEDS")</f>
        <v>#NAME?</v>
      </c>
      <c r="M1258" t="e">
        <f ca="1">BDP("476624EA Muni","GB_REPORTING")</f>
        <v>#NAME?</v>
      </c>
      <c r="N1258" t="e">
        <f ca="1">BDP("476624EA Muni","GB_ASSURANCE_PROVIDERS")</f>
        <v>#NAME?</v>
      </c>
      <c r="O1258" t="e">
        <f ca="1">BDP("476624EA Muni","GB_PROJECT_SELECTION_PROCESS")</f>
        <v>#NAME?</v>
      </c>
      <c r="P1258" t="e">
        <f ca="1">BDP("476624EA Muni","ESG_FRAMEWORK_INDICATOR")</f>
        <v>#NAME?</v>
      </c>
      <c r="Q1258" t="e">
        <f ca="1">BDP("476624EA Muni","BLOOMBERG_SECTOR_CODE")</f>
        <v>#NAME?</v>
      </c>
      <c r="R1258" t="e">
        <f ca="1">BDP("476624EA Muni","ISSUER_TYPE")</f>
        <v>#NAME?</v>
      </c>
      <c r="S1258" t="e">
        <f ca="1">BDS("476624EA Muni","ESG_PROJECT_CATEGORY", "aggregate=y")</f>
        <v>#NAME?</v>
      </c>
      <c r="T1258" t="e">
        <f ca="1">BDS("476624EA Muni","ESG_PROJECT_SUBCATEGORY", "aggregate=y")</f>
        <v>#NAME?</v>
      </c>
    </row>
    <row r="1259" spans="1:20" x14ac:dyDescent="0.25">
      <c r="A1259" t="e">
        <f ca="1">BDP("611312QH Muni","ID_CUSIP")</f>
        <v>#NAME?</v>
      </c>
      <c r="B1259" t="e">
        <f ca="1">BDP("611312QH Muni","STATE_CODE")</f>
        <v>#NAME?</v>
      </c>
      <c r="C1259" t="s">
        <v>81</v>
      </c>
      <c r="D1259" t="e">
        <f ca="1">BDP("611312QH Muni","YIELD_ON_ISSUE_DATE")</f>
        <v>#NAME?</v>
      </c>
      <c r="E1259">
        <v>3330000</v>
      </c>
      <c r="F1259" t="e">
        <f ca="1">BDP("611312QH Muni","ISSUE_DT")</f>
        <v>#NAME?</v>
      </c>
      <c r="G1259" t="e">
        <f ca="1">BDP("611312QH Muni","MATURITY")</f>
        <v>#NAME?</v>
      </c>
      <c r="H1259" t="e">
        <f ca="1">BDP("611312QH Muni","MUNI_TAX_PROV")</f>
        <v>#NAME?</v>
      </c>
      <c r="I1259" t="e">
        <f ca="1">BDP("611312QH Muni","FINANCING_TYPE")</f>
        <v>#NAME?</v>
      </c>
      <c r="J1259" t="e">
        <f ca="1">BDP("611312QH Muni","BICS_LEVEL_2_INDUSTRY_GROUP_NAME")</f>
        <v>#NAME?</v>
      </c>
      <c r="K1259" t="e">
        <f ca="1">BDP("611312QH Muni","SELF_REPRTD_GREEN_INSTR_INDCTR")</f>
        <v>#NAME?</v>
      </c>
      <c r="L1259" t="e">
        <f ca="1">BDP("611312QH Muni","GB_MANAGEMENT_PROCEEDS")</f>
        <v>#NAME?</v>
      </c>
      <c r="M1259" t="e">
        <f ca="1">BDP("611312QH Muni","GB_REPORTING")</f>
        <v>#NAME?</v>
      </c>
      <c r="N1259" t="e">
        <f ca="1">BDP("611312QH Muni","GB_ASSURANCE_PROVIDERS")</f>
        <v>#NAME?</v>
      </c>
      <c r="O1259" t="e">
        <f ca="1">BDP("611312QH Muni","GB_PROJECT_SELECTION_PROCESS")</f>
        <v>#NAME?</v>
      </c>
      <c r="P1259" t="e">
        <f ca="1">BDP("611312QH Muni","ESG_FRAMEWORK_INDICATOR")</f>
        <v>#NAME?</v>
      </c>
      <c r="Q1259" t="e">
        <f ca="1">BDP("611312QH Muni","BLOOMBERG_SECTOR_CODE")</f>
        <v>#NAME?</v>
      </c>
      <c r="R1259" t="e">
        <f ca="1">BDP("611312QH Muni","ISSUER_TYPE")</f>
        <v>#NAME?</v>
      </c>
      <c r="S1259" t="e">
        <f ca="1">BDS("611312QH Muni","ESG_PROJECT_CATEGORY", "aggregate=y")</f>
        <v>#NAME?</v>
      </c>
      <c r="T1259" t="e">
        <f ca="1">BDS("611312QH Muni","ESG_PROJECT_SUBCATEGORY", "aggregate=y")</f>
        <v>#NAME?</v>
      </c>
    </row>
    <row r="1260" spans="1:20" x14ac:dyDescent="0.25">
      <c r="A1260" t="e">
        <f ca="1">BDP("924736HU Muni","ID_CUSIP")</f>
        <v>#NAME?</v>
      </c>
      <c r="B1260" t="e">
        <f ca="1">BDP("924736HU Muni","STATE_CODE")</f>
        <v>#NAME?</v>
      </c>
      <c r="C1260" t="s">
        <v>74</v>
      </c>
      <c r="D1260" t="e">
        <f ca="1">BDP("924736HU Muni","YIELD_ON_ISSUE_DATE")</f>
        <v>#NAME?</v>
      </c>
      <c r="E1260">
        <v>295000</v>
      </c>
      <c r="F1260" t="e">
        <f ca="1">BDP("924736HU Muni","ISSUE_DT")</f>
        <v>#NAME?</v>
      </c>
      <c r="G1260" t="e">
        <f ca="1">BDP("924736HU Muni","MATURITY")</f>
        <v>#NAME?</v>
      </c>
      <c r="H1260" t="e">
        <f ca="1">BDP("924736HU Muni","MUNI_TAX_PROV")</f>
        <v>#NAME?</v>
      </c>
      <c r="I1260" t="e">
        <f ca="1">BDP("924736HU Muni","FINANCING_TYPE")</f>
        <v>#NAME?</v>
      </c>
      <c r="J1260" t="e">
        <f ca="1">BDP("924736HU Muni","BICS_LEVEL_2_INDUSTRY_GROUP_NAME")</f>
        <v>#NAME?</v>
      </c>
      <c r="K1260" t="e">
        <f ca="1">BDP("924736HU Muni","SELF_REPRTD_GREEN_INSTR_INDCTR")</f>
        <v>#NAME?</v>
      </c>
      <c r="L1260" t="e">
        <f ca="1">BDP("924736HU Muni","GB_MANAGEMENT_PROCEEDS")</f>
        <v>#NAME?</v>
      </c>
      <c r="M1260" t="e">
        <f ca="1">BDP("924736HU Muni","GB_REPORTING")</f>
        <v>#NAME?</v>
      </c>
      <c r="N1260" t="e">
        <f ca="1">BDP("924736HU Muni","GB_ASSURANCE_PROVIDERS")</f>
        <v>#NAME?</v>
      </c>
      <c r="O1260" t="e">
        <f ca="1">BDP("924736HU Muni","GB_PROJECT_SELECTION_PROCESS")</f>
        <v>#NAME?</v>
      </c>
      <c r="P1260" t="e">
        <f ca="1">BDP("924736HU Muni","ESG_FRAMEWORK_INDICATOR")</f>
        <v>#NAME?</v>
      </c>
      <c r="Q1260" t="e">
        <f ca="1">BDP("924736HU Muni","BLOOMBERG_SECTOR_CODE")</f>
        <v>#NAME?</v>
      </c>
      <c r="R1260" t="e">
        <f ca="1">BDP("924736HU Muni","ISSUER_TYPE")</f>
        <v>#NAME?</v>
      </c>
      <c r="S1260" t="e">
        <f ca="1">BDS("924736HU Muni","ESG_PROJECT_CATEGORY", "aggregate=y")</f>
        <v>#NAME?</v>
      </c>
      <c r="T1260" t="e">
        <f ca="1">BDS("924736HU Muni","ESG_PROJECT_SUBCATEGORY", "aggregate=y")</f>
        <v>#NAME?</v>
      </c>
    </row>
    <row r="1261" spans="1:20" x14ac:dyDescent="0.25">
      <c r="A1261" t="e">
        <f ca="1">BDP("927405AZ Muni","ID_CUSIP")</f>
        <v>#NAME?</v>
      </c>
      <c r="B1261" t="e">
        <f ca="1">BDP("927405AZ Muni","STATE_CODE")</f>
        <v>#NAME?</v>
      </c>
      <c r="C1261" t="s">
        <v>75</v>
      </c>
      <c r="D1261" t="e">
        <f ca="1">BDP("927405AZ Muni","YIELD_ON_ISSUE_DATE")</f>
        <v>#NAME?</v>
      </c>
      <c r="E1261">
        <v>1005000</v>
      </c>
      <c r="F1261" t="e">
        <f ca="1">BDP("927405AZ Muni","ISSUE_DT")</f>
        <v>#NAME?</v>
      </c>
      <c r="G1261" t="e">
        <f ca="1">BDP("927405AZ Muni","MATURITY")</f>
        <v>#NAME?</v>
      </c>
      <c r="H1261" t="e">
        <f ca="1">BDP("927405AZ Muni","MUNI_TAX_PROV")</f>
        <v>#NAME?</v>
      </c>
      <c r="I1261" t="e">
        <f ca="1">BDP("927405AZ Muni","FINANCING_TYPE")</f>
        <v>#NAME?</v>
      </c>
      <c r="J1261" t="e">
        <f ca="1">BDP("927405AZ Muni","BICS_LEVEL_2_INDUSTRY_GROUP_NAME")</f>
        <v>#NAME?</v>
      </c>
      <c r="K1261" t="e">
        <f ca="1">BDP("927405AZ Muni","SELF_REPRTD_GREEN_INSTR_INDCTR")</f>
        <v>#NAME?</v>
      </c>
      <c r="L1261" t="e">
        <f ca="1">BDP("927405AZ Muni","GB_MANAGEMENT_PROCEEDS")</f>
        <v>#NAME?</v>
      </c>
      <c r="M1261" t="e">
        <f ca="1">BDP("927405AZ Muni","GB_REPORTING")</f>
        <v>#NAME?</v>
      </c>
      <c r="N1261" t="e">
        <f ca="1">BDP("927405AZ Muni","GB_ASSURANCE_PROVIDERS")</f>
        <v>#NAME?</v>
      </c>
      <c r="O1261" t="e">
        <f ca="1">BDP("927405AZ Muni","GB_PROJECT_SELECTION_PROCESS")</f>
        <v>#NAME?</v>
      </c>
      <c r="P1261" t="e">
        <f ca="1">BDP("927405AZ Muni","ESG_FRAMEWORK_INDICATOR")</f>
        <v>#NAME?</v>
      </c>
      <c r="Q1261" t="e">
        <f ca="1">BDP("927405AZ Muni","BLOOMBERG_SECTOR_CODE")</f>
        <v>#NAME?</v>
      </c>
      <c r="R1261" t="e">
        <f ca="1">BDP("927405AZ Muni","ISSUER_TYPE")</f>
        <v>#NAME?</v>
      </c>
      <c r="S1261" t="e">
        <f ca="1">BDS("927405AZ Muni","ESG_PROJECT_CATEGORY", "aggregate=y")</f>
        <v>#NAME?</v>
      </c>
      <c r="T1261" t="e">
        <f ca="1">BDS("927405AZ Muni","ESG_PROJECT_SUBCATEGORY", "aggregate=y")</f>
        <v>#NAME?</v>
      </c>
    </row>
    <row r="1262" spans="1:20" x14ac:dyDescent="0.25">
      <c r="A1262" t="e">
        <f ca="1">BDP("224525HV Muni","ID_CUSIP")</f>
        <v>#NAME?</v>
      </c>
      <c r="B1262" t="e">
        <f ca="1">BDP("224525HV Muni","STATE_CODE")</f>
        <v>#NAME?</v>
      </c>
      <c r="C1262" t="s">
        <v>77</v>
      </c>
      <c r="D1262" t="e">
        <f ca="1">BDP("224525HV Muni","YIELD_ON_ISSUE_DATE")</f>
        <v>#NAME?</v>
      </c>
      <c r="E1262">
        <v>295000</v>
      </c>
      <c r="F1262" t="e">
        <f ca="1">BDP("224525HV Muni","ISSUE_DT")</f>
        <v>#NAME?</v>
      </c>
      <c r="G1262" t="e">
        <f ca="1">BDP("224525HV Muni","MATURITY")</f>
        <v>#NAME?</v>
      </c>
      <c r="H1262" t="e">
        <f ca="1">BDP("224525HV Muni","MUNI_TAX_PROV")</f>
        <v>#NAME?</v>
      </c>
      <c r="I1262" t="e">
        <f ca="1">BDP("224525HV Muni","FINANCING_TYPE")</f>
        <v>#NAME?</v>
      </c>
      <c r="J1262" t="e">
        <f ca="1">BDP("224525HV Muni","BICS_LEVEL_2_INDUSTRY_GROUP_NAME")</f>
        <v>#NAME?</v>
      </c>
      <c r="K1262" t="e">
        <f ca="1">BDP("224525HV Muni","SELF_REPRTD_GREEN_INSTR_INDCTR")</f>
        <v>#NAME?</v>
      </c>
      <c r="L1262" t="e">
        <f ca="1">BDP("224525HV Muni","GB_MANAGEMENT_PROCEEDS")</f>
        <v>#NAME?</v>
      </c>
      <c r="M1262" t="e">
        <f ca="1">BDP("224525HV Muni","GB_REPORTING")</f>
        <v>#NAME?</v>
      </c>
      <c r="N1262" t="e">
        <f ca="1">BDP("224525HV Muni","GB_ASSURANCE_PROVIDERS")</f>
        <v>#NAME?</v>
      </c>
      <c r="O1262" t="e">
        <f ca="1">BDP("224525HV Muni","GB_PROJECT_SELECTION_PROCESS")</f>
        <v>#NAME?</v>
      </c>
      <c r="P1262" t="e">
        <f ca="1">BDP("224525HV Muni","ESG_FRAMEWORK_INDICATOR")</f>
        <v>#NAME?</v>
      </c>
      <c r="Q1262" t="e">
        <f ca="1">BDP("224525HV Muni","BLOOMBERG_SECTOR_CODE")</f>
        <v>#NAME?</v>
      </c>
      <c r="R1262" t="e">
        <f ca="1">BDP("224525HV Muni","ISSUER_TYPE")</f>
        <v>#NAME?</v>
      </c>
      <c r="S1262" t="e">
        <f ca="1">BDS("224525HV Muni","ESG_PROJECT_CATEGORY", "aggregate=y")</f>
        <v>#NAME?</v>
      </c>
      <c r="T1262" t="e">
        <f ca="1">BDS("224525HV Muni","ESG_PROJECT_SUBCATEGORY", "aggregate=y")</f>
        <v>#NAME?</v>
      </c>
    </row>
    <row r="1263" spans="1:20" x14ac:dyDescent="0.25">
      <c r="A1263" t="e">
        <f ca="1">BDP("290096BZ Muni","ID_CUSIP")</f>
        <v>#NAME?</v>
      </c>
      <c r="B1263" t="e">
        <f ca="1">BDP("290096BZ Muni","STATE_CODE")</f>
        <v>#NAME?</v>
      </c>
      <c r="C1263" t="s">
        <v>78</v>
      </c>
      <c r="D1263" t="e">
        <f ca="1">BDP("290096BZ Muni","YIELD_ON_ISSUE_DATE")</f>
        <v>#NAME?</v>
      </c>
      <c r="E1263">
        <v>140000</v>
      </c>
      <c r="F1263" t="e">
        <f ca="1">BDP("290096BZ Muni","ISSUE_DT")</f>
        <v>#NAME?</v>
      </c>
      <c r="G1263" t="e">
        <f ca="1">BDP("290096BZ Muni","MATURITY")</f>
        <v>#NAME?</v>
      </c>
      <c r="H1263" t="e">
        <f ca="1">BDP("290096BZ Muni","MUNI_TAX_PROV")</f>
        <v>#NAME?</v>
      </c>
      <c r="I1263" t="e">
        <f ca="1">BDP("290096BZ Muni","FINANCING_TYPE")</f>
        <v>#NAME?</v>
      </c>
      <c r="J1263" t="e">
        <f ca="1">BDP("290096BZ Muni","BICS_LEVEL_2_INDUSTRY_GROUP_NAME")</f>
        <v>#NAME?</v>
      </c>
      <c r="K1263" t="e">
        <f ca="1">BDP("290096BZ Muni","SELF_REPRTD_GREEN_INSTR_INDCTR")</f>
        <v>#NAME?</v>
      </c>
      <c r="L1263" t="e">
        <f ca="1">BDP("290096BZ Muni","GB_MANAGEMENT_PROCEEDS")</f>
        <v>#NAME?</v>
      </c>
      <c r="M1263" t="e">
        <f ca="1">BDP("290096BZ Muni","GB_REPORTING")</f>
        <v>#NAME?</v>
      </c>
      <c r="N1263" t="e">
        <f ca="1">BDP("290096BZ Muni","GB_ASSURANCE_PROVIDERS")</f>
        <v>#NAME?</v>
      </c>
      <c r="O1263" t="e">
        <f ca="1">BDP("290096BZ Muni","GB_PROJECT_SELECTION_PROCESS")</f>
        <v>#NAME?</v>
      </c>
      <c r="P1263" t="e">
        <f ca="1">BDP("290096BZ Muni","ESG_FRAMEWORK_INDICATOR")</f>
        <v>#NAME?</v>
      </c>
      <c r="Q1263" t="e">
        <f ca="1">BDP("290096BZ Muni","BLOOMBERG_SECTOR_CODE")</f>
        <v>#NAME?</v>
      </c>
      <c r="R1263" t="e">
        <f ca="1">BDP("290096BZ Muni","ISSUER_TYPE")</f>
        <v>#NAME?</v>
      </c>
      <c r="S1263" t="e">
        <f ca="1">BDS("290096BZ Muni","ESG_PROJECT_CATEGORY", "aggregate=y")</f>
        <v>#NAME?</v>
      </c>
      <c r="T1263" t="e">
        <f ca="1">BDS("290096BZ Muni","ESG_PROJECT_SUBCATEGORY", "aggregate=y")</f>
        <v>#NAME?</v>
      </c>
    </row>
    <row r="1264" spans="1:20" x14ac:dyDescent="0.25">
      <c r="A1264" t="e">
        <f ca="1">BDP("290096CA Muni","ID_CUSIP")</f>
        <v>#NAME?</v>
      </c>
      <c r="B1264" t="e">
        <f ca="1">BDP("290096CA Muni","STATE_CODE")</f>
        <v>#NAME?</v>
      </c>
      <c r="C1264" t="s">
        <v>78</v>
      </c>
      <c r="D1264" t="e">
        <f ca="1">BDP("290096CA Muni","YIELD_ON_ISSUE_DATE")</f>
        <v>#NAME?</v>
      </c>
      <c r="E1264">
        <v>155000</v>
      </c>
      <c r="F1264" t="e">
        <f ca="1">BDP("290096CA Muni","ISSUE_DT")</f>
        <v>#NAME?</v>
      </c>
      <c r="G1264" t="e">
        <f ca="1">BDP("290096CA Muni","MATURITY")</f>
        <v>#NAME?</v>
      </c>
      <c r="H1264" t="e">
        <f ca="1">BDP("290096CA Muni","MUNI_TAX_PROV")</f>
        <v>#NAME?</v>
      </c>
      <c r="I1264" t="e">
        <f ca="1">BDP("290096CA Muni","FINANCING_TYPE")</f>
        <v>#NAME?</v>
      </c>
      <c r="J1264" t="e">
        <f ca="1">BDP("290096CA Muni","BICS_LEVEL_2_INDUSTRY_GROUP_NAME")</f>
        <v>#NAME?</v>
      </c>
      <c r="K1264" t="e">
        <f ca="1">BDP("290096CA Muni","SELF_REPRTD_GREEN_INSTR_INDCTR")</f>
        <v>#NAME?</v>
      </c>
      <c r="L1264" t="e">
        <f ca="1">BDP("290096CA Muni","GB_MANAGEMENT_PROCEEDS")</f>
        <v>#NAME?</v>
      </c>
      <c r="M1264" t="e">
        <f ca="1">BDP("290096CA Muni","GB_REPORTING")</f>
        <v>#NAME?</v>
      </c>
      <c r="N1264" t="e">
        <f ca="1">BDP("290096CA Muni","GB_ASSURANCE_PROVIDERS")</f>
        <v>#NAME?</v>
      </c>
      <c r="O1264" t="e">
        <f ca="1">BDP("290096CA Muni","GB_PROJECT_SELECTION_PROCESS")</f>
        <v>#NAME?</v>
      </c>
      <c r="P1264" t="e">
        <f ca="1">BDP("290096CA Muni","ESG_FRAMEWORK_INDICATOR")</f>
        <v>#NAME?</v>
      </c>
      <c r="Q1264" t="e">
        <f ca="1">BDP("290096CA Muni","BLOOMBERG_SECTOR_CODE")</f>
        <v>#NAME?</v>
      </c>
      <c r="R1264" t="e">
        <f ca="1">BDP("290096CA Muni","ISSUER_TYPE")</f>
        <v>#NAME?</v>
      </c>
      <c r="S1264" t="e">
        <f ca="1">BDS("290096CA Muni","ESG_PROJECT_CATEGORY", "aggregate=y")</f>
        <v>#NAME?</v>
      </c>
      <c r="T1264" t="e">
        <f ca="1">BDS("290096CA Muni","ESG_PROJECT_SUBCATEGORY", "aggregate=y")</f>
        <v>#NAME?</v>
      </c>
    </row>
    <row r="1265" spans="1:20" x14ac:dyDescent="0.25">
      <c r="A1265" t="e">
        <f ca="1">BDP("476624DT Muni","ID_CUSIP")</f>
        <v>#NAME?</v>
      </c>
      <c r="B1265" t="e">
        <f ca="1">BDP("476624DT Muni","STATE_CODE")</f>
        <v>#NAME?</v>
      </c>
      <c r="C1265" t="s">
        <v>79</v>
      </c>
      <c r="D1265" t="e">
        <f ca="1">BDP("476624DT Muni","YIELD_ON_ISSUE_DATE")</f>
        <v>#NAME?</v>
      </c>
      <c r="E1265">
        <v>770000</v>
      </c>
      <c r="F1265" t="e">
        <f ca="1">BDP("476624DT Muni","ISSUE_DT")</f>
        <v>#NAME?</v>
      </c>
      <c r="G1265" t="e">
        <f ca="1">BDP("476624DT Muni","MATURITY")</f>
        <v>#NAME?</v>
      </c>
      <c r="H1265" t="e">
        <f ca="1">BDP("476624DT Muni","MUNI_TAX_PROV")</f>
        <v>#NAME?</v>
      </c>
      <c r="I1265" t="e">
        <f ca="1">BDP("476624DT Muni","FINANCING_TYPE")</f>
        <v>#NAME?</v>
      </c>
      <c r="J1265" t="e">
        <f ca="1">BDP("476624DT Muni","BICS_LEVEL_2_INDUSTRY_GROUP_NAME")</f>
        <v>#NAME?</v>
      </c>
      <c r="K1265" t="e">
        <f ca="1">BDP("476624DT Muni","SELF_REPRTD_GREEN_INSTR_INDCTR")</f>
        <v>#NAME?</v>
      </c>
      <c r="L1265" t="e">
        <f ca="1">BDP("476624DT Muni","GB_MANAGEMENT_PROCEEDS")</f>
        <v>#NAME?</v>
      </c>
      <c r="M1265" t="e">
        <f ca="1">BDP("476624DT Muni","GB_REPORTING")</f>
        <v>#NAME?</v>
      </c>
      <c r="N1265" t="e">
        <f ca="1">BDP("476624DT Muni","GB_ASSURANCE_PROVIDERS")</f>
        <v>#NAME?</v>
      </c>
      <c r="O1265" t="e">
        <f ca="1">BDP("476624DT Muni","GB_PROJECT_SELECTION_PROCESS")</f>
        <v>#NAME?</v>
      </c>
      <c r="P1265" t="e">
        <f ca="1">BDP("476624DT Muni","ESG_FRAMEWORK_INDICATOR")</f>
        <v>#NAME?</v>
      </c>
      <c r="Q1265" t="e">
        <f ca="1">BDP("476624DT Muni","BLOOMBERG_SECTOR_CODE")</f>
        <v>#NAME?</v>
      </c>
      <c r="R1265" t="e">
        <f ca="1">BDP("476624DT Muni","ISSUER_TYPE")</f>
        <v>#NAME?</v>
      </c>
      <c r="S1265" t="e">
        <f ca="1">BDS("476624DT Muni","ESG_PROJECT_CATEGORY", "aggregate=y")</f>
        <v>#NAME?</v>
      </c>
      <c r="T1265" t="e">
        <f ca="1">BDS("476624DT Muni","ESG_PROJECT_SUBCATEGORY", "aggregate=y")</f>
        <v>#NAME?</v>
      </c>
    </row>
    <row r="1266" spans="1:20" x14ac:dyDescent="0.25">
      <c r="A1266" t="e">
        <f ca="1">BDP("476624DV Muni","ID_CUSIP")</f>
        <v>#NAME?</v>
      </c>
      <c r="B1266" t="e">
        <f ca="1">BDP("476624DV Muni","STATE_CODE")</f>
        <v>#NAME?</v>
      </c>
      <c r="C1266" t="s">
        <v>79</v>
      </c>
      <c r="D1266" t="e">
        <f ca="1">BDP("476624DV Muni","YIELD_ON_ISSUE_DATE")</f>
        <v>#NAME?</v>
      </c>
      <c r="E1266">
        <v>865000</v>
      </c>
      <c r="F1266" t="e">
        <f ca="1">BDP("476624DV Muni","ISSUE_DT")</f>
        <v>#NAME?</v>
      </c>
      <c r="G1266" t="e">
        <f ca="1">BDP("476624DV Muni","MATURITY")</f>
        <v>#NAME?</v>
      </c>
      <c r="H1266" t="e">
        <f ca="1">BDP("476624DV Muni","MUNI_TAX_PROV")</f>
        <v>#NAME?</v>
      </c>
      <c r="I1266" t="e">
        <f ca="1">BDP("476624DV Muni","FINANCING_TYPE")</f>
        <v>#NAME?</v>
      </c>
      <c r="J1266" t="e">
        <f ca="1">BDP("476624DV Muni","BICS_LEVEL_2_INDUSTRY_GROUP_NAME")</f>
        <v>#NAME?</v>
      </c>
      <c r="K1266" t="e">
        <f ca="1">BDP("476624DV Muni","SELF_REPRTD_GREEN_INSTR_INDCTR")</f>
        <v>#NAME?</v>
      </c>
      <c r="L1266" t="e">
        <f ca="1">BDP("476624DV Muni","GB_MANAGEMENT_PROCEEDS")</f>
        <v>#NAME?</v>
      </c>
      <c r="M1266" t="e">
        <f ca="1">BDP("476624DV Muni","GB_REPORTING")</f>
        <v>#NAME?</v>
      </c>
      <c r="N1266" t="e">
        <f ca="1">BDP("476624DV Muni","GB_ASSURANCE_PROVIDERS")</f>
        <v>#NAME?</v>
      </c>
      <c r="O1266" t="e">
        <f ca="1">BDP("476624DV Muni","GB_PROJECT_SELECTION_PROCESS")</f>
        <v>#NAME?</v>
      </c>
      <c r="P1266" t="e">
        <f ca="1">BDP("476624DV Muni","ESG_FRAMEWORK_INDICATOR")</f>
        <v>#NAME?</v>
      </c>
      <c r="Q1266" t="e">
        <f ca="1">BDP("476624DV Muni","BLOOMBERG_SECTOR_CODE")</f>
        <v>#NAME?</v>
      </c>
      <c r="R1266" t="e">
        <f ca="1">BDP("476624DV Muni","ISSUER_TYPE")</f>
        <v>#NAME?</v>
      </c>
      <c r="S1266" t="e">
        <f ca="1">BDS("476624DV Muni","ESG_PROJECT_CATEGORY", "aggregate=y")</f>
        <v>#NAME?</v>
      </c>
      <c r="T1266" t="e">
        <f ca="1">BDS("476624DV Muni","ESG_PROJECT_SUBCATEGORY", "aggregate=y")</f>
        <v>#NAME?</v>
      </c>
    </row>
    <row r="1267" spans="1:20" x14ac:dyDescent="0.25">
      <c r="A1267" t="e">
        <f ca="1">BDP("476624DY Muni","ID_CUSIP")</f>
        <v>#NAME?</v>
      </c>
      <c r="B1267" t="e">
        <f ca="1">BDP("476624DY Muni","STATE_CODE")</f>
        <v>#NAME?</v>
      </c>
      <c r="C1267" t="s">
        <v>79</v>
      </c>
      <c r="D1267" t="e">
        <f ca="1">BDP("476624DY Muni","YIELD_ON_ISSUE_DATE")</f>
        <v>#NAME?</v>
      </c>
      <c r="E1267">
        <v>1020000</v>
      </c>
      <c r="F1267" t="e">
        <f ca="1">BDP("476624DY Muni","ISSUE_DT")</f>
        <v>#NAME?</v>
      </c>
      <c r="G1267" t="e">
        <f ca="1">BDP("476624DY Muni","MATURITY")</f>
        <v>#NAME?</v>
      </c>
      <c r="H1267" t="e">
        <f ca="1">BDP("476624DY Muni","MUNI_TAX_PROV")</f>
        <v>#NAME?</v>
      </c>
      <c r="I1267" t="e">
        <f ca="1">BDP("476624DY Muni","FINANCING_TYPE")</f>
        <v>#NAME?</v>
      </c>
      <c r="J1267" t="e">
        <f ca="1">BDP("476624DY Muni","BICS_LEVEL_2_INDUSTRY_GROUP_NAME")</f>
        <v>#NAME?</v>
      </c>
      <c r="K1267" t="e">
        <f ca="1">BDP("476624DY Muni","SELF_REPRTD_GREEN_INSTR_INDCTR")</f>
        <v>#NAME?</v>
      </c>
      <c r="L1267" t="e">
        <f ca="1">BDP("476624DY Muni","GB_MANAGEMENT_PROCEEDS")</f>
        <v>#NAME?</v>
      </c>
      <c r="M1267" t="e">
        <f ca="1">BDP("476624DY Muni","GB_REPORTING")</f>
        <v>#NAME?</v>
      </c>
      <c r="N1267" t="e">
        <f ca="1">BDP("476624DY Muni","GB_ASSURANCE_PROVIDERS")</f>
        <v>#NAME?</v>
      </c>
      <c r="O1267" t="e">
        <f ca="1">BDP("476624DY Muni","GB_PROJECT_SELECTION_PROCESS")</f>
        <v>#NAME?</v>
      </c>
      <c r="P1267" t="e">
        <f ca="1">BDP("476624DY Muni","ESG_FRAMEWORK_INDICATOR")</f>
        <v>#NAME?</v>
      </c>
      <c r="Q1267" t="e">
        <f ca="1">BDP("476624DY Muni","BLOOMBERG_SECTOR_CODE")</f>
        <v>#NAME?</v>
      </c>
      <c r="R1267" t="e">
        <f ca="1">BDP("476624DY Muni","ISSUER_TYPE")</f>
        <v>#NAME?</v>
      </c>
      <c r="S1267" t="e">
        <f ca="1">BDS("476624DY Muni","ESG_PROJECT_CATEGORY", "aggregate=y")</f>
        <v>#NAME?</v>
      </c>
      <c r="T1267" t="e">
        <f ca="1">BDS("476624DY Muni","ESG_PROJECT_SUBCATEGORY", "aggregate=y")</f>
        <v>#NAME?</v>
      </c>
    </row>
    <row r="1268" spans="1:20" x14ac:dyDescent="0.25">
      <c r="A1268" t="e">
        <f ca="1">BDP("476624EC Muni","ID_CUSIP")</f>
        <v>#NAME?</v>
      </c>
      <c r="B1268" t="e">
        <f ca="1">BDP("476624EC Muni","STATE_CODE")</f>
        <v>#NAME?</v>
      </c>
      <c r="C1268" t="s">
        <v>79</v>
      </c>
      <c r="D1268" t="e">
        <f ca="1">BDP("476624EC Muni","YIELD_ON_ISSUE_DATE")</f>
        <v>#NAME?</v>
      </c>
      <c r="E1268">
        <v>1275000</v>
      </c>
      <c r="F1268" t="e">
        <f ca="1">BDP("476624EC Muni","ISSUE_DT")</f>
        <v>#NAME?</v>
      </c>
      <c r="G1268" t="e">
        <f ca="1">BDP("476624EC Muni","MATURITY")</f>
        <v>#NAME?</v>
      </c>
      <c r="H1268" t="e">
        <f ca="1">BDP("476624EC Muni","MUNI_TAX_PROV")</f>
        <v>#NAME?</v>
      </c>
      <c r="I1268" t="e">
        <f ca="1">BDP("476624EC Muni","FINANCING_TYPE")</f>
        <v>#NAME?</v>
      </c>
      <c r="J1268" t="e">
        <f ca="1">BDP("476624EC Muni","BICS_LEVEL_2_INDUSTRY_GROUP_NAME")</f>
        <v>#NAME?</v>
      </c>
      <c r="K1268" t="e">
        <f ca="1">BDP("476624EC Muni","SELF_REPRTD_GREEN_INSTR_INDCTR")</f>
        <v>#NAME?</v>
      </c>
      <c r="L1268" t="e">
        <f ca="1">BDP("476624EC Muni","GB_MANAGEMENT_PROCEEDS")</f>
        <v>#NAME?</v>
      </c>
      <c r="M1268" t="e">
        <f ca="1">BDP("476624EC Muni","GB_REPORTING")</f>
        <v>#NAME?</v>
      </c>
      <c r="N1268" t="e">
        <f ca="1">BDP("476624EC Muni","GB_ASSURANCE_PROVIDERS")</f>
        <v>#NAME?</v>
      </c>
      <c r="O1268" t="e">
        <f ca="1">BDP("476624EC Muni","GB_PROJECT_SELECTION_PROCESS")</f>
        <v>#NAME?</v>
      </c>
      <c r="P1268" t="e">
        <f ca="1">BDP("476624EC Muni","ESG_FRAMEWORK_INDICATOR")</f>
        <v>#NAME?</v>
      </c>
      <c r="Q1268" t="e">
        <f ca="1">BDP("476624EC Muni","BLOOMBERG_SECTOR_CODE")</f>
        <v>#NAME?</v>
      </c>
      <c r="R1268" t="e">
        <f ca="1">BDP("476624EC Muni","ISSUER_TYPE")</f>
        <v>#NAME?</v>
      </c>
      <c r="S1268" t="e">
        <f ca="1">BDS("476624EC Muni","ESG_PROJECT_CATEGORY", "aggregate=y")</f>
        <v>#NAME?</v>
      </c>
      <c r="T1268" t="e">
        <f ca="1">BDS("476624EC Muni","ESG_PROJECT_SUBCATEGORY", "aggregate=y")</f>
        <v>#NAME?</v>
      </c>
    </row>
    <row r="1269" spans="1:20" x14ac:dyDescent="0.25">
      <c r="A1269" t="e">
        <f ca="1">BDP("611305NQ Muni","ID_CUSIP")</f>
        <v>#NAME?</v>
      </c>
      <c r="B1269" t="e">
        <f ca="1">BDP("611305NQ Muni","STATE_CODE")</f>
        <v>#NAME?</v>
      </c>
      <c r="C1269" t="s">
        <v>80</v>
      </c>
      <c r="D1269" t="e">
        <f ca="1">BDP("611305NQ Muni","YIELD_ON_ISSUE_DATE")</f>
        <v>#NAME?</v>
      </c>
      <c r="E1269">
        <v>635000</v>
      </c>
      <c r="F1269" t="e">
        <f ca="1">BDP("611305NQ Muni","ISSUE_DT")</f>
        <v>#NAME?</v>
      </c>
      <c r="G1269" t="e">
        <f ca="1">BDP("611305NQ Muni","MATURITY")</f>
        <v>#NAME?</v>
      </c>
      <c r="H1269" t="e">
        <f ca="1">BDP("611305NQ Muni","MUNI_TAX_PROV")</f>
        <v>#NAME?</v>
      </c>
      <c r="I1269" t="e">
        <f ca="1">BDP("611305NQ Muni","FINANCING_TYPE")</f>
        <v>#NAME?</v>
      </c>
      <c r="J1269" t="e">
        <f ca="1">BDP("611305NQ Muni","BICS_LEVEL_2_INDUSTRY_GROUP_NAME")</f>
        <v>#NAME?</v>
      </c>
      <c r="K1269" t="e">
        <f ca="1">BDP("611305NQ Muni","SELF_REPRTD_GREEN_INSTR_INDCTR")</f>
        <v>#NAME?</v>
      </c>
      <c r="L1269" t="e">
        <f ca="1">BDP("611305NQ Muni","GB_MANAGEMENT_PROCEEDS")</f>
        <v>#NAME?</v>
      </c>
      <c r="M1269" t="e">
        <f ca="1">BDP("611305NQ Muni","GB_REPORTING")</f>
        <v>#NAME?</v>
      </c>
      <c r="N1269" t="e">
        <f ca="1">BDP("611305NQ Muni","GB_ASSURANCE_PROVIDERS")</f>
        <v>#NAME?</v>
      </c>
      <c r="O1269" t="e">
        <f ca="1">BDP("611305NQ Muni","GB_PROJECT_SELECTION_PROCESS")</f>
        <v>#NAME?</v>
      </c>
      <c r="P1269" t="e">
        <f ca="1">BDP("611305NQ Muni","ESG_FRAMEWORK_INDICATOR")</f>
        <v>#NAME?</v>
      </c>
      <c r="Q1269" t="e">
        <f ca="1">BDP("611305NQ Muni","BLOOMBERG_SECTOR_CODE")</f>
        <v>#NAME?</v>
      </c>
      <c r="R1269" t="e">
        <f ca="1">BDP("611305NQ Muni","ISSUER_TYPE")</f>
        <v>#NAME?</v>
      </c>
      <c r="S1269" t="e">
        <f ca="1">BDS("611305NQ Muni","ESG_PROJECT_CATEGORY", "aggregate=y")</f>
        <v>#NAME?</v>
      </c>
      <c r="T1269" t="e">
        <f ca="1">BDS("611305NQ Muni","ESG_PROJECT_SUBCATEGORY", "aggregate=y")</f>
        <v>#NAME?</v>
      </c>
    </row>
    <row r="1270" spans="1:20" x14ac:dyDescent="0.25">
      <c r="A1270" t="e">
        <f ca="1">BDP("611312QW Muni","ID_CUSIP")</f>
        <v>#NAME?</v>
      </c>
      <c r="B1270" t="e">
        <f ca="1">BDP("611312QW Muni","STATE_CODE")</f>
        <v>#NAME?</v>
      </c>
      <c r="C1270" t="s">
        <v>81</v>
      </c>
      <c r="D1270" t="e">
        <f ca="1">BDP("611312QW Muni","YIELD_ON_ISSUE_DATE")</f>
        <v>#NAME?</v>
      </c>
      <c r="E1270">
        <v>420000</v>
      </c>
      <c r="F1270" t="e">
        <f ca="1">BDP("611312QW Muni","ISSUE_DT")</f>
        <v>#NAME?</v>
      </c>
      <c r="G1270" t="e">
        <f ca="1">BDP("611312QW Muni","MATURITY")</f>
        <v>#NAME?</v>
      </c>
      <c r="H1270" t="e">
        <f ca="1">BDP("611312QW Muni","MUNI_TAX_PROV")</f>
        <v>#NAME?</v>
      </c>
      <c r="I1270" t="e">
        <f ca="1">BDP("611312QW Muni","FINANCING_TYPE")</f>
        <v>#NAME?</v>
      </c>
      <c r="J1270" t="e">
        <f ca="1">BDP("611312QW Muni","BICS_LEVEL_2_INDUSTRY_GROUP_NAME")</f>
        <v>#NAME?</v>
      </c>
      <c r="K1270" t="e">
        <f ca="1">BDP("611312QW Muni","SELF_REPRTD_GREEN_INSTR_INDCTR")</f>
        <v>#NAME?</v>
      </c>
      <c r="L1270" t="e">
        <f ca="1">BDP("611312QW Muni","GB_MANAGEMENT_PROCEEDS")</f>
        <v>#NAME?</v>
      </c>
      <c r="M1270" t="e">
        <f ca="1">BDP("611312QW Muni","GB_REPORTING")</f>
        <v>#NAME?</v>
      </c>
      <c r="N1270" t="e">
        <f ca="1">BDP("611312QW Muni","GB_ASSURANCE_PROVIDERS")</f>
        <v>#NAME?</v>
      </c>
      <c r="O1270" t="e">
        <f ca="1">BDP("611312QW Muni","GB_PROJECT_SELECTION_PROCESS")</f>
        <v>#NAME?</v>
      </c>
      <c r="P1270" t="e">
        <f ca="1">BDP("611312QW Muni","ESG_FRAMEWORK_INDICATOR")</f>
        <v>#NAME?</v>
      </c>
      <c r="Q1270" t="e">
        <f ca="1">BDP("611312QW Muni","BLOOMBERG_SECTOR_CODE")</f>
        <v>#NAME?</v>
      </c>
      <c r="R1270" t="e">
        <f ca="1">BDP("611312QW Muni","ISSUER_TYPE")</f>
        <v>#NAME?</v>
      </c>
      <c r="S1270" t="e">
        <f ca="1">BDS("611312QW Muni","ESG_PROJECT_CATEGORY", "aggregate=y")</f>
        <v>#NAME?</v>
      </c>
      <c r="T1270" t="e">
        <f ca="1">BDS("611312QW Muni","ESG_PROJECT_SUBCATEGORY", "aggregate=y")</f>
        <v>#NAME?</v>
      </c>
    </row>
    <row r="1271" spans="1:20" x14ac:dyDescent="0.25">
      <c r="A1271" t="e">
        <f ca="1">BDP("611312RA Muni","ID_CUSIP")</f>
        <v>#NAME?</v>
      </c>
      <c r="B1271" t="e">
        <f ca="1">BDP("611312RA Muni","STATE_CODE")</f>
        <v>#NAME?</v>
      </c>
      <c r="C1271" t="s">
        <v>81</v>
      </c>
      <c r="D1271" t="e">
        <f ca="1">BDP("611312RA Muni","YIELD_ON_ISSUE_DATE")</f>
        <v>#NAME?</v>
      </c>
      <c r="E1271">
        <v>540000</v>
      </c>
      <c r="F1271" t="e">
        <f ca="1">BDP("611312RA Muni","ISSUE_DT")</f>
        <v>#NAME?</v>
      </c>
      <c r="G1271" t="e">
        <f ca="1">BDP("611312RA Muni","MATURITY")</f>
        <v>#NAME?</v>
      </c>
      <c r="H1271" t="e">
        <f ca="1">BDP("611312RA Muni","MUNI_TAX_PROV")</f>
        <v>#NAME?</v>
      </c>
      <c r="I1271" t="e">
        <f ca="1">BDP("611312RA Muni","FINANCING_TYPE")</f>
        <v>#NAME?</v>
      </c>
      <c r="J1271" t="e">
        <f ca="1">BDP("611312RA Muni","BICS_LEVEL_2_INDUSTRY_GROUP_NAME")</f>
        <v>#NAME?</v>
      </c>
      <c r="K1271" t="e">
        <f ca="1">BDP("611312RA Muni","SELF_REPRTD_GREEN_INSTR_INDCTR")</f>
        <v>#NAME?</v>
      </c>
      <c r="L1271" t="e">
        <f ca="1">BDP("611312RA Muni","GB_MANAGEMENT_PROCEEDS")</f>
        <v>#NAME?</v>
      </c>
      <c r="M1271" t="e">
        <f ca="1">BDP("611312RA Muni","GB_REPORTING")</f>
        <v>#NAME?</v>
      </c>
      <c r="N1271" t="e">
        <f ca="1">BDP("611312RA Muni","GB_ASSURANCE_PROVIDERS")</f>
        <v>#NAME?</v>
      </c>
      <c r="O1271" t="e">
        <f ca="1">BDP("611312RA Muni","GB_PROJECT_SELECTION_PROCESS")</f>
        <v>#NAME?</v>
      </c>
      <c r="P1271" t="e">
        <f ca="1">BDP("611312RA Muni","ESG_FRAMEWORK_INDICATOR")</f>
        <v>#NAME?</v>
      </c>
      <c r="Q1271" t="e">
        <f ca="1">BDP("611312RA Muni","BLOOMBERG_SECTOR_CODE")</f>
        <v>#NAME?</v>
      </c>
      <c r="R1271" t="e">
        <f ca="1">BDP("611312RA Muni","ISSUER_TYPE")</f>
        <v>#NAME?</v>
      </c>
      <c r="S1271" t="e">
        <f ca="1">BDS("611312RA Muni","ESG_PROJECT_CATEGORY", "aggregate=y")</f>
        <v>#NAME?</v>
      </c>
      <c r="T1271" t="e">
        <f ca="1">BDS("611312RA Muni","ESG_PROJECT_SUBCATEGORY", "aggregate=y")</f>
        <v>#NAME?</v>
      </c>
    </row>
    <row r="1272" spans="1:20" x14ac:dyDescent="0.25">
      <c r="A1272" t="e">
        <f ca="1">BDP("927405AP Muni","ID_CUSIP")</f>
        <v>#NAME?</v>
      </c>
      <c r="B1272" t="e">
        <f ca="1">BDP("927405AP Muni","STATE_CODE")</f>
        <v>#NAME?</v>
      </c>
      <c r="C1272" t="s">
        <v>75</v>
      </c>
      <c r="D1272" t="e">
        <f ca="1">BDP("927405AP Muni","YIELD_ON_ISSUE_DATE")</f>
        <v>#NAME?</v>
      </c>
      <c r="E1272">
        <v>435000</v>
      </c>
      <c r="F1272" t="e">
        <f ca="1">BDP("927405AP Muni","ISSUE_DT")</f>
        <v>#NAME?</v>
      </c>
      <c r="G1272" t="e">
        <f ca="1">BDP("927405AP Muni","MATURITY")</f>
        <v>#NAME?</v>
      </c>
      <c r="H1272" t="e">
        <f ca="1">BDP("927405AP Muni","MUNI_TAX_PROV")</f>
        <v>#NAME?</v>
      </c>
      <c r="I1272" t="e">
        <f ca="1">BDP("927405AP Muni","FINANCING_TYPE")</f>
        <v>#NAME?</v>
      </c>
      <c r="J1272" t="e">
        <f ca="1">BDP("927405AP Muni","BICS_LEVEL_2_INDUSTRY_GROUP_NAME")</f>
        <v>#NAME?</v>
      </c>
      <c r="K1272" t="e">
        <f ca="1">BDP("927405AP Muni","SELF_REPRTD_GREEN_INSTR_INDCTR")</f>
        <v>#NAME?</v>
      </c>
      <c r="L1272" t="e">
        <f ca="1">BDP("927405AP Muni","GB_MANAGEMENT_PROCEEDS")</f>
        <v>#NAME?</v>
      </c>
      <c r="M1272" t="e">
        <f ca="1">BDP("927405AP Muni","GB_REPORTING")</f>
        <v>#NAME?</v>
      </c>
      <c r="N1272" t="e">
        <f ca="1">BDP("927405AP Muni","GB_ASSURANCE_PROVIDERS")</f>
        <v>#NAME?</v>
      </c>
      <c r="O1272" t="e">
        <f ca="1">BDP("927405AP Muni","GB_PROJECT_SELECTION_PROCESS")</f>
        <v>#NAME?</v>
      </c>
      <c r="P1272" t="e">
        <f ca="1">BDP("927405AP Muni","ESG_FRAMEWORK_INDICATOR")</f>
        <v>#NAME?</v>
      </c>
      <c r="Q1272" t="e">
        <f ca="1">BDP("927405AP Muni","BLOOMBERG_SECTOR_CODE")</f>
        <v>#NAME?</v>
      </c>
      <c r="R1272" t="e">
        <f ca="1">BDP("927405AP Muni","ISSUER_TYPE")</f>
        <v>#NAME?</v>
      </c>
      <c r="S1272" t="e">
        <f ca="1">BDS("927405AP Muni","ESG_PROJECT_CATEGORY", "aggregate=y")</f>
        <v>#NAME?</v>
      </c>
      <c r="T1272" t="e">
        <f ca="1">BDS("927405AP Muni","ESG_PROJECT_SUBCATEGORY", "aggregate=y")</f>
        <v>#NAME?</v>
      </c>
    </row>
    <row r="1273" spans="1:20" x14ac:dyDescent="0.25">
      <c r="A1273" t="e">
        <f ca="1">BDP("927405BD Muni","ID_CUSIP")</f>
        <v>#NAME?</v>
      </c>
      <c r="B1273" t="e">
        <f ca="1">BDP("927405BD Muni","STATE_CODE")</f>
        <v>#NAME?</v>
      </c>
      <c r="C1273" t="s">
        <v>75</v>
      </c>
      <c r="D1273" t="e">
        <f ca="1">BDP("927405BD Muni","YIELD_ON_ISSUE_DATE")</f>
        <v>#NAME?</v>
      </c>
      <c r="E1273">
        <v>1375000</v>
      </c>
      <c r="F1273" t="e">
        <f ca="1">BDP("927405BD Muni","ISSUE_DT")</f>
        <v>#NAME?</v>
      </c>
      <c r="G1273" t="e">
        <f ca="1">BDP("927405BD Muni","MATURITY")</f>
        <v>#NAME?</v>
      </c>
      <c r="H1273" t="e">
        <f ca="1">BDP("927405BD Muni","MUNI_TAX_PROV")</f>
        <v>#NAME?</v>
      </c>
      <c r="I1273" t="e">
        <f ca="1">BDP("927405BD Muni","FINANCING_TYPE")</f>
        <v>#NAME?</v>
      </c>
      <c r="J1273" t="e">
        <f ca="1">BDP("927405BD Muni","BICS_LEVEL_2_INDUSTRY_GROUP_NAME")</f>
        <v>#NAME?</v>
      </c>
      <c r="K1273" t="e">
        <f ca="1">BDP("927405BD Muni","SELF_REPRTD_GREEN_INSTR_INDCTR")</f>
        <v>#NAME?</v>
      </c>
      <c r="L1273" t="e">
        <f ca="1">BDP("927405BD Muni","GB_MANAGEMENT_PROCEEDS")</f>
        <v>#NAME?</v>
      </c>
      <c r="M1273" t="e">
        <f ca="1">BDP("927405BD Muni","GB_REPORTING")</f>
        <v>#NAME?</v>
      </c>
      <c r="N1273" t="e">
        <f ca="1">BDP("927405BD Muni","GB_ASSURANCE_PROVIDERS")</f>
        <v>#NAME?</v>
      </c>
      <c r="O1273" t="e">
        <f ca="1">BDP("927405BD Muni","GB_PROJECT_SELECTION_PROCESS")</f>
        <v>#NAME?</v>
      </c>
      <c r="P1273" t="e">
        <f ca="1">BDP("927405BD Muni","ESG_FRAMEWORK_INDICATOR")</f>
        <v>#NAME?</v>
      </c>
      <c r="Q1273" t="e">
        <f ca="1">BDP("927405BD Muni","BLOOMBERG_SECTOR_CODE")</f>
        <v>#NAME?</v>
      </c>
      <c r="R1273" t="e">
        <f ca="1">BDP("927405BD Muni","ISSUER_TYPE")</f>
        <v>#NAME?</v>
      </c>
      <c r="S1273" t="e">
        <f ca="1">BDS("927405BD Muni","ESG_PROJECT_CATEGORY", "aggregate=y")</f>
        <v>#NAME?</v>
      </c>
      <c r="T1273" t="e">
        <f ca="1">BDS("927405BD Muni","ESG_PROJECT_SUBCATEGORY", "aggregate=y")</f>
        <v>#NAME?</v>
      </c>
    </row>
    <row r="1274" spans="1:20" x14ac:dyDescent="0.25">
      <c r="A1274" t="e">
        <f ca="1">BDP("224525HX Muni","ID_CUSIP")</f>
        <v>#NAME?</v>
      </c>
      <c r="B1274" t="e">
        <f ca="1">BDP("224525HX Muni","STATE_CODE")</f>
        <v>#NAME?</v>
      </c>
      <c r="C1274" t="s">
        <v>77</v>
      </c>
      <c r="D1274" t="e">
        <f ca="1">BDP("224525HX Muni","YIELD_ON_ISSUE_DATE")</f>
        <v>#NAME?</v>
      </c>
      <c r="E1274">
        <v>335000</v>
      </c>
      <c r="F1274" t="e">
        <f ca="1">BDP("224525HX Muni","ISSUE_DT")</f>
        <v>#NAME?</v>
      </c>
      <c r="G1274" t="e">
        <f ca="1">BDP("224525HX Muni","MATURITY")</f>
        <v>#NAME?</v>
      </c>
      <c r="H1274" t="e">
        <f ca="1">BDP("224525HX Muni","MUNI_TAX_PROV")</f>
        <v>#NAME?</v>
      </c>
      <c r="I1274" t="e">
        <f ca="1">BDP("224525HX Muni","FINANCING_TYPE")</f>
        <v>#NAME?</v>
      </c>
      <c r="J1274" t="e">
        <f ca="1">BDP("224525HX Muni","BICS_LEVEL_2_INDUSTRY_GROUP_NAME")</f>
        <v>#NAME?</v>
      </c>
      <c r="K1274" t="e">
        <f ca="1">BDP("224525HX Muni","SELF_REPRTD_GREEN_INSTR_INDCTR")</f>
        <v>#NAME?</v>
      </c>
      <c r="L1274" t="e">
        <f ca="1">BDP("224525HX Muni","GB_MANAGEMENT_PROCEEDS")</f>
        <v>#NAME?</v>
      </c>
      <c r="M1274" t="e">
        <f ca="1">BDP("224525HX Muni","GB_REPORTING")</f>
        <v>#NAME?</v>
      </c>
      <c r="N1274" t="e">
        <f ca="1">BDP("224525HX Muni","GB_ASSURANCE_PROVIDERS")</f>
        <v>#NAME?</v>
      </c>
      <c r="O1274" t="e">
        <f ca="1">BDP("224525HX Muni","GB_PROJECT_SELECTION_PROCESS")</f>
        <v>#NAME?</v>
      </c>
      <c r="P1274" t="e">
        <f ca="1">BDP("224525HX Muni","ESG_FRAMEWORK_INDICATOR")</f>
        <v>#NAME?</v>
      </c>
      <c r="Q1274" t="e">
        <f ca="1">BDP("224525HX Muni","BLOOMBERG_SECTOR_CODE")</f>
        <v>#NAME?</v>
      </c>
      <c r="R1274" t="e">
        <f ca="1">BDP("224525HX Muni","ISSUER_TYPE")</f>
        <v>#NAME?</v>
      </c>
      <c r="S1274" t="e">
        <f ca="1">BDS("224525HX Muni","ESG_PROJECT_CATEGORY", "aggregate=y")</f>
        <v>#NAME?</v>
      </c>
      <c r="T1274" t="e">
        <f ca="1">BDS("224525HX Muni","ESG_PROJECT_SUBCATEGORY", "aggregate=y")</f>
        <v>#NAME?</v>
      </c>
    </row>
    <row r="1275" spans="1:20" x14ac:dyDescent="0.25">
      <c r="A1275" t="e">
        <f ca="1">BDP("224525JA Muni","ID_CUSIP")</f>
        <v>#NAME?</v>
      </c>
      <c r="B1275" t="e">
        <f ca="1">BDP("224525JA Muni","STATE_CODE")</f>
        <v>#NAME?</v>
      </c>
      <c r="C1275" t="s">
        <v>77</v>
      </c>
      <c r="D1275" t="e">
        <f ca="1">BDP("224525JA Muni","YIELD_ON_ISSUE_DATE")</f>
        <v>#NAME?</v>
      </c>
      <c r="E1275">
        <v>420000</v>
      </c>
      <c r="F1275" t="e">
        <f ca="1">BDP("224525JA Muni","ISSUE_DT")</f>
        <v>#NAME?</v>
      </c>
      <c r="G1275" t="e">
        <f ca="1">BDP("224525JA Muni","MATURITY")</f>
        <v>#NAME?</v>
      </c>
      <c r="H1275" t="e">
        <f ca="1">BDP("224525JA Muni","MUNI_TAX_PROV")</f>
        <v>#NAME?</v>
      </c>
      <c r="I1275" t="e">
        <f ca="1">BDP("224525JA Muni","FINANCING_TYPE")</f>
        <v>#NAME?</v>
      </c>
      <c r="J1275" t="e">
        <f ca="1">BDP("224525JA Muni","BICS_LEVEL_2_INDUSTRY_GROUP_NAME")</f>
        <v>#NAME?</v>
      </c>
      <c r="K1275" t="e">
        <f ca="1">BDP("224525JA Muni","SELF_REPRTD_GREEN_INSTR_INDCTR")</f>
        <v>#NAME?</v>
      </c>
      <c r="L1275" t="e">
        <f ca="1">BDP("224525JA Muni","GB_MANAGEMENT_PROCEEDS")</f>
        <v>#NAME?</v>
      </c>
      <c r="M1275" t="e">
        <f ca="1">BDP("224525JA Muni","GB_REPORTING")</f>
        <v>#NAME?</v>
      </c>
      <c r="N1275" t="e">
        <f ca="1">BDP("224525JA Muni","GB_ASSURANCE_PROVIDERS")</f>
        <v>#NAME?</v>
      </c>
      <c r="O1275" t="e">
        <f ca="1">BDP("224525JA Muni","GB_PROJECT_SELECTION_PROCESS")</f>
        <v>#NAME?</v>
      </c>
      <c r="P1275" t="e">
        <f ca="1">BDP("224525JA Muni","ESG_FRAMEWORK_INDICATOR")</f>
        <v>#NAME?</v>
      </c>
      <c r="Q1275" t="e">
        <f ca="1">BDP("224525JA Muni","BLOOMBERG_SECTOR_CODE")</f>
        <v>#NAME?</v>
      </c>
      <c r="R1275" t="e">
        <f ca="1">BDP("224525JA Muni","ISSUER_TYPE")</f>
        <v>#NAME?</v>
      </c>
      <c r="S1275" t="e">
        <f ca="1">BDS("224525JA Muni","ESG_PROJECT_CATEGORY", "aggregate=y")</f>
        <v>#NAME?</v>
      </c>
      <c r="T1275" t="e">
        <f ca="1">BDS("224525JA Muni","ESG_PROJECT_SUBCATEGORY", "aggregate=y")</f>
        <v>#NAME?</v>
      </c>
    </row>
    <row r="1276" spans="1:20" x14ac:dyDescent="0.25">
      <c r="A1276" t="e">
        <f ca="1">BDP("290096BT Muni","ID_CUSIP")</f>
        <v>#NAME?</v>
      </c>
      <c r="B1276" t="e">
        <f ca="1">BDP("290096BT Muni","STATE_CODE")</f>
        <v>#NAME?</v>
      </c>
      <c r="C1276" t="s">
        <v>78</v>
      </c>
      <c r="D1276" t="e">
        <f ca="1">BDP("290096BT Muni","YIELD_ON_ISSUE_DATE")</f>
        <v>#NAME?</v>
      </c>
      <c r="E1276">
        <v>345000</v>
      </c>
      <c r="F1276" t="e">
        <f ca="1">BDP("290096BT Muni","ISSUE_DT")</f>
        <v>#NAME?</v>
      </c>
      <c r="G1276" t="e">
        <f ca="1">BDP("290096BT Muni","MATURITY")</f>
        <v>#NAME?</v>
      </c>
      <c r="H1276" t="e">
        <f ca="1">BDP("290096BT Muni","MUNI_TAX_PROV")</f>
        <v>#NAME?</v>
      </c>
      <c r="I1276" t="e">
        <f ca="1">BDP("290096BT Muni","FINANCING_TYPE")</f>
        <v>#NAME?</v>
      </c>
      <c r="J1276" t="e">
        <f ca="1">BDP("290096BT Muni","BICS_LEVEL_2_INDUSTRY_GROUP_NAME")</f>
        <v>#NAME?</v>
      </c>
      <c r="K1276" t="e">
        <f ca="1">BDP("290096BT Muni","SELF_REPRTD_GREEN_INSTR_INDCTR")</f>
        <v>#NAME?</v>
      </c>
      <c r="L1276" t="e">
        <f ca="1">BDP("290096BT Muni","GB_MANAGEMENT_PROCEEDS")</f>
        <v>#NAME?</v>
      </c>
      <c r="M1276" t="e">
        <f ca="1">BDP("290096BT Muni","GB_REPORTING")</f>
        <v>#NAME?</v>
      </c>
      <c r="N1276" t="e">
        <f ca="1">BDP("290096BT Muni","GB_ASSURANCE_PROVIDERS")</f>
        <v>#NAME?</v>
      </c>
      <c r="O1276" t="e">
        <f ca="1">BDP("290096BT Muni","GB_PROJECT_SELECTION_PROCESS")</f>
        <v>#NAME?</v>
      </c>
      <c r="P1276" t="e">
        <f ca="1">BDP("290096BT Muni","ESG_FRAMEWORK_INDICATOR")</f>
        <v>#NAME?</v>
      </c>
      <c r="Q1276" t="e">
        <f ca="1">BDP("290096BT Muni","BLOOMBERG_SECTOR_CODE")</f>
        <v>#NAME?</v>
      </c>
      <c r="R1276" t="e">
        <f ca="1">BDP("290096BT Muni","ISSUER_TYPE")</f>
        <v>#NAME?</v>
      </c>
      <c r="S1276" t="e">
        <f ca="1">BDS("290096BT Muni","ESG_PROJECT_CATEGORY", "aggregate=y")</f>
        <v>#NAME?</v>
      </c>
      <c r="T1276" t="e">
        <f ca="1">BDS("290096BT Muni","ESG_PROJECT_SUBCATEGORY", "aggregate=y")</f>
        <v>#NAME?</v>
      </c>
    </row>
    <row r="1277" spans="1:20" x14ac:dyDescent="0.25">
      <c r="A1277" t="e">
        <f ca="1">BDP("290096CK Muni","ID_CUSIP")</f>
        <v>#NAME?</v>
      </c>
      <c r="B1277" t="e">
        <f ca="1">BDP("290096CK Muni","STATE_CODE")</f>
        <v>#NAME?</v>
      </c>
      <c r="C1277" t="s">
        <v>78</v>
      </c>
      <c r="D1277" t="e">
        <f ca="1">BDP("290096CK Muni","YIELD_ON_ISSUE_DATE")</f>
        <v>#NAME?</v>
      </c>
      <c r="E1277">
        <v>295000</v>
      </c>
      <c r="F1277" t="e">
        <f ca="1">BDP("290096CK Muni","ISSUE_DT")</f>
        <v>#NAME?</v>
      </c>
      <c r="G1277" t="e">
        <f ca="1">BDP("290096CK Muni","MATURITY")</f>
        <v>#NAME?</v>
      </c>
      <c r="H1277" t="e">
        <f ca="1">BDP("290096CK Muni","MUNI_TAX_PROV")</f>
        <v>#NAME?</v>
      </c>
      <c r="I1277" t="e">
        <f ca="1">BDP("290096CK Muni","FINANCING_TYPE")</f>
        <v>#NAME?</v>
      </c>
      <c r="J1277" t="e">
        <f ca="1">BDP("290096CK Muni","BICS_LEVEL_2_INDUSTRY_GROUP_NAME")</f>
        <v>#NAME?</v>
      </c>
      <c r="K1277" t="e">
        <f ca="1">BDP("290096CK Muni","SELF_REPRTD_GREEN_INSTR_INDCTR")</f>
        <v>#NAME?</v>
      </c>
      <c r="L1277" t="e">
        <f ca="1">BDP("290096CK Muni","GB_MANAGEMENT_PROCEEDS")</f>
        <v>#NAME?</v>
      </c>
      <c r="M1277" t="e">
        <f ca="1">BDP("290096CK Muni","GB_REPORTING")</f>
        <v>#NAME?</v>
      </c>
      <c r="N1277" t="e">
        <f ca="1">BDP("290096CK Muni","GB_ASSURANCE_PROVIDERS")</f>
        <v>#NAME?</v>
      </c>
      <c r="O1277" t="e">
        <f ca="1">BDP("290096CK Muni","GB_PROJECT_SELECTION_PROCESS")</f>
        <v>#NAME?</v>
      </c>
      <c r="P1277" t="e">
        <f ca="1">BDP("290096CK Muni","ESG_FRAMEWORK_INDICATOR")</f>
        <v>#NAME?</v>
      </c>
      <c r="Q1277" t="e">
        <f ca="1">BDP("290096CK Muni","BLOOMBERG_SECTOR_CODE")</f>
        <v>#NAME?</v>
      </c>
      <c r="R1277" t="e">
        <f ca="1">BDP("290096CK Muni","ISSUER_TYPE")</f>
        <v>#NAME?</v>
      </c>
      <c r="S1277" t="e">
        <f ca="1">BDS("290096CK Muni","ESG_PROJECT_CATEGORY", "aggregate=y")</f>
        <v>#NAME?</v>
      </c>
      <c r="T1277" t="e">
        <f ca="1">BDS("290096CK Muni","ESG_PROJECT_SUBCATEGORY", "aggregate=y")</f>
        <v>#NAME?</v>
      </c>
    </row>
    <row r="1278" spans="1:20" x14ac:dyDescent="0.25">
      <c r="A1278" t="e">
        <f ca="1">BDP("611312QP Muni","ID_CUSIP")</f>
        <v>#NAME?</v>
      </c>
      <c r="B1278" t="e">
        <f ca="1">BDP("611312QP Muni","STATE_CODE")</f>
        <v>#NAME?</v>
      </c>
      <c r="C1278" t="s">
        <v>81</v>
      </c>
      <c r="D1278" t="e">
        <f ca="1">BDP("611312QP Muni","YIELD_ON_ISSUE_DATE")</f>
        <v>#NAME?</v>
      </c>
      <c r="E1278">
        <v>260000</v>
      </c>
      <c r="F1278" t="e">
        <f ca="1">BDP("611312QP Muni","ISSUE_DT")</f>
        <v>#NAME?</v>
      </c>
      <c r="G1278" t="e">
        <f ca="1">BDP("611312QP Muni","MATURITY")</f>
        <v>#NAME?</v>
      </c>
      <c r="H1278" t="e">
        <f ca="1">BDP("611312QP Muni","MUNI_TAX_PROV")</f>
        <v>#NAME?</v>
      </c>
      <c r="I1278" t="e">
        <f ca="1">BDP("611312QP Muni","FINANCING_TYPE")</f>
        <v>#NAME?</v>
      </c>
      <c r="J1278" t="e">
        <f ca="1">BDP("611312QP Muni","BICS_LEVEL_2_INDUSTRY_GROUP_NAME")</f>
        <v>#NAME?</v>
      </c>
      <c r="K1278" t="e">
        <f ca="1">BDP("611312QP Muni","SELF_REPRTD_GREEN_INSTR_INDCTR")</f>
        <v>#NAME?</v>
      </c>
      <c r="L1278" t="e">
        <f ca="1">BDP("611312QP Muni","GB_MANAGEMENT_PROCEEDS")</f>
        <v>#NAME?</v>
      </c>
      <c r="M1278" t="e">
        <f ca="1">BDP("611312QP Muni","GB_REPORTING")</f>
        <v>#NAME?</v>
      </c>
      <c r="N1278" t="e">
        <f ca="1">BDP("611312QP Muni","GB_ASSURANCE_PROVIDERS")</f>
        <v>#NAME?</v>
      </c>
      <c r="O1278" t="e">
        <f ca="1">BDP("611312QP Muni","GB_PROJECT_SELECTION_PROCESS")</f>
        <v>#NAME?</v>
      </c>
      <c r="P1278" t="e">
        <f ca="1">BDP("611312QP Muni","ESG_FRAMEWORK_INDICATOR")</f>
        <v>#NAME?</v>
      </c>
      <c r="Q1278" t="e">
        <f ca="1">BDP("611312QP Muni","BLOOMBERG_SECTOR_CODE")</f>
        <v>#NAME?</v>
      </c>
      <c r="R1278" t="e">
        <f ca="1">BDP("611312QP Muni","ISSUER_TYPE")</f>
        <v>#NAME?</v>
      </c>
      <c r="S1278" t="e">
        <f ca="1">BDS("611312QP Muni","ESG_PROJECT_CATEGORY", "aggregate=y")</f>
        <v>#NAME?</v>
      </c>
      <c r="T1278" t="e">
        <f ca="1">BDS("611312QP Muni","ESG_PROJECT_SUBCATEGORY", "aggregate=y")</f>
        <v>#NAME?</v>
      </c>
    </row>
    <row r="1279" spans="1:20" x14ac:dyDescent="0.25">
      <c r="A1279" t="e">
        <f ca="1">BDP("611312QR Muni","ID_CUSIP")</f>
        <v>#NAME?</v>
      </c>
      <c r="B1279" t="e">
        <f ca="1">BDP("611312QR Muni","STATE_CODE")</f>
        <v>#NAME?</v>
      </c>
      <c r="C1279" t="s">
        <v>81</v>
      </c>
      <c r="D1279" t="e">
        <f ca="1">BDP("611312QR Muni","YIELD_ON_ISSUE_DATE")</f>
        <v>#NAME?</v>
      </c>
      <c r="E1279">
        <v>295000</v>
      </c>
      <c r="F1279" t="e">
        <f ca="1">BDP("611312QR Muni","ISSUE_DT")</f>
        <v>#NAME?</v>
      </c>
      <c r="G1279" t="e">
        <f ca="1">BDP("611312QR Muni","MATURITY")</f>
        <v>#NAME?</v>
      </c>
      <c r="H1279" t="e">
        <f ca="1">BDP("611312QR Muni","MUNI_TAX_PROV")</f>
        <v>#NAME?</v>
      </c>
      <c r="I1279" t="e">
        <f ca="1">BDP("611312QR Muni","FINANCING_TYPE")</f>
        <v>#NAME?</v>
      </c>
      <c r="J1279" t="e">
        <f ca="1">BDP("611312QR Muni","BICS_LEVEL_2_INDUSTRY_GROUP_NAME")</f>
        <v>#NAME?</v>
      </c>
      <c r="K1279" t="e">
        <f ca="1">BDP("611312QR Muni","SELF_REPRTD_GREEN_INSTR_INDCTR")</f>
        <v>#NAME?</v>
      </c>
      <c r="L1279" t="e">
        <f ca="1">BDP("611312QR Muni","GB_MANAGEMENT_PROCEEDS")</f>
        <v>#NAME?</v>
      </c>
      <c r="M1279" t="e">
        <f ca="1">BDP("611312QR Muni","GB_REPORTING")</f>
        <v>#NAME?</v>
      </c>
      <c r="N1279" t="e">
        <f ca="1">BDP("611312QR Muni","GB_ASSURANCE_PROVIDERS")</f>
        <v>#NAME?</v>
      </c>
      <c r="O1279" t="e">
        <f ca="1">BDP("611312QR Muni","GB_PROJECT_SELECTION_PROCESS")</f>
        <v>#NAME?</v>
      </c>
      <c r="P1279" t="e">
        <f ca="1">BDP("611312QR Muni","ESG_FRAMEWORK_INDICATOR")</f>
        <v>#NAME?</v>
      </c>
      <c r="Q1279" t="e">
        <f ca="1">BDP("611312QR Muni","BLOOMBERG_SECTOR_CODE")</f>
        <v>#NAME?</v>
      </c>
      <c r="R1279" t="e">
        <f ca="1">BDP("611312QR Muni","ISSUER_TYPE")</f>
        <v>#NAME?</v>
      </c>
      <c r="S1279" t="e">
        <f ca="1">BDS("611312QR Muni","ESG_PROJECT_CATEGORY", "aggregate=y")</f>
        <v>#NAME?</v>
      </c>
      <c r="T1279" t="e">
        <f ca="1">BDS("611312QR Muni","ESG_PROJECT_SUBCATEGORY", "aggregate=y")</f>
        <v>#NAME?</v>
      </c>
    </row>
    <row r="1280" spans="1:20" x14ac:dyDescent="0.25">
      <c r="A1280" t="e">
        <f ca="1">BDP("611312QY Muni","ID_CUSIP")</f>
        <v>#NAME?</v>
      </c>
      <c r="B1280" t="e">
        <f ca="1">BDP("611312QY Muni","STATE_CODE")</f>
        <v>#NAME?</v>
      </c>
      <c r="C1280" t="s">
        <v>81</v>
      </c>
      <c r="D1280" t="e">
        <f ca="1">BDP("611312QY Muni","YIELD_ON_ISSUE_DATE")</f>
        <v>#NAME?</v>
      </c>
      <c r="E1280">
        <v>470000</v>
      </c>
      <c r="F1280" t="e">
        <f ca="1">BDP("611312QY Muni","ISSUE_DT")</f>
        <v>#NAME?</v>
      </c>
      <c r="G1280" t="e">
        <f ca="1">BDP("611312QY Muni","MATURITY")</f>
        <v>#NAME?</v>
      </c>
      <c r="H1280" t="e">
        <f ca="1">BDP("611312QY Muni","MUNI_TAX_PROV")</f>
        <v>#NAME?</v>
      </c>
      <c r="I1280" t="e">
        <f ca="1">BDP("611312QY Muni","FINANCING_TYPE")</f>
        <v>#NAME?</v>
      </c>
      <c r="J1280" t="e">
        <f ca="1">BDP("611312QY Muni","BICS_LEVEL_2_INDUSTRY_GROUP_NAME")</f>
        <v>#NAME?</v>
      </c>
      <c r="K1280" t="e">
        <f ca="1">BDP("611312QY Muni","SELF_REPRTD_GREEN_INSTR_INDCTR")</f>
        <v>#NAME?</v>
      </c>
      <c r="L1280" t="e">
        <f ca="1">BDP("611312QY Muni","GB_MANAGEMENT_PROCEEDS")</f>
        <v>#NAME?</v>
      </c>
      <c r="M1280" t="e">
        <f ca="1">BDP("611312QY Muni","GB_REPORTING")</f>
        <v>#NAME?</v>
      </c>
      <c r="N1280" t="e">
        <f ca="1">BDP("611312QY Muni","GB_ASSURANCE_PROVIDERS")</f>
        <v>#NAME?</v>
      </c>
      <c r="O1280" t="e">
        <f ca="1">BDP("611312QY Muni","GB_PROJECT_SELECTION_PROCESS")</f>
        <v>#NAME?</v>
      </c>
      <c r="P1280" t="e">
        <f ca="1">BDP("611312QY Muni","ESG_FRAMEWORK_INDICATOR")</f>
        <v>#NAME?</v>
      </c>
      <c r="Q1280" t="e">
        <f ca="1">BDP("611312QY Muni","BLOOMBERG_SECTOR_CODE")</f>
        <v>#NAME?</v>
      </c>
      <c r="R1280" t="e">
        <f ca="1">BDP("611312QY Muni","ISSUER_TYPE")</f>
        <v>#NAME?</v>
      </c>
      <c r="S1280" t="e">
        <f ca="1">BDS("611312QY Muni","ESG_PROJECT_CATEGORY", "aggregate=y")</f>
        <v>#NAME?</v>
      </c>
      <c r="T1280" t="e">
        <f ca="1">BDS("611312QY Muni","ESG_PROJECT_SUBCATEGORY", "aggregate=y")</f>
        <v>#NAME?</v>
      </c>
    </row>
    <row r="1281" spans="1:20" x14ac:dyDescent="0.25">
      <c r="A1281" t="e">
        <f ca="1">BDP("924736HS Muni","ID_CUSIP")</f>
        <v>#NAME?</v>
      </c>
      <c r="B1281" t="e">
        <f ca="1">BDP("924736HS Muni","STATE_CODE")</f>
        <v>#NAME?</v>
      </c>
      <c r="C1281" t="s">
        <v>74</v>
      </c>
      <c r="D1281" t="e">
        <f ca="1">BDP("924736HS Muni","YIELD_ON_ISSUE_DATE")</f>
        <v>#NAME?</v>
      </c>
      <c r="E1281">
        <v>315000</v>
      </c>
      <c r="F1281" t="e">
        <f ca="1">BDP("924736HS Muni","ISSUE_DT")</f>
        <v>#NAME?</v>
      </c>
      <c r="G1281" t="e">
        <f ca="1">BDP("924736HS Muni","MATURITY")</f>
        <v>#NAME?</v>
      </c>
      <c r="H1281" t="e">
        <f ca="1">BDP("924736HS Muni","MUNI_TAX_PROV")</f>
        <v>#NAME?</v>
      </c>
      <c r="I1281" t="e">
        <f ca="1">BDP("924736HS Muni","FINANCING_TYPE")</f>
        <v>#NAME?</v>
      </c>
      <c r="J1281" t="e">
        <f ca="1">BDP("924736HS Muni","BICS_LEVEL_2_INDUSTRY_GROUP_NAME")</f>
        <v>#NAME?</v>
      </c>
      <c r="K1281" t="e">
        <f ca="1">BDP("924736HS Muni","SELF_REPRTD_GREEN_INSTR_INDCTR")</f>
        <v>#NAME?</v>
      </c>
      <c r="L1281" t="e">
        <f ca="1">BDP("924736HS Muni","GB_MANAGEMENT_PROCEEDS")</f>
        <v>#NAME?</v>
      </c>
      <c r="M1281" t="e">
        <f ca="1">BDP("924736HS Muni","GB_REPORTING")</f>
        <v>#NAME?</v>
      </c>
      <c r="N1281" t="e">
        <f ca="1">BDP("924736HS Muni","GB_ASSURANCE_PROVIDERS")</f>
        <v>#NAME?</v>
      </c>
      <c r="O1281" t="e">
        <f ca="1">BDP("924736HS Muni","GB_PROJECT_SELECTION_PROCESS")</f>
        <v>#NAME?</v>
      </c>
      <c r="P1281" t="e">
        <f ca="1">BDP("924736HS Muni","ESG_FRAMEWORK_INDICATOR")</f>
        <v>#NAME?</v>
      </c>
      <c r="Q1281" t="e">
        <f ca="1">BDP("924736HS Muni","BLOOMBERG_SECTOR_CODE")</f>
        <v>#NAME?</v>
      </c>
      <c r="R1281" t="e">
        <f ca="1">BDP("924736HS Muni","ISSUER_TYPE")</f>
        <v>#NAME?</v>
      </c>
      <c r="S1281" t="e">
        <f ca="1">BDS("924736HS Muni","ESG_PROJECT_CATEGORY", "aggregate=y")</f>
        <v>#NAME?</v>
      </c>
      <c r="T1281" t="e">
        <f ca="1">BDS("924736HS Muni","ESG_PROJECT_SUBCATEGORY", "aggregate=y")</f>
        <v>#NAME?</v>
      </c>
    </row>
    <row r="1282" spans="1:20" x14ac:dyDescent="0.25">
      <c r="A1282" t="e">
        <f ca="1">BDP("924736HW Muni","ID_CUSIP")</f>
        <v>#NAME?</v>
      </c>
      <c r="B1282" t="e">
        <f ca="1">BDP("924736HW Muni","STATE_CODE")</f>
        <v>#NAME?</v>
      </c>
      <c r="C1282" t="s">
        <v>74</v>
      </c>
      <c r="D1282" t="e">
        <f ca="1">BDP("924736HW Muni","YIELD_ON_ISSUE_DATE")</f>
        <v>#NAME?</v>
      </c>
      <c r="E1282">
        <v>335000</v>
      </c>
      <c r="F1282" t="e">
        <f ca="1">BDP("924736HW Muni","ISSUE_DT")</f>
        <v>#NAME?</v>
      </c>
      <c r="G1282" t="e">
        <f ca="1">BDP("924736HW Muni","MATURITY")</f>
        <v>#NAME?</v>
      </c>
      <c r="H1282" t="e">
        <f ca="1">BDP("924736HW Muni","MUNI_TAX_PROV")</f>
        <v>#NAME?</v>
      </c>
      <c r="I1282" t="e">
        <f ca="1">BDP("924736HW Muni","FINANCING_TYPE")</f>
        <v>#NAME?</v>
      </c>
      <c r="J1282" t="e">
        <f ca="1">BDP("924736HW Muni","BICS_LEVEL_2_INDUSTRY_GROUP_NAME")</f>
        <v>#NAME?</v>
      </c>
      <c r="K1282" t="e">
        <f ca="1">BDP("924736HW Muni","SELF_REPRTD_GREEN_INSTR_INDCTR")</f>
        <v>#NAME?</v>
      </c>
      <c r="L1282" t="e">
        <f ca="1">BDP("924736HW Muni","GB_MANAGEMENT_PROCEEDS")</f>
        <v>#NAME?</v>
      </c>
      <c r="M1282" t="e">
        <f ca="1">BDP("924736HW Muni","GB_REPORTING")</f>
        <v>#NAME?</v>
      </c>
      <c r="N1282" t="e">
        <f ca="1">BDP("924736HW Muni","GB_ASSURANCE_PROVIDERS")</f>
        <v>#NAME?</v>
      </c>
      <c r="O1282" t="e">
        <f ca="1">BDP("924736HW Muni","GB_PROJECT_SELECTION_PROCESS")</f>
        <v>#NAME?</v>
      </c>
      <c r="P1282" t="e">
        <f ca="1">BDP("924736HW Muni","ESG_FRAMEWORK_INDICATOR")</f>
        <v>#NAME?</v>
      </c>
      <c r="Q1282" t="e">
        <f ca="1">BDP("924736HW Muni","BLOOMBERG_SECTOR_CODE")</f>
        <v>#NAME?</v>
      </c>
      <c r="R1282" t="e">
        <f ca="1">BDP("924736HW Muni","ISSUER_TYPE")</f>
        <v>#NAME?</v>
      </c>
      <c r="S1282" t="e">
        <f ca="1">BDS("924736HW Muni","ESG_PROJECT_CATEGORY", "aggregate=y")</f>
        <v>#NAME?</v>
      </c>
      <c r="T1282" t="e">
        <f ca="1">BDS("924736HW Muni","ESG_PROJECT_SUBCATEGORY", "aggregate=y")</f>
        <v>#NAME?</v>
      </c>
    </row>
    <row r="1283" spans="1:20" x14ac:dyDescent="0.25">
      <c r="A1283" t="e">
        <f ca="1">BDP("927405AS Muni","ID_CUSIP")</f>
        <v>#NAME?</v>
      </c>
      <c r="B1283" t="e">
        <f ca="1">BDP("927405AS Muni","STATE_CODE")</f>
        <v>#NAME?</v>
      </c>
      <c r="C1283" t="s">
        <v>75</v>
      </c>
      <c r="D1283" t="e">
        <f ca="1">BDP("927405AS Muni","YIELD_ON_ISSUE_DATE")</f>
        <v>#NAME?</v>
      </c>
      <c r="E1283">
        <v>530000</v>
      </c>
      <c r="F1283" t="e">
        <f ca="1">BDP("927405AS Muni","ISSUE_DT")</f>
        <v>#NAME?</v>
      </c>
      <c r="G1283" t="e">
        <f ca="1">BDP("927405AS Muni","MATURITY")</f>
        <v>#NAME?</v>
      </c>
      <c r="H1283" t="e">
        <f ca="1">BDP("927405AS Muni","MUNI_TAX_PROV")</f>
        <v>#NAME?</v>
      </c>
      <c r="I1283" t="e">
        <f ca="1">BDP("927405AS Muni","FINANCING_TYPE")</f>
        <v>#NAME?</v>
      </c>
      <c r="J1283" t="e">
        <f ca="1">BDP("927405AS Muni","BICS_LEVEL_2_INDUSTRY_GROUP_NAME")</f>
        <v>#NAME?</v>
      </c>
      <c r="K1283" t="e">
        <f ca="1">BDP("927405AS Muni","SELF_REPRTD_GREEN_INSTR_INDCTR")</f>
        <v>#NAME?</v>
      </c>
      <c r="L1283" t="e">
        <f ca="1">BDP("927405AS Muni","GB_MANAGEMENT_PROCEEDS")</f>
        <v>#NAME?</v>
      </c>
      <c r="M1283" t="e">
        <f ca="1">BDP("927405AS Muni","GB_REPORTING")</f>
        <v>#NAME?</v>
      </c>
      <c r="N1283" t="e">
        <f ca="1">BDP("927405AS Muni","GB_ASSURANCE_PROVIDERS")</f>
        <v>#NAME?</v>
      </c>
      <c r="O1283" t="e">
        <f ca="1">BDP("927405AS Muni","GB_PROJECT_SELECTION_PROCESS")</f>
        <v>#NAME?</v>
      </c>
      <c r="P1283" t="e">
        <f ca="1">BDP("927405AS Muni","ESG_FRAMEWORK_INDICATOR")</f>
        <v>#NAME?</v>
      </c>
      <c r="Q1283" t="e">
        <f ca="1">BDP("927405AS Muni","BLOOMBERG_SECTOR_CODE")</f>
        <v>#NAME?</v>
      </c>
      <c r="R1283" t="e">
        <f ca="1">BDP("927405AS Muni","ISSUER_TYPE")</f>
        <v>#NAME?</v>
      </c>
      <c r="S1283" t="e">
        <f ca="1">BDS("927405AS Muni","ESG_PROJECT_CATEGORY", "aggregate=y")</f>
        <v>#NAME?</v>
      </c>
      <c r="T1283" t="e">
        <f ca="1">BDS("927405AS Muni","ESG_PROJECT_SUBCATEGORY", "aggregate=y")</f>
        <v>#NAME?</v>
      </c>
    </row>
    <row r="1284" spans="1:20" x14ac:dyDescent="0.25">
      <c r="A1284" t="e">
        <f ca="1">BDP("927405BG Muni","ID_CUSIP")</f>
        <v>#NAME?</v>
      </c>
      <c r="B1284" t="e">
        <f ca="1">BDP("927405BG Muni","STATE_CODE")</f>
        <v>#NAME?</v>
      </c>
      <c r="C1284" t="s">
        <v>75</v>
      </c>
      <c r="D1284" t="e">
        <f ca="1">BDP("927405BG Muni","YIELD_ON_ISSUE_DATE")</f>
        <v>#NAME?</v>
      </c>
      <c r="E1284">
        <v>1695000</v>
      </c>
      <c r="F1284" t="e">
        <f ca="1">BDP("927405BG Muni","ISSUE_DT")</f>
        <v>#NAME?</v>
      </c>
      <c r="G1284" t="e">
        <f ca="1">BDP("927405BG Muni","MATURITY")</f>
        <v>#NAME?</v>
      </c>
      <c r="H1284" t="e">
        <f ca="1">BDP("927405BG Muni","MUNI_TAX_PROV")</f>
        <v>#NAME?</v>
      </c>
      <c r="I1284" t="e">
        <f ca="1">BDP("927405BG Muni","FINANCING_TYPE")</f>
        <v>#NAME?</v>
      </c>
      <c r="J1284" t="e">
        <f ca="1">BDP("927405BG Muni","BICS_LEVEL_2_INDUSTRY_GROUP_NAME")</f>
        <v>#NAME?</v>
      </c>
      <c r="K1284" t="e">
        <f ca="1">BDP("927405BG Muni","SELF_REPRTD_GREEN_INSTR_INDCTR")</f>
        <v>#NAME?</v>
      </c>
      <c r="L1284" t="e">
        <f ca="1">BDP("927405BG Muni","GB_MANAGEMENT_PROCEEDS")</f>
        <v>#NAME?</v>
      </c>
      <c r="M1284" t="e">
        <f ca="1">BDP("927405BG Muni","GB_REPORTING")</f>
        <v>#NAME?</v>
      </c>
      <c r="N1284" t="e">
        <f ca="1">BDP("927405BG Muni","GB_ASSURANCE_PROVIDERS")</f>
        <v>#NAME?</v>
      </c>
      <c r="O1284" t="e">
        <f ca="1">BDP("927405BG Muni","GB_PROJECT_SELECTION_PROCESS")</f>
        <v>#NAME?</v>
      </c>
      <c r="P1284" t="e">
        <f ca="1">BDP("927405BG Muni","ESG_FRAMEWORK_INDICATOR")</f>
        <v>#NAME?</v>
      </c>
      <c r="Q1284" t="e">
        <f ca="1">BDP("927405BG Muni","BLOOMBERG_SECTOR_CODE")</f>
        <v>#NAME?</v>
      </c>
      <c r="R1284" t="e">
        <f ca="1">BDP("927405BG Muni","ISSUER_TYPE")</f>
        <v>#NAME?</v>
      </c>
      <c r="S1284" t="e">
        <f ca="1">BDS("927405BG Muni","ESG_PROJECT_CATEGORY", "aggregate=y")</f>
        <v>#NAME?</v>
      </c>
      <c r="T1284" t="e">
        <f ca="1">BDS("927405BG Muni","ESG_PROJECT_SUBCATEGORY", "aggregate=y")</f>
        <v>#NAME?</v>
      </c>
    </row>
    <row r="1285" spans="1:20" x14ac:dyDescent="0.25">
      <c r="A1285" t="e">
        <f ca="1">BDP("073013BE Muni","ID_CUSIP")</f>
        <v>#NAME?</v>
      </c>
      <c r="B1285" t="e">
        <f ca="1">BDP("073013BE Muni","STATE_CODE")</f>
        <v>#NAME?</v>
      </c>
      <c r="C1285" t="s">
        <v>83</v>
      </c>
      <c r="D1285" t="e">
        <f ca="1">BDP("073013BE Muni","YIELD_ON_ISSUE_DATE")</f>
        <v>#NAME?</v>
      </c>
      <c r="E1285">
        <v>365000</v>
      </c>
      <c r="F1285" t="e">
        <f ca="1">BDP("073013BE Muni","ISSUE_DT")</f>
        <v>#NAME?</v>
      </c>
      <c r="G1285" t="e">
        <f ca="1">BDP("073013BE Muni","MATURITY")</f>
        <v>#NAME?</v>
      </c>
      <c r="H1285" t="e">
        <f ca="1">BDP("073013BE Muni","MUNI_TAX_PROV")</f>
        <v>#NAME?</v>
      </c>
      <c r="I1285" t="e">
        <f ca="1">BDP("073013BE Muni","FINANCING_TYPE")</f>
        <v>#NAME?</v>
      </c>
      <c r="J1285" t="e">
        <f ca="1">BDP("073013BE Muni","BICS_LEVEL_2_INDUSTRY_GROUP_NAME")</f>
        <v>#NAME?</v>
      </c>
      <c r="K1285" t="e">
        <f ca="1">BDP("073013BE Muni","SELF_REPRTD_GREEN_INSTR_INDCTR")</f>
        <v>#NAME?</v>
      </c>
      <c r="L1285" t="e">
        <f ca="1">BDP("073013BE Muni","GB_MANAGEMENT_PROCEEDS")</f>
        <v>#NAME?</v>
      </c>
      <c r="M1285" t="e">
        <f ca="1">BDP("073013BE Muni","GB_REPORTING")</f>
        <v>#NAME?</v>
      </c>
      <c r="N1285" t="e">
        <f ca="1">BDP("073013BE Muni","GB_ASSURANCE_PROVIDERS")</f>
        <v>#NAME?</v>
      </c>
      <c r="O1285" t="e">
        <f ca="1">BDP("073013BE Muni","GB_PROJECT_SELECTION_PROCESS")</f>
        <v>#NAME?</v>
      </c>
      <c r="P1285" t="e">
        <f ca="1">BDP("073013BE Muni","ESG_FRAMEWORK_INDICATOR")</f>
        <v>#NAME?</v>
      </c>
      <c r="Q1285" t="e">
        <f ca="1">BDP("073013BE Muni","BLOOMBERG_SECTOR_CODE")</f>
        <v>#NAME?</v>
      </c>
      <c r="R1285" t="e">
        <f ca="1">BDP("073013BE Muni","ISSUER_TYPE")</f>
        <v>#NAME?</v>
      </c>
      <c r="S1285" t="e">
        <f ca="1">BDS("073013BE Muni","ESG_PROJECT_CATEGORY", "aggregate=y")</f>
        <v>#NAME?</v>
      </c>
      <c r="T1285" t="e">
        <f ca="1">BDS("073013BE Muni","ESG_PROJECT_SUBCATEGORY", "aggregate=y")</f>
        <v>#NAME?</v>
      </c>
    </row>
    <row r="1286" spans="1:20" x14ac:dyDescent="0.25">
      <c r="A1286" t="e">
        <f ca="1">BDP("224525JB Muni","ID_CUSIP")</f>
        <v>#NAME?</v>
      </c>
      <c r="B1286" t="e">
        <f ca="1">BDP("224525JB Muni","STATE_CODE")</f>
        <v>#NAME?</v>
      </c>
      <c r="C1286" t="s">
        <v>77</v>
      </c>
      <c r="D1286" t="e">
        <f ca="1">BDP("224525JB Muni","YIELD_ON_ISSUE_DATE")</f>
        <v>#NAME?</v>
      </c>
      <c r="E1286">
        <v>450000</v>
      </c>
      <c r="F1286" t="e">
        <f ca="1">BDP("224525JB Muni","ISSUE_DT")</f>
        <v>#NAME?</v>
      </c>
      <c r="G1286" t="e">
        <f ca="1">BDP("224525JB Muni","MATURITY")</f>
        <v>#NAME?</v>
      </c>
      <c r="H1286" t="e">
        <f ca="1">BDP("224525JB Muni","MUNI_TAX_PROV")</f>
        <v>#NAME?</v>
      </c>
      <c r="I1286" t="e">
        <f ca="1">BDP("224525JB Muni","FINANCING_TYPE")</f>
        <v>#NAME?</v>
      </c>
      <c r="J1286" t="e">
        <f ca="1">BDP("224525JB Muni","BICS_LEVEL_2_INDUSTRY_GROUP_NAME")</f>
        <v>#NAME?</v>
      </c>
      <c r="K1286" t="e">
        <f ca="1">BDP("224525JB Muni","SELF_REPRTD_GREEN_INSTR_INDCTR")</f>
        <v>#NAME?</v>
      </c>
      <c r="L1286" t="e">
        <f ca="1">BDP("224525JB Muni","GB_MANAGEMENT_PROCEEDS")</f>
        <v>#NAME?</v>
      </c>
      <c r="M1286" t="e">
        <f ca="1">BDP("224525JB Muni","GB_REPORTING")</f>
        <v>#NAME?</v>
      </c>
      <c r="N1286" t="e">
        <f ca="1">BDP("224525JB Muni","GB_ASSURANCE_PROVIDERS")</f>
        <v>#NAME?</v>
      </c>
      <c r="O1286" t="e">
        <f ca="1">BDP("224525JB Muni","GB_PROJECT_SELECTION_PROCESS")</f>
        <v>#NAME?</v>
      </c>
      <c r="P1286" t="e">
        <f ca="1">BDP("224525JB Muni","ESG_FRAMEWORK_INDICATOR")</f>
        <v>#NAME?</v>
      </c>
      <c r="Q1286" t="e">
        <f ca="1">BDP("224525JB Muni","BLOOMBERG_SECTOR_CODE")</f>
        <v>#NAME?</v>
      </c>
      <c r="R1286" t="e">
        <f ca="1">BDP("224525JB Muni","ISSUER_TYPE")</f>
        <v>#NAME?</v>
      </c>
      <c r="S1286" t="e">
        <f ca="1">BDS("224525JB Muni","ESG_PROJECT_CATEGORY", "aggregate=y")</f>
        <v>#NAME?</v>
      </c>
      <c r="T1286" t="e">
        <f ca="1">BDS("224525JB Muni","ESG_PROJECT_SUBCATEGORY", "aggregate=y")</f>
        <v>#NAME?</v>
      </c>
    </row>
    <row r="1287" spans="1:20" x14ac:dyDescent="0.25">
      <c r="A1287" t="e">
        <f ca="1">BDP("290096BV Muni","ID_CUSIP")</f>
        <v>#NAME?</v>
      </c>
      <c r="B1287" t="e">
        <f ca="1">BDP("290096BV Muni","STATE_CODE")</f>
        <v>#NAME?</v>
      </c>
      <c r="C1287" t="s">
        <v>78</v>
      </c>
      <c r="D1287" t="e">
        <f ca="1">BDP("290096BV Muni","YIELD_ON_ISSUE_DATE")</f>
        <v>#NAME?</v>
      </c>
      <c r="E1287">
        <v>105000</v>
      </c>
      <c r="F1287" t="e">
        <f ca="1">BDP("290096BV Muni","ISSUE_DT")</f>
        <v>#NAME?</v>
      </c>
      <c r="G1287" t="e">
        <f ca="1">BDP("290096BV Muni","MATURITY")</f>
        <v>#NAME?</v>
      </c>
      <c r="H1287" t="e">
        <f ca="1">BDP("290096BV Muni","MUNI_TAX_PROV")</f>
        <v>#NAME?</v>
      </c>
      <c r="I1287" t="e">
        <f ca="1">BDP("290096BV Muni","FINANCING_TYPE")</f>
        <v>#NAME?</v>
      </c>
      <c r="J1287" t="e">
        <f ca="1">BDP("290096BV Muni","BICS_LEVEL_2_INDUSTRY_GROUP_NAME")</f>
        <v>#NAME?</v>
      </c>
      <c r="K1287" t="e">
        <f ca="1">BDP("290096BV Muni","SELF_REPRTD_GREEN_INSTR_INDCTR")</f>
        <v>#NAME?</v>
      </c>
      <c r="L1287" t="e">
        <f ca="1">BDP("290096BV Muni","GB_MANAGEMENT_PROCEEDS")</f>
        <v>#NAME?</v>
      </c>
      <c r="M1287" t="e">
        <f ca="1">BDP("290096BV Muni","GB_REPORTING")</f>
        <v>#NAME?</v>
      </c>
      <c r="N1287" t="e">
        <f ca="1">BDP("290096BV Muni","GB_ASSURANCE_PROVIDERS")</f>
        <v>#NAME?</v>
      </c>
      <c r="O1287" t="e">
        <f ca="1">BDP("290096BV Muni","GB_PROJECT_SELECTION_PROCESS")</f>
        <v>#NAME?</v>
      </c>
      <c r="P1287" t="e">
        <f ca="1">BDP("290096BV Muni","ESG_FRAMEWORK_INDICATOR")</f>
        <v>#NAME?</v>
      </c>
      <c r="Q1287" t="e">
        <f ca="1">BDP("290096BV Muni","BLOOMBERG_SECTOR_CODE")</f>
        <v>#NAME?</v>
      </c>
      <c r="R1287" t="e">
        <f ca="1">BDP("290096BV Muni","ISSUER_TYPE")</f>
        <v>#NAME?</v>
      </c>
      <c r="S1287" t="e">
        <f ca="1">BDS("290096BV Muni","ESG_PROJECT_CATEGORY", "aggregate=y")</f>
        <v>#NAME?</v>
      </c>
      <c r="T1287" t="e">
        <f ca="1">BDS("290096BV Muni","ESG_PROJECT_SUBCATEGORY", "aggregate=y")</f>
        <v>#NAME?</v>
      </c>
    </row>
    <row r="1288" spans="1:20" x14ac:dyDescent="0.25">
      <c r="A1288" t="e">
        <f ca="1">BDP("290096BW Muni","ID_CUSIP")</f>
        <v>#NAME?</v>
      </c>
      <c r="B1288" t="e">
        <f ca="1">BDP("290096BW Muni","STATE_CODE")</f>
        <v>#NAME?</v>
      </c>
      <c r="C1288" t="s">
        <v>78</v>
      </c>
      <c r="D1288" t="e">
        <f ca="1">BDP("290096BW Muni","YIELD_ON_ISSUE_DATE")</f>
        <v>#NAME?</v>
      </c>
      <c r="E1288">
        <v>115000</v>
      </c>
      <c r="F1288" t="e">
        <f ca="1">BDP("290096BW Muni","ISSUE_DT")</f>
        <v>#NAME?</v>
      </c>
      <c r="G1288" t="e">
        <f ca="1">BDP("290096BW Muni","MATURITY")</f>
        <v>#NAME?</v>
      </c>
      <c r="H1288" t="e">
        <f ca="1">BDP("290096BW Muni","MUNI_TAX_PROV")</f>
        <v>#NAME?</v>
      </c>
      <c r="I1288" t="e">
        <f ca="1">BDP("290096BW Muni","FINANCING_TYPE")</f>
        <v>#NAME?</v>
      </c>
      <c r="J1288" t="e">
        <f ca="1">BDP("290096BW Muni","BICS_LEVEL_2_INDUSTRY_GROUP_NAME")</f>
        <v>#NAME?</v>
      </c>
      <c r="K1288" t="e">
        <f ca="1">BDP("290096BW Muni","SELF_REPRTD_GREEN_INSTR_INDCTR")</f>
        <v>#NAME?</v>
      </c>
      <c r="L1288" t="e">
        <f ca="1">BDP("290096BW Muni","GB_MANAGEMENT_PROCEEDS")</f>
        <v>#NAME?</v>
      </c>
      <c r="M1288" t="e">
        <f ca="1">BDP("290096BW Muni","GB_REPORTING")</f>
        <v>#NAME?</v>
      </c>
      <c r="N1288" t="e">
        <f ca="1">BDP("290096BW Muni","GB_ASSURANCE_PROVIDERS")</f>
        <v>#NAME?</v>
      </c>
      <c r="O1288" t="e">
        <f ca="1">BDP("290096BW Muni","GB_PROJECT_SELECTION_PROCESS")</f>
        <v>#NAME?</v>
      </c>
      <c r="P1288" t="e">
        <f ca="1">BDP("290096BW Muni","ESG_FRAMEWORK_INDICATOR")</f>
        <v>#NAME?</v>
      </c>
      <c r="Q1288" t="e">
        <f ca="1">BDP("290096BW Muni","BLOOMBERG_SECTOR_CODE")</f>
        <v>#NAME?</v>
      </c>
      <c r="R1288" t="e">
        <f ca="1">BDP("290096BW Muni","ISSUER_TYPE")</f>
        <v>#NAME?</v>
      </c>
      <c r="S1288" t="e">
        <f ca="1">BDS("290096BW Muni","ESG_PROJECT_CATEGORY", "aggregate=y")</f>
        <v>#NAME?</v>
      </c>
      <c r="T1288" t="e">
        <f ca="1">BDS("290096BW Muni","ESG_PROJECT_SUBCATEGORY", "aggregate=y")</f>
        <v>#NAME?</v>
      </c>
    </row>
    <row r="1289" spans="1:20" x14ac:dyDescent="0.25">
      <c r="A1289" t="e">
        <f ca="1">BDP("611312QM Muni","ID_CUSIP")</f>
        <v>#NAME?</v>
      </c>
      <c r="B1289" t="e">
        <f ca="1">BDP("611312QM Muni","STATE_CODE")</f>
        <v>#NAME?</v>
      </c>
      <c r="C1289" t="s">
        <v>81</v>
      </c>
      <c r="D1289" t="e">
        <f ca="1">BDP("611312QM Muni","YIELD_ON_ISSUE_DATE")</f>
        <v>#NAME?</v>
      </c>
      <c r="E1289">
        <v>225000</v>
      </c>
      <c r="F1289" t="e">
        <f ca="1">BDP("611312QM Muni","ISSUE_DT")</f>
        <v>#NAME?</v>
      </c>
      <c r="G1289" t="e">
        <f ca="1">BDP("611312QM Muni","MATURITY")</f>
        <v>#NAME?</v>
      </c>
      <c r="H1289" t="e">
        <f ca="1">BDP("611312QM Muni","MUNI_TAX_PROV")</f>
        <v>#NAME?</v>
      </c>
      <c r="I1289" t="e">
        <f ca="1">BDP("611312QM Muni","FINANCING_TYPE")</f>
        <v>#NAME?</v>
      </c>
      <c r="J1289" t="e">
        <f ca="1">BDP("611312QM Muni","BICS_LEVEL_2_INDUSTRY_GROUP_NAME")</f>
        <v>#NAME?</v>
      </c>
      <c r="K1289" t="e">
        <f ca="1">BDP("611312QM Muni","SELF_REPRTD_GREEN_INSTR_INDCTR")</f>
        <v>#NAME?</v>
      </c>
      <c r="L1289" t="e">
        <f ca="1">BDP("611312QM Muni","GB_MANAGEMENT_PROCEEDS")</f>
        <v>#NAME?</v>
      </c>
      <c r="M1289" t="e">
        <f ca="1">BDP("611312QM Muni","GB_REPORTING")</f>
        <v>#NAME?</v>
      </c>
      <c r="N1289" t="e">
        <f ca="1">BDP("611312QM Muni","GB_ASSURANCE_PROVIDERS")</f>
        <v>#NAME?</v>
      </c>
      <c r="O1289" t="e">
        <f ca="1">BDP("611312QM Muni","GB_PROJECT_SELECTION_PROCESS")</f>
        <v>#NAME?</v>
      </c>
      <c r="P1289" t="e">
        <f ca="1">BDP("611312QM Muni","ESG_FRAMEWORK_INDICATOR")</f>
        <v>#NAME?</v>
      </c>
      <c r="Q1289" t="e">
        <f ca="1">BDP("611312QM Muni","BLOOMBERG_SECTOR_CODE")</f>
        <v>#NAME?</v>
      </c>
      <c r="R1289" t="e">
        <f ca="1">BDP("611312QM Muni","ISSUER_TYPE")</f>
        <v>#NAME?</v>
      </c>
      <c r="S1289" t="e">
        <f ca="1">BDS("611312QM Muni","ESG_PROJECT_CATEGORY", "aggregate=y")</f>
        <v>#NAME?</v>
      </c>
      <c r="T1289" t="e">
        <f ca="1">BDS("611312QM Muni","ESG_PROJECT_SUBCATEGORY", "aggregate=y")</f>
        <v>#NAME?</v>
      </c>
    </row>
    <row r="1290" spans="1:20" x14ac:dyDescent="0.25">
      <c r="A1290" t="e">
        <f ca="1">BDP("611312QT Muni","ID_CUSIP")</f>
        <v>#NAME?</v>
      </c>
      <c r="B1290" t="e">
        <f ca="1">BDP("611312QT Muni","STATE_CODE")</f>
        <v>#NAME?</v>
      </c>
      <c r="C1290" t="s">
        <v>81</v>
      </c>
      <c r="D1290" t="e">
        <f ca="1">BDP("611312QT Muni","YIELD_ON_ISSUE_DATE")</f>
        <v>#NAME?</v>
      </c>
      <c r="E1290">
        <v>340000</v>
      </c>
      <c r="F1290" t="e">
        <f ca="1">BDP("611312QT Muni","ISSUE_DT")</f>
        <v>#NAME?</v>
      </c>
      <c r="G1290" t="e">
        <f ca="1">BDP("611312QT Muni","MATURITY")</f>
        <v>#NAME?</v>
      </c>
      <c r="H1290" t="e">
        <f ca="1">BDP("611312QT Muni","MUNI_TAX_PROV")</f>
        <v>#NAME?</v>
      </c>
      <c r="I1290" t="e">
        <f ca="1">BDP("611312QT Muni","FINANCING_TYPE")</f>
        <v>#NAME?</v>
      </c>
      <c r="J1290" t="e">
        <f ca="1">BDP("611312QT Muni","BICS_LEVEL_2_INDUSTRY_GROUP_NAME")</f>
        <v>#NAME?</v>
      </c>
      <c r="K1290" t="e">
        <f ca="1">BDP("611312QT Muni","SELF_REPRTD_GREEN_INSTR_INDCTR")</f>
        <v>#NAME?</v>
      </c>
      <c r="L1290" t="e">
        <f ca="1">BDP("611312QT Muni","GB_MANAGEMENT_PROCEEDS")</f>
        <v>#NAME?</v>
      </c>
      <c r="M1290" t="e">
        <f ca="1">BDP("611312QT Muni","GB_REPORTING")</f>
        <v>#NAME?</v>
      </c>
      <c r="N1290" t="e">
        <f ca="1">BDP("611312QT Muni","GB_ASSURANCE_PROVIDERS")</f>
        <v>#NAME?</v>
      </c>
      <c r="O1290" t="e">
        <f ca="1">BDP("611312QT Muni","GB_PROJECT_SELECTION_PROCESS")</f>
        <v>#NAME?</v>
      </c>
      <c r="P1290" t="e">
        <f ca="1">BDP("611312QT Muni","ESG_FRAMEWORK_INDICATOR")</f>
        <v>#NAME?</v>
      </c>
      <c r="Q1290" t="e">
        <f ca="1">BDP("611312QT Muni","BLOOMBERG_SECTOR_CODE")</f>
        <v>#NAME?</v>
      </c>
      <c r="R1290" t="e">
        <f ca="1">BDP("611312QT Muni","ISSUER_TYPE")</f>
        <v>#NAME?</v>
      </c>
      <c r="S1290" t="e">
        <f ca="1">BDS("611312QT Muni","ESG_PROJECT_CATEGORY", "aggregate=y")</f>
        <v>#NAME?</v>
      </c>
      <c r="T1290" t="e">
        <f ca="1">BDS("611312QT Muni","ESG_PROJECT_SUBCATEGORY", "aggregate=y")</f>
        <v>#NAME?</v>
      </c>
    </row>
    <row r="1291" spans="1:20" x14ac:dyDescent="0.25">
      <c r="A1291" t="e">
        <f ca="1">BDP("611312QV Muni","ID_CUSIP")</f>
        <v>#NAME?</v>
      </c>
      <c r="B1291" t="e">
        <f ca="1">BDP("611312QV Muni","STATE_CODE")</f>
        <v>#NAME?</v>
      </c>
      <c r="C1291" t="s">
        <v>81</v>
      </c>
      <c r="D1291" t="e">
        <f ca="1">BDP("611312QV Muni","YIELD_ON_ISSUE_DATE")</f>
        <v>#NAME?</v>
      </c>
      <c r="E1291">
        <v>390000</v>
      </c>
      <c r="F1291" t="e">
        <f ca="1">BDP("611312QV Muni","ISSUE_DT")</f>
        <v>#NAME?</v>
      </c>
      <c r="G1291" t="e">
        <f ca="1">BDP("611312QV Muni","MATURITY")</f>
        <v>#NAME?</v>
      </c>
      <c r="H1291" t="e">
        <f ca="1">BDP("611312QV Muni","MUNI_TAX_PROV")</f>
        <v>#NAME?</v>
      </c>
      <c r="I1291" t="e">
        <f ca="1">BDP("611312QV Muni","FINANCING_TYPE")</f>
        <v>#NAME?</v>
      </c>
      <c r="J1291" t="e">
        <f ca="1">BDP("611312QV Muni","BICS_LEVEL_2_INDUSTRY_GROUP_NAME")</f>
        <v>#NAME?</v>
      </c>
      <c r="K1291" t="e">
        <f ca="1">BDP("611312QV Muni","SELF_REPRTD_GREEN_INSTR_INDCTR")</f>
        <v>#NAME?</v>
      </c>
      <c r="L1291" t="e">
        <f ca="1">BDP("611312QV Muni","GB_MANAGEMENT_PROCEEDS")</f>
        <v>#NAME?</v>
      </c>
      <c r="M1291" t="e">
        <f ca="1">BDP("611312QV Muni","GB_REPORTING")</f>
        <v>#NAME?</v>
      </c>
      <c r="N1291" t="e">
        <f ca="1">BDP("611312QV Muni","GB_ASSURANCE_PROVIDERS")</f>
        <v>#NAME?</v>
      </c>
      <c r="O1291" t="e">
        <f ca="1">BDP("611312QV Muni","GB_PROJECT_SELECTION_PROCESS")</f>
        <v>#NAME?</v>
      </c>
      <c r="P1291" t="e">
        <f ca="1">BDP("611312QV Muni","ESG_FRAMEWORK_INDICATOR")</f>
        <v>#NAME?</v>
      </c>
      <c r="Q1291" t="e">
        <f ca="1">BDP("611312QV Muni","BLOOMBERG_SECTOR_CODE")</f>
        <v>#NAME?</v>
      </c>
      <c r="R1291" t="e">
        <f ca="1">BDP("611312QV Muni","ISSUER_TYPE")</f>
        <v>#NAME?</v>
      </c>
      <c r="S1291" t="e">
        <f ca="1">BDS("611312QV Muni","ESG_PROJECT_CATEGORY", "aggregate=y")</f>
        <v>#NAME?</v>
      </c>
      <c r="T1291" t="e">
        <f ca="1">BDS("611312QV Muni","ESG_PROJECT_SUBCATEGORY", "aggregate=y")</f>
        <v>#NAME?</v>
      </c>
    </row>
    <row r="1292" spans="1:20" x14ac:dyDescent="0.25">
      <c r="A1292" t="e">
        <f ca="1">BDP("611312QZ Muni","ID_CUSIP")</f>
        <v>#NAME?</v>
      </c>
      <c r="B1292" t="e">
        <f ca="1">BDP("611312QZ Muni","STATE_CODE")</f>
        <v>#NAME?</v>
      </c>
      <c r="C1292" t="s">
        <v>81</v>
      </c>
      <c r="D1292" t="e">
        <f ca="1">BDP("611312QZ Muni","YIELD_ON_ISSUE_DATE")</f>
        <v>#NAME?</v>
      </c>
      <c r="E1292">
        <v>505000</v>
      </c>
      <c r="F1292" t="e">
        <f ca="1">BDP("611312QZ Muni","ISSUE_DT")</f>
        <v>#NAME?</v>
      </c>
      <c r="G1292" t="e">
        <f ca="1">BDP("611312QZ Muni","MATURITY")</f>
        <v>#NAME?</v>
      </c>
      <c r="H1292" t="e">
        <f ca="1">BDP("611312QZ Muni","MUNI_TAX_PROV")</f>
        <v>#NAME?</v>
      </c>
      <c r="I1292" t="e">
        <f ca="1">BDP("611312QZ Muni","FINANCING_TYPE")</f>
        <v>#NAME?</v>
      </c>
      <c r="J1292" t="e">
        <f ca="1">BDP("611312QZ Muni","BICS_LEVEL_2_INDUSTRY_GROUP_NAME")</f>
        <v>#NAME?</v>
      </c>
      <c r="K1292" t="e">
        <f ca="1">BDP("611312QZ Muni","SELF_REPRTD_GREEN_INSTR_INDCTR")</f>
        <v>#NAME?</v>
      </c>
      <c r="L1292" t="e">
        <f ca="1">BDP("611312QZ Muni","GB_MANAGEMENT_PROCEEDS")</f>
        <v>#NAME?</v>
      </c>
      <c r="M1292" t="e">
        <f ca="1">BDP("611312QZ Muni","GB_REPORTING")</f>
        <v>#NAME?</v>
      </c>
      <c r="N1292" t="e">
        <f ca="1">BDP("611312QZ Muni","GB_ASSURANCE_PROVIDERS")</f>
        <v>#NAME?</v>
      </c>
      <c r="O1292" t="e">
        <f ca="1">BDP("611312QZ Muni","GB_PROJECT_SELECTION_PROCESS")</f>
        <v>#NAME?</v>
      </c>
      <c r="P1292" t="e">
        <f ca="1">BDP("611312QZ Muni","ESG_FRAMEWORK_INDICATOR")</f>
        <v>#NAME?</v>
      </c>
      <c r="Q1292" t="e">
        <f ca="1">BDP("611312QZ Muni","BLOOMBERG_SECTOR_CODE")</f>
        <v>#NAME?</v>
      </c>
      <c r="R1292" t="e">
        <f ca="1">BDP("611312QZ Muni","ISSUER_TYPE")</f>
        <v>#NAME?</v>
      </c>
      <c r="S1292" t="e">
        <f ca="1">BDS("611312QZ Muni","ESG_PROJECT_CATEGORY", "aggregate=y")</f>
        <v>#NAME?</v>
      </c>
      <c r="T1292" t="e">
        <f ca="1">BDS("611312QZ Muni","ESG_PROJECT_SUBCATEGORY", "aggregate=y")</f>
        <v>#NAME?</v>
      </c>
    </row>
    <row r="1293" spans="1:20" x14ac:dyDescent="0.25">
      <c r="A1293" t="e">
        <f ca="1">BDP("915710CJ Muni","ID_CUSIP")</f>
        <v>#NAME?</v>
      </c>
      <c r="B1293" t="e">
        <f ca="1">BDP("915710CJ Muni","STATE_CODE")</f>
        <v>#NAME?</v>
      </c>
      <c r="C1293" t="s">
        <v>73</v>
      </c>
      <c r="D1293" t="e">
        <f ca="1">BDP("915710CJ Muni","YIELD_ON_ISSUE_DATE")</f>
        <v>#NAME?</v>
      </c>
      <c r="E1293">
        <v>145000</v>
      </c>
      <c r="F1293" t="e">
        <f ca="1">BDP("915710CJ Muni","ISSUE_DT")</f>
        <v>#NAME?</v>
      </c>
      <c r="G1293" t="e">
        <f ca="1">BDP("915710CJ Muni","MATURITY")</f>
        <v>#NAME?</v>
      </c>
      <c r="H1293" t="e">
        <f ca="1">BDP("915710CJ Muni","MUNI_TAX_PROV")</f>
        <v>#NAME?</v>
      </c>
      <c r="I1293" t="e">
        <f ca="1">BDP("915710CJ Muni","FINANCING_TYPE")</f>
        <v>#NAME?</v>
      </c>
      <c r="J1293" t="e">
        <f ca="1">BDP("915710CJ Muni","BICS_LEVEL_2_INDUSTRY_GROUP_NAME")</f>
        <v>#NAME?</v>
      </c>
      <c r="K1293" t="e">
        <f ca="1">BDP("915710CJ Muni","SELF_REPRTD_GREEN_INSTR_INDCTR")</f>
        <v>#NAME?</v>
      </c>
      <c r="L1293" t="e">
        <f ca="1">BDP("915710CJ Muni","GB_MANAGEMENT_PROCEEDS")</f>
        <v>#NAME?</v>
      </c>
      <c r="M1293" t="e">
        <f ca="1">BDP("915710CJ Muni","GB_REPORTING")</f>
        <v>#NAME?</v>
      </c>
      <c r="N1293" t="e">
        <f ca="1">BDP("915710CJ Muni","GB_ASSURANCE_PROVIDERS")</f>
        <v>#NAME?</v>
      </c>
      <c r="O1293" t="e">
        <f ca="1">BDP("915710CJ Muni","GB_PROJECT_SELECTION_PROCESS")</f>
        <v>#NAME?</v>
      </c>
      <c r="P1293" t="e">
        <f ca="1">BDP("915710CJ Muni","ESG_FRAMEWORK_INDICATOR")</f>
        <v>#NAME?</v>
      </c>
      <c r="Q1293" t="e">
        <f ca="1">BDP("915710CJ Muni","BLOOMBERG_SECTOR_CODE")</f>
        <v>#NAME?</v>
      </c>
      <c r="R1293" t="e">
        <f ca="1">BDP("915710CJ Muni","ISSUER_TYPE")</f>
        <v>#NAME?</v>
      </c>
      <c r="S1293" t="e">
        <f ca="1">BDS("915710CJ Muni","ESG_PROJECT_CATEGORY", "aggregate=y")</f>
        <v>#NAME?</v>
      </c>
      <c r="T1293" t="e">
        <f ca="1">BDS("915710CJ Muni","ESG_PROJECT_SUBCATEGORY", "aggregate=y")</f>
        <v>#NAME?</v>
      </c>
    </row>
    <row r="1294" spans="1:20" x14ac:dyDescent="0.25">
      <c r="A1294" t="e">
        <f ca="1">BDP("915710CN Muni","ID_CUSIP")</f>
        <v>#NAME?</v>
      </c>
      <c r="B1294" t="e">
        <f ca="1">BDP("915710CN Muni","STATE_CODE")</f>
        <v>#NAME?</v>
      </c>
      <c r="C1294" t="s">
        <v>73</v>
      </c>
      <c r="D1294" t="e">
        <f ca="1">BDP("915710CN Muni","YIELD_ON_ISSUE_DATE")</f>
        <v>#NAME?</v>
      </c>
      <c r="E1294">
        <v>190000</v>
      </c>
      <c r="F1294" t="e">
        <f ca="1">BDP("915710CN Muni","ISSUE_DT")</f>
        <v>#NAME?</v>
      </c>
      <c r="G1294" t="e">
        <f ca="1">BDP("915710CN Muni","MATURITY")</f>
        <v>#NAME?</v>
      </c>
      <c r="H1294" t="e">
        <f ca="1">BDP("915710CN Muni","MUNI_TAX_PROV")</f>
        <v>#NAME?</v>
      </c>
      <c r="I1294" t="e">
        <f ca="1">BDP("915710CN Muni","FINANCING_TYPE")</f>
        <v>#NAME?</v>
      </c>
      <c r="J1294" t="e">
        <f ca="1">BDP("915710CN Muni","BICS_LEVEL_2_INDUSTRY_GROUP_NAME")</f>
        <v>#NAME?</v>
      </c>
      <c r="K1294" t="e">
        <f ca="1">BDP("915710CN Muni","SELF_REPRTD_GREEN_INSTR_INDCTR")</f>
        <v>#NAME?</v>
      </c>
      <c r="L1294" t="e">
        <f ca="1">BDP("915710CN Muni","GB_MANAGEMENT_PROCEEDS")</f>
        <v>#NAME?</v>
      </c>
      <c r="M1294" t="e">
        <f ca="1">BDP("915710CN Muni","GB_REPORTING")</f>
        <v>#NAME?</v>
      </c>
      <c r="N1294" t="e">
        <f ca="1">BDP("915710CN Muni","GB_ASSURANCE_PROVIDERS")</f>
        <v>#NAME?</v>
      </c>
      <c r="O1294" t="e">
        <f ca="1">BDP("915710CN Muni","GB_PROJECT_SELECTION_PROCESS")</f>
        <v>#NAME?</v>
      </c>
      <c r="P1294" t="e">
        <f ca="1">BDP("915710CN Muni","ESG_FRAMEWORK_INDICATOR")</f>
        <v>#NAME?</v>
      </c>
      <c r="Q1294" t="e">
        <f ca="1">BDP("915710CN Muni","BLOOMBERG_SECTOR_CODE")</f>
        <v>#NAME?</v>
      </c>
      <c r="R1294" t="e">
        <f ca="1">BDP("915710CN Muni","ISSUER_TYPE")</f>
        <v>#NAME?</v>
      </c>
      <c r="S1294" t="e">
        <f ca="1">BDS("915710CN Muni","ESG_PROJECT_CATEGORY", "aggregate=y")</f>
        <v>#NAME?</v>
      </c>
      <c r="T1294" t="e">
        <f ca="1">BDS("915710CN Muni","ESG_PROJECT_SUBCATEGORY", "aggregate=y")</f>
        <v>#NAME?</v>
      </c>
    </row>
    <row r="1295" spans="1:20" x14ac:dyDescent="0.25">
      <c r="A1295" t="e">
        <f ca="1">BDP("924736HD Muni","ID_CUSIP")</f>
        <v>#NAME?</v>
      </c>
      <c r="B1295" t="e">
        <f ca="1">BDP("924736HD Muni","STATE_CODE")</f>
        <v>#NAME?</v>
      </c>
      <c r="C1295" t="s">
        <v>74</v>
      </c>
      <c r="D1295" t="e">
        <f ca="1">BDP("924736HD Muni","YIELD_ON_ISSUE_DATE")</f>
        <v>#NAME?</v>
      </c>
      <c r="E1295">
        <v>380000</v>
      </c>
      <c r="F1295" t="e">
        <f ca="1">BDP("924736HD Muni","ISSUE_DT")</f>
        <v>#NAME?</v>
      </c>
      <c r="G1295" t="e">
        <f ca="1">BDP("924736HD Muni","MATURITY")</f>
        <v>#NAME?</v>
      </c>
      <c r="H1295" t="e">
        <f ca="1">BDP("924736HD Muni","MUNI_TAX_PROV")</f>
        <v>#NAME?</v>
      </c>
      <c r="I1295" t="e">
        <f ca="1">BDP("924736HD Muni","FINANCING_TYPE")</f>
        <v>#NAME?</v>
      </c>
      <c r="J1295" t="e">
        <f ca="1">BDP("924736HD Muni","BICS_LEVEL_2_INDUSTRY_GROUP_NAME")</f>
        <v>#NAME?</v>
      </c>
      <c r="K1295" t="e">
        <f ca="1">BDP("924736HD Muni","SELF_REPRTD_GREEN_INSTR_INDCTR")</f>
        <v>#NAME?</v>
      </c>
      <c r="L1295" t="e">
        <f ca="1">BDP("924736HD Muni","GB_MANAGEMENT_PROCEEDS")</f>
        <v>#NAME?</v>
      </c>
      <c r="M1295" t="e">
        <f ca="1">BDP("924736HD Muni","GB_REPORTING")</f>
        <v>#NAME?</v>
      </c>
      <c r="N1295" t="e">
        <f ca="1">BDP("924736HD Muni","GB_ASSURANCE_PROVIDERS")</f>
        <v>#NAME?</v>
      </c>
      <c r="O1295" t="e">
        <f ca="1">BDP("924736HD Muni","GB_PROJECT_SELECTION_PROCESS")</f>
        <v>#NAME?</v>
      </c>
      <c r="P1295" t="e">
        <f ca="1">BDP("924736HD Muni","ESG_FRAMEWORK_INDICATOR")</f>
        <v>#NAME?</v>
      </c>
      <c r="Q1295" t="e">
        <f ca="1">BDP("924736HD Muni","BLOOMBERG_SECTOR_CODE")</f>
        <v>#NAME?</v>
      </c>
      <c r="R1295" t="e">
        <f ca="1">BDP("924736HD Muni","ISSUER_TYPE")</f>
        <v>#NAME?</v>
      </c>
      <c r="S1295" t="e">
        <f ca="1">BDS("924736HD Muni","ESG_PROJECT_CATEGORY", "aggregate=y")</f>
        <v>#NAME?</v>
      </c>
      <c r="T1295" t="e">
        <f ca="1">BDS("924736HD Muni","ESG_PROJECT_SUBCATEGORY", "aggregate=y")</f>
        <v>#NAME?</v>
      </c>
    </row>
    <row r="1296" spans="1:20" x14ac:dyDescent="0.25">
      <c r="A1296" t="e">
        <f ca="1">BDP("927405AQ Muni","ID_CUSIP")</f>
        <v>#NAME?</v>
      </c>
      <c r="B1296" t="e">
        <f ca="1">BDP("927405AQ Muni","STATE_CODE")</f>
        <v>#NAME?</v>
      </c>
      <c r="C1296" t="s">
        <v>75</v>
      </c>
      <c r="D1296" t="e">
        <f ca="1">BDP("927405AQ Muni","YIELD_ON_ISSUE_DATE")</f>
        <v>#NAME?</v>
      </c>
      <c r="E1296">
        <v>485000</v>
      </c>
      <c r="F1296" t="e">
        <f ca="1">BDP("927405AQ Muni","ISSUE_DT")</f>
        <v>#NAME?</v>
      </c>
      <c r="G1296" t="e">
        <f ca="1">BDP("927405AQ Muni","MATURITY")</f>
        <v>#NAME?</v>
      </c>
      <c r="H1296" t="e">
        <f ca="1">BDP("927405AQ Muni","MUNI_TAX_PROV")</f>
        <v>#NAME?</v>
      </c>
      <c r="I1296" t="e">
        <f ca="1">BDP("927405AQ Muni","FINANCING_TYPE")</f>
        <v>#NAME?</v>
      </c>
      <c r="J1296" t="e">
        <f ca="1">BDP("927405AQ Muni","BICS_LEVEL_2_INDUSTRY_GROUP_NAME")</f>
        <v>#NAME?</v>
      </c>
      <c r="K1296" t="e">
        <f ca="1">BDP("927405AQ Muni","SELF_REPRTD_GREEN_INSTR_INDCTR")</f>
        <v>#NAME?</v>
      </c>
      <c r="L1296" t="e">
        <f ca="1">BDP("927405AQ Muni","GB_MANAGEMENT_PROCEEDS")</f>
        <v>#NAME?</v>
      </c>
      <c r="M1296" t="e">
        <f ca="1">BDP("927405AQ Muni","GB_REPORTING")</f>
        <v>#NAME?</v>
      </c>
      <c r="N1296" t="e">
        <f ca="1">BDP("927405AQ Muni","GB_ASSURANCE_PROVIDERS")</f>
        <v>#NAME?</v>
      </c>
      <c r="O1296" t="e">
        <f ca="1">BDP("927405AQ Muni","GB_PROJECT_SELECTION_PROCESS")</f>
        <v>#NAME?</v>
      </c>
      <c r="P1296" t="e">
        <f ca="1">BDP("927405AQ Muni","ESG_FRAMEWORK_INDICATOR")</f>
        <v>#NAME?</v>
      </c>
      <c r="Q1296" t="e">
        <f ca="1">BDP("927405AQ Muni","BLOOMBERG_SECTOR_CODE")</f>
        <v>#NAME?</v>
      </c>
      <c r="R1296" t="e">
        <f ca="1">BDP("927405AQ Muni","ISSUER_TYPE")</f>
        <v>#NAME?</v>
      </c>
      <c r="S1296" t="e">
        <f ca="1">BDS("927405AQ Muni","ESG_PROJECT_CATEGORY", "aggregate=y")</f>
        <v>#NAME?</v>
      </c>
      <c r="T1296" t="e">
        <f ca="1">BDS("927405AQ Muni","ESG_PROJECT_SUBCATEGORY", "aggregate=y")</f>
        <v>#NAME?</v>
      </c>
    </row>
    <row r="1297" spans="1:20" x14ac:dyDescent="0.25">
      <c r="A1297" t="e">
        <f ca="1">BDP("956882RU Muni","ID_CUSIP")</f>
        <v>#NAME?</v>
      </c>
      <c r="B1297" t="e">
        <f ca="1">BDP("956882RU Muni","STATE_CODE")</f>
        <v>#NAME?</v>
      </c>
      <c r="C1297" t="s">
        <v>76</v>
      </c>
      <c r="D1297" t="e">
        <f ca="1">BDP("956882RU Muni","YIELD_ON_ISSUE_DATE")</f>
        <v>#NAME?</v>
      </c>
      <c r="E1297">
        <v>470000</v>
      </c>
      <c r="F1297" t="e">
        <f ca="1">BDP("956882RU Muni","ISSUE_DT")</f>
        <v>#NAME?</v>
      </c>
      <c r="G1297" t="e">
        <f ca="1">BDP("956882RU Muni","MATURITY")</f>
        <v>#NAME?</v>
      </c>
      <c r="H1297" t="e">
        <f ca="1">BDP("956882RU Muni","MUNI_TAX_PROV")</f>
        <v>#NAME?</v>
      </c>
      <c r="I1297" t="e">
        <f ca="1">BDP("956882RU Muni","FINANCING_TYPE")</f>
        <v>#NAME?</v>
      </c>
      <c r="J1297" t="e">
        <f ca="1">BDP("956882RU Muni","BICS_LEVEL_2_INDUSTRY_GROUP_NAME")</f>
        <v>#NAME?</v>
      </c>
      <c r="K1297" t="e">
        <f ca="1">BDP("956882RU Muni","SELF_REPRTD_GREEN_INSTR_INDCTR")</f>
        <v>#NAME?</v>
      </c>
      <c r="L1297" t="e">
        <f ca="1">BDP("956882RU Muni","GB_MANAGEMENT_PROCEEDS")</f>
        <v>#NAME?</v>
      </c>
      <c r="M1297" t="e">
        <f ca="1">BDP("956882RU Muni","GB_REPORTING")</f>
        <v>#NAME?</v>
      </c>
      <c r="N1297" t="e">
        <f ca="1">BDP("956882RU Muni","GB_ASSURANCE_PROVIDERS")</f>
        <v>#NAME?</v>
      </c>
      <c r="O1297" t="e">
        <f ca="1">BDP("956882RU Muni","GB_PROJECT_SELECTION_PROCESS")</f>
        <v>#NAME?</v>
      </c>
      <c r="P1297" t="e">
        <f ca="1">BDP("956882RU Muni","ESG_FRAMEWORK_INDICATOR")</f>
        <v>#NAME?</v>
      </c>
      <c r="Q1297" t="e">
        <f ca="1">BDP("956882RU Muni","BLOOMBERG_SECTOR_CODE")</f>
        <v>#NAME?</v>
      </c>
      <c r="R1297" t="e">
        <f ca="1">BDP("956882RU Muni","ISSUER_TYPE")</f>
        <v>#NAME?</v>
      </c>
      <c r="S1297" t="e">
        <f ca="1">BDS("956882RU Muni","ESG_PROJECT_CATEGORY", "aggregate=y")</f>
        <v>#NAME?</v>
      </c>
      <c r="T1297" t="e">
        <f ca="1">BDS("956882RU Muni","ESG_PROJECT_SUBCATEGORY", "aggregate=y")</f>
        <v>#NAME?</v>
      </c>
    </row>
    <row r="1298" spans="1:20" x14ac:dyDescent="0.25">
      <c r="A1298" t="e">
        <f ca="1">BDP("956882SB Muni","ID_CUSIP")</f>
        <v>#NAME?</v>
      </c>
      <c r="B1298" t="e">
        <f ca="1">BDP("956882SB Muni","STATE_CODE")</f>
        <v>#NAME?</v>
      </c>
      <c r="C1298" t="s">
        <v>76</v>
      </c>
      <c r="D1298" t="e">
        <f ca="1">BDP("956882SB Muni","YIELD_ON_ISSUE_DATE")</f>
        <v>#NAME?</v>
      </c>
      <c r="E1298">
        <v>150000</v>
      </c>
      <c r="F1298" t="e">
        <f ca="1">BDP("956882SB Muni","ISSUE_DT")</f>
        <v>#NAME?</v>
      </c>
      <c r="G1298" t="e">
        <f ca="1">BDP("956882SB Muni","MATURITY")</f>
        <v>#NAME?</v>
      </c>
      <c r="H1298" t="e">
        <f ca="1">BDP("956882SB Muni","MUNI_TAX_PROV")</f>
        <v>#NAME?</v>
      </c>
      <c r="I1298" t="e">
        <f ca="1">BDP("956882SB Muni","FINANCING_TYPE")</f>
        <v>#NAME?</v>
      </c>
      <c r="J1298" t="e">
        <f ca="1">BDP("956882SB Muni","BICS_LEVEL_2_INDUSTRY_GROUP_NAME")</f>
        <v>#NAME?</v>
      </c>
      <c r="K1298" t="e">
        <f ca="1">BDP("956882SB Muni","SELF_REPRTD_GREEN_INSTR_INDCTR")</f>
        <v>#NAME?</v>
      </c>
      <c r="L1298" t="e">
        <f ca="1">BDP("956882SB Muni","GB_MANAGEMENT_PROCEEDS")</f>
        <v>#NAME?</v>
      </c>
      <c r="M1298" t="e">
        <f ca="1">BDP("956882SB Muni","GB_REPORTING")</f>
        <v>#NAME?</v>
      </c>
      <c r="N1298" t="e">
        <f ca="1">BDP("956882SB Muni","GB_ASSURANCE_PROVIDERS")</f>
        <v>#NAME?</v>
      </c>
      <c r="O1298" t="e">
        <f ca="1">BDP("956882SB Muni","GB_PROJECT_SELECTION_PROCESS")</f>
        <v>#NAME?</v>
      </c>
      <c r="P1298" t="e">
        <f ca="1">BDP("956882SB Muni","ESG_FRAMEWORK_INDICATOR")</f>
        <v>#NAME?</v>
      </c>
      <c r="Q1298" t="e">
        <f ca="1">BDP("956882SB Muni","BLOOMBERG_SECTOR_CODE")</f>
        <v>#NAME?</v>
      </c>
      <c r="R1298" t="e">
        <f ca="1">BDP("956882SB Muni","ISSUER_TYPE")</f>
        <v>#NAME?</v>
      </c>
      <c r="S1298" t="e">
        <f ca="1">BDS("956882SB Muni","ESG_PROJECT_CATEGORY", "aggregate=y")</f>
        <v>#NAME?</v>
      </c>
      <c r="T1298" t="e">
        <f ca="1">BDS("956882SB Muni","ESG_PROJECT_SUBCATEGORY", "aggregate=y")</f>
        <v>#NAME?</v>
      </c>
    </row>
    <row r="1299" spans="1:20" x14ac:dyDescent="0.25">
      <c r="A1299" t="e">
        <f ca="1">BDP("956882SE Muni","ID_CUSIP")</f>
        <v>#NAME?</v>
      </c>
      <c r="B1299" t="e">
        <f ca="1">BDP("956882SE Muni","STATE_CODE")</f>
        <v>#NAME?</v>
      </c>
      <c r="C1299" t="s">
        <v>76</v>
      </c>
      <c r="D1299" t="e">
        <f ca="1">BDP("956882SE Muni","YIELD_ON_ISSUE_DATE")</f>
        <v>#NAME?</v>
      </c>
      <c r="E1299">
        <v>185000</v>
      </c>
      <c r="F1299" t="e">
        <f ca="1">BDP("956882SE Muni","ISSUE_DT")</f>
        <v>#NAME?</v>
      </c>
      <c r="G1299" t="e">
        <f ca="1">BDP("956882SE Muni","MATURITY")</f>
        <v>#NAME?</v>
      </c>
      <c r="H1299" t="e">
        <f ca="1">BDP("956882SE Muni","MUNI_TAX_PROV")</f>
        <v>#NAME?</v>
      </c>
      <c r="I1299" t="e">
        <f ca="1">BDP("956882SE Muni","FINANCING_TYPE")</f>
        <v>#NAME?</v>
      </c>
      <c r="J1299" t="e">
        <f ca="1">BDP("956882SE Muni","BICS_LEVEL_2_INDUSTRY_GROUP_NAME")</f>
        <v>#NAME?</v>
      </c>
      <c r="K1299" t="e">
        <f ca="1">BDP("956882SE Muni","SELF_REPRTD_GREEN_INSTR_INDCTR")</f>
        <v>#NAME?</v>
      </c>
      <c r="L1299" t="e">
        <f ca="1">BDP("956882SE Muni","GB_MANAGEMENT_PROCEEDS")</f>
        <v>#NAME?</v>
      </c>
      <c r="M1299" t="e">
        <f ca="1">BDP("956882SE Muni","GB_REPORTING")</f>
        <v>#NAME?</v>
      </c>
      <c r="N1299" t="e">
        <f ca="1">BDP("956882SE Muni","GB_ASSURANCE_PROVIDERS")</f>
        <v>#NAME?</v>
      </c>
      <c r="O1299" t="e">
        <f ca="1">BDP("956882SE Muni","GB_PROJECT_SELECTION_PROCESS")</f>
        <v>#NAME?</v>
      </c>
      <c r="P1299" t="e">
        <f ca="1">BDP("956882SE Muni","ESG_FRAMEWORK_INDICATOR")</f>
        <v>#NAME?</v>
      </c>
      <c r="Q1299" t="e">
        <f ca="1">BDP("956882SE Muni","BLOOMBERG_SECTOR_CODE")</f>
        <v>#NAME?</v>
      </c>
      <c r="R1299" t="e">
        <f ca="1">BDP("956882SE Muni","ISSUER_TYPE")</f>
        <v>#NAME?</v>
      </c>
      <c r="S1299" t="e">
        <f ca="1">BDS("956882SE Muni","ESG_PROJECT_CATEGORY", "aggregate=y")</f>
        <v>#NAME?</v>
      </c>
      <c r="T1299" t="e">
        <f ca="1">BDS("956882SE Muni","ESG_PROJECT_SUBCATEGORY", "aggregate=y")</f>
        <v>#NAME?</v>
      </c>
    </row>
    <row r="1300" spans="1:20" x14ac:dyDescent="0.25">
      <c r="A1300" t="e">
        <f ca="1">BDP("073013BD Muni","ID_CUSIP")</f>
        <v>#NAME?</v>
      </c>
      <c r="B1300" t="e">
        <f ca="1">BDP("073013BD Muni","STATE_CODE")</f>
        <v>#NAME?</v>
      </c>
      <c r="C1300" t="s">
        <v>83</v>
      </c>
      <c r="D1300" t="e">
        <f ca="1">BDP("073013BD Muni","YIELD_ON_ISSUE_DATE")</f>
        <v>#NAME?</v>
      </c>
      <c r="E1300">
        <v>505000</v>
      </c>
      <c r="F1300" t="e">
        <f ca="1">BDP("073013BD Muni","ISSUE_DT")</f>
        <v>#NAME?</v>
      </c>
      <c r="G1300" t="e">
        <f ca="1">BDP("073013BD Muni","MATURITY")</f>
        <v>#NAME?</v>
      </c>
      <c r="H1300" t="e">
        <f ca="1">BDP("073013BD Muni","MUNI_TAX_PROV")</f>
        <v>#NAME?</v>
      </c>
      <c r="I1300" t="e">
        <f ca="1">BDP("073013BD Muni","FINANCING_TYPE")</f>
        <v>#NAME?</v>
      </c>
      <c r="J1300" t="e">
        <f ca="1">BDP("073013BD Muni","BICS_LEVEL_2_INDUSTRY_GROUP_NAME")</f>
        <v>#NAME?</v>
      </c>
      <c r="K1300" t="e">
        <f ca="1">BDP("073013BD Muni","SELF_REPRTD_GREEN_INSTR_INDCTR")</f>
        <v>#NAME?</v>
      </c>
      <c r="L1300" t="e">
        <f ca="1">BDP("073013BD Muni","GB_MANAGEMENT_PROCEEDS")</f>
        <v>#NAME?</v>
      </c>
      <c r="M1300" t="e">
        <f ca="1">BDP("073013BD Muni","GB_REPORTING")</f>
        <v>#NAME?</v>
      </c>
      <c r="N1300" t="e">
        <f ca="1">BDP("073013BD Muni","GB_ASSURANCE_PROVIDERS")</f>
        <v>#NAME?</v>
      </c>
      <c r="O1300" t="e">
        <f ca="1">BDP("073013BD Muni","GB_PROJECT_SELECTION_PROCESS")</f>
        <v>#NAME?</v>
      </c>
      <c r="P1300" t="e">
        <f ca="1">BDP("073013BD Muni","ESG_FRAMEWORK_INDICATOR")</f>
        <v>#NAME?</v>
      </c>
      <c r="Q1300" t="e">
        <f ca="1">BDP("073013BD Muni","BLOOMBERG_SECTOR_CODE")</f>
        <v>#NAME?</v>
      </c>
      <c r="R1300" t="e">
        <f ca="1">BDP("073013BD Muni","ISSUER_TYPE")</f>
        <v>#NAME?</v>
      </c>
      <c r="S1300" t="e">
        <f ca="1">BDS("073013BD Muni","ESG_PROJECT_CATEGORY", "aggregate=y")</f>
        <v>#NAME?</v>
      </c>
      <c r="T1300" t="e">
        <f ca="1">BDS("073013BD Muni","ESG_PROJECT_SUBCATEGORY", "aggregate=y")</f>
        <v>#NAME?</v>
      </c>
    </row>
    <row r="1301" spans="1:20" x14ac:dyDescent="0.25">
      <c r="A1301" t="e">
        <f ca="1">BDP("073013BF Muni","ID_CUSIP")</f>
        <v>#NAME?</v>
      </c>
      <c r="B1301" t="e">
        <f ca="1">BDP("073013BF Muni","STATE_CODE")</f>
        <v>#NAME?</v>
      </c>
      <c r="C1301" t="s">
        <v>83</v>
      </c>
      <c r="D1301" t="e">
        <f ca="1">BDP("073013BF Muni","YIELD_ON_ISSUE_DATE")</f>
        <v>#NAME?</v>
      </c>
      <c r="E1301">
        <v>410000</v>
      </c>
      <c r="F1301" t="e">
        <f ca="1">BDP("073013BF Muni","ISSUE_DT")</f>
        <v>#NAME?</v>
      </c>
      <c r="G1301" t="e">
        <f ca="1">BDP("073013BF Muni","MATURITY")</f>
        <v>#NAME?</v>
      </c>
      <c r="H1301" t="e">
        <f ca="1">BDP("073013BF Muni","MUNI_TAX_PROV")</f>
        <v>#NAME?</v>
      </c>
      <c r="I1301" t="e">
        <f ca="1">BDP("073013BF Muni","FINANCING_TYPE")</f>
        <v>#NAME?</v>
      </c>
      <c r="J1301" t="e">
        <f ca="1">BDP("073013BF Muni","BICS_LEVEL_2_INDUSTRY_GROUP_NAME")</f>
        <v>#NAME?</v>
      </c>
      <c r="K1301" t="e">
        <f ca="1">BDP("073013BF Muni","SELF_REPRTD_GREEN_INSTR_INDCTR")</f>
        <v>#NAME?</v>
      </c>
      <c r="L1301" t="e">
        <f ca="1">BDP("073013BF Muni","GB_MANAGEMENT_PROCEEDS")</f>
        <v>#NAME?</v>
      </c>
      <c r="M1301" t="e">
        <f ca="1">BDP("073013BF Muni","GB_REPORTING")</f>
        <v>#NAME?</v>
      </c>
      <c r="N1301" t="e">
        <f ca="1">BDP("073013BF Muni","GB_ASSURANCE_PROVIDERS")</f>
        <v>#NAME?</v>
      </c>
      <c r="O1301" t="e">
        <f ca="1">BDP("073013BF Muni","GB_PROJECT_SELECTION_PROCESS")</f>
        <v>#NAME?</v>
      </c>
      <c r="P1301" t="e">
        <f ca="1">BDP("073013BF Muni","ESG_FRAMEWORK_INDICATOR")</f>
        <v>#NAME?</v>
      </c>
      <c r="Q1301" t="e">
        <f ca="1">BDP("073013BF Muni","BLOOMBERG_SECTOR_CODE")</f>
        <v>#NAME?</v>
      </c>
      <c r="R1301" t="e">
        <f ca="1">BDP("073013BF Muni","ISSUER_TYPE")</f>
        <v>#NAME?</v>
      </c>
      <c r="S1301" t="e">
        <f ca="1">BDS("073013BF Muni","ESG_PROJECT_CATEGORY", "aggregate=y")</f>
        <v>#NAME?</v>
      </c>
      <c r="T1301" t="e">
        <f ca="1">BDS("073013BF Muni","ESG_PROJECT_SUBCATEGORY", "aggregate=y")</f>
        <v>#NAME?</v>
      </c>
    </row>
    <row r="1302" spans="1:20" x14ac:dyDescent="0.25">
      <c r="A1302" t="e">
        <f ca="1">BDP("073013BG Muni","ID_CUSIP")</f>
        <v>#NAME?</v>
      </c>
      <c r="B1302" t="e">
        <f ca="1">BDP("073013BG Muni","STATE_CODE")</f>
        <v>#NAME?</v>
      </c>
      <c r="C1302" t="s">
        <v>83</v>
      </c>
      <c r="D1302" t="e">
        <f ca="1">BDP("073013BG Muni","YIELD_ON_ISSUE_DATE")</f>
        <v>#NAME?</v>
      </c>
      <c r="E1302">
        <v>455000</v>
      </c>
      <c r="F1302" t="e">
        <f ca="1">BDP("073013BG Muni","ISSUE_DT")</f>
        <v>#NAME?</v>
      </c>
      <c r="G1302" t="e">
        <f ca="1">BDP("073013BG Muni","MATURITY")</f>
        <v>#NAME?</v>
      </c>
      <c r="H1302" t="e">
        <f ca="1">BDP("073013BG Muni","MUNI_TAX_PROV")</f>
        <v>#NAME?</v>
      </c>
      <c r="I1302" t="e">
        <f ca="1">BDP("073013BG Muni","FINANCING_TYPE")</f>
        <v>#NAME?</v>
      </c>
      <c r="J1302" t="e">
        <f ca="1">BDP("073013BG Muni","BICS_LEVEL_2_INDUSTRY_GROUP_NAME")</f>
        <v>#NAME?</v>
      </c>
      <c r="K1302" t="e">
        <f ca="1">BDP("073013BG Muni","SELF_REPRTD_GREEN_INSTR_INDCTR")</f>
        <v>#NAME?</v>
      </c>
      <c r="L1302" t="e">
        <f ca="1">BDP("073013BG Muni","GB_MANAGEMENT_PROCEEDS")</f>
        <v>#NAME?</v>
      </c>
      <c r="M1302" t="e">
        <f ca="1">BDP("073013BG Muni","GB_REPORTING")</f>
        <v>#NAME?</v>
      </c>
      <c r="N1302" t="e">
        <f ca="1">BDP("073013BG Muni","GB_ASSURANCE_PROVIDERS")</f>
        <v>#NAME?</v>
      </c>
      <c r="O1302" t="e">
        <f ca="1">BDP("073013BG Muni","GB_PROJECT_SELECTION_PROCESS")</f>
        <v>#NAME?</v>
      </c>
      <c r="P1302" t="e">
        <f ca="1">BDP("073013BG Muni","ESG_FRAMEWORK_INDICATOR")</f>
        <v>#NAME?</v>
      </c>
      <c r="Q1302" t="e">
        <f ca="1">BDP("073013BG Muni","BLOOMBERG_SECTOR_CODE")</f>
        <v>#NAME?</v>
      </c>
      <c r="R1302" t="e">
        <f ca="1">BDP("073013BG Muni","ISSUER_TYPE")</f>
        <v>#NAME?</v>
      </c>
      <c r="S1302" t="e">
        <f ca="1">BDS("073013BG Muni","ESG_PROJECT_CATEGORY", "aggregate=y")</f>
        <v>#NAME?</v>
      </c>
      <c r="T1302" t="e">
        <f ca="1">BDS("073013BG Muni","ESG_PROJECT_SUBCATEGORY", "aggregate=y")</f>
        <v>#NAME?</v>
      </c>
    </row>
    <row r="1303" spans="1:20" x14ac:dyDescent="0.25">
      <c r="A1303" t="e">
        <f ca="1">BDP("073013BH Muni","ID_CUSIP")</f>
        <v>#NAME?</v>
      </c>
      <c r="B1303" t="e">
        <f ca="1">BDP("073013BH Muni","STATE_CODE")</f>
        <v>#NAME?</v>
      </c>
      <c r="C1303" t="s">
        <v>83</v>
      </c>
      <c r="D1303" t="e">
        <f ca="1">BDP("073013BH Muni","YIELD_ON_ISSUE_DATE")</f>
        <v>#NAME?</v>
      </c>
      <c r="E1303">
        <v>435000</v>
      </c>
      <c r="F1303" t="e">
        <f ca="1">BDP("073013BH Muni","ISSUE_DT")</f>
        <v>#NAME?</v>
      </c>
      <c r="G1303" t="e">
        <f ca="1">BDP("073013BH Muni","MATURITY")</f>
        <v>#NAME?</v>
      </c>
      <c r="H1303" t="e">
        <f ca="1">BDP("073013BH Muni","MUNI_TAX_PROV")</f>
        <v>#NAME?</v>
      </c>
      <c r="I1303" t="e">
        <f ca="1">BDP("073013BH Muni","FINANCING_TYPE")</f>
        <v>#NAME?</v>
      </c>
      <c r="J1303" t="e">
        <f ca="1">BDP("073013BH Muni","BICS_LEVEL_2_INDUSTRY_GROUP_NAME")</f>
        <v>#NAME?</v>
      </c>
      <c r="K1303" t="e">
        <f ca="1">BDP("073013BH Muni","SELF_REPRTD_GREEN_INSTR_INDCTR")</f>
        <v>#NAME?</v>
      </c>
      <c r="L1303" t="e">
        <f ca="1">BDP("073013BH Muni","GB_MANAGEMENT_PROCEEDS")</f>
        <v>#NAME?</v>
      </c>
      <c r="M1303" t="e">
        <f ca="1">BDP("073013BH Muni","GB_REPORTING")</f>
        <v>#NAME?</v>
      </c>
      <c r="N1303" t="e">
        <f ca="1">BDP("073013BH Muni","GB_ASSURANCE_PROVIDERS")</f>
        <v>#NAME?</v>
      </c>
      <c r="O1303" t="e">
        <f ca="1">BDP("073013BH Muni","GB_PROJECT_SELECTION_PROCESS")</f>
        <v>#NAME?</v>
      </c>
      <c r="P1303" t="e">
        <f ca="1">BDP("073013BH Muni","ESG_FRAMEWORK_INDICATOR")</f>
        <v>#NAME?</v>
      </c>
      <c r="Q1303" t="e">
        <f ca="1">BDP("073013BH Muni","BLOOMBERG_SECTOR_CODE")</f>
        <v>#NAME?</v>
      </c>
      <c r="R1303" t="e">
        <f ca="1">BDP("073013BH Muni","ISSUER_TYPE")</f>
        <v>#NAME?</v>
      </c>
      <c r="S1303" t="e">
        <f ca="1">BDS("073013BH Muni","ESG_PROJECT_CATEGORY", "aggregate=y")</f>
        <v>#NAME?</v>
      </c>
      <c r="T1303" t="e">
        <f ca="1">BDS("073013BH Muni","ESG_PROJECT_SUBCATEGORY", "aggregate=y")</f>
        <v>#NAME?</v>
      </c>
    </row>
    <row r="1304" spans="1:20" x14ac:dyDescent="0.25">
      <c r="A1304" t="e">
        <f ca="1">BDP("073013BJ Muni","ID_CUSIP")</f>
        <v>#NAME?</v>
      </c>
      <c r="B1304" t="e">
        <f ca="1">BDP("073013BJ Muni","STATE_CODE")</f>
        <v>#NAME?</v>
      </c>
      <c r="C1304" t="s">
        <v>83</v>
      </c>
      <c r="D1304" t="e">
        <f ca="1">BDP("073013BJ Muni","YIELD_ON_ISSUE_DATE")</f>
        <v>#NAME?</v>
      </c>
      <c r="E1304">
        <v>485000</v>
      </c>
      <c r="F1304" t="e">
        <f ca="1">BDP("073013BJ Muni","ISSUE_DT")</f>
        <v>#NAME?</v>
      </c>
      <c r="G1304" t="e">
        <f ca="1">BDP("073013BJ Muni","MATURITY")</f>
        <v>#NAME?</v>
      </c>
      <c r="H1304" t="e">
        <f ca="1">BDP("073013BJ Muni","MUNI_TAX_PROV")</f>
        <v>#NAME?</v>
      </c>
      <c r="I1304" t="e">
        <f ca="1">BDP("073013BJ Muni","FINANCING_TYPE")</f>
        <v>#NAME?</v>
      </c>
      <c r="J1304" t="e">
        <f ca="1">BDP("073013BJ Muni","BICS_LEVEL_2_INDUSTRY_GROUP_NAME")</f>
        <v>#NAME?</v>
      </c>
      <c r="K1304" t="e">
        <f ca="1">BDP("073013BJ Muni","SELF_REPRTD_GREEN_INSTR_INDCTR")</f>
        <v>#NAME?</v>
      </c>
      <c r="L1304" t="e">
        <f ca="1">BDP("073013BJ Muni","GB_MANAGEMENT_PROCEEDS")</f>
        <v>#NAME?</v>
      </c>
      <c r="M1304" t="e">
        <f ca="1">BDP("073013BJ Muni","GB_REPORTING")</f>
        <v>#NAME?</v>
      </c>
      <c r="N1304" t="e">
        <f ca="1">BDP("073013BJ Muni","GB_ASSURANCE_PROVIDERS")</f>
        <v>#NAME?</v>
      </c>
      <c r="O1304" t="e">
        <f ca="1">BDP("073013BJ Muni","GB_PROJECT_SELECTION_PROCESS")</f>
        <v>#NAME?</v>
      </c>
      <c r="P1304" t="e">
        <f ca="1">BDP("073013BJ Muni","ESG_FRAMEWORK_INDICATOR")</f>
        <v>#NAME?</v>
      </c>
      <c r="Q1304" t="e">
        <f ca="1">BDP("073013BJ Muni","BLOOMBERG_SECTOR_CODE")</f>
        <v>#NAME?</v>
      </c>
      <c r="R1304" t="e">
        <f ca="1">BDP("073013BJ Muni","ISSUER_TYPE")</f>
        <v>#NAME?</v>
      </c>
      <c r="S1304" t="e">
        <f ca="1">BDS("073013BJ Muni","ESG_PROJECT_CATEGORY", "aggregate=y")</f>
        <v>#NAME?</v>
      </c>
      <c r="T1304" t="e">
        <f ca="1">BDS("073013BJ Muni","ESG_PROJECT_SUBCATEGORY", "aggregate=y")</f>
        <v>#NAME?</v>
      </c>
    </row>
    <row r="1305" spans="1:20" x14ac:dyDescent="0.25">
      <c r="A1305" t="e">
        <f ca="1">BDP("073013BK Muni","ID_CUSIP")</f>
        <v>#NAME?</v>
      </c>
      <c r="B1305" t="e">
        <f ca="1">BDP("073013BK Muni","STATE_CODE")</f>
        <v>#NAME?</v>
      </c>
      <c r="C1305" t="s">
        <v>83</v>
      </c>
      <c r="D1305" t="e">
        <f ca="1">BDP("073013BK Muni","YIELD_ON_ISSUE_DATE")</f>
        <v>#NAME?</v>
      </c>
      <c r="E1305">
        <v>535000</v>
      </c>
      <c r="F1305" t="e">
        <f ca="1">BDP("073013BK Muni","ISSUE_DT")</f>
        <v>#NAME?</v>
      </c>
      <c r="G1305" t="e">
        <f ca="1">BDP("073013BK Muni","MATURITY")</f>
        <v>#NAME?</v>
      </c>
      <c r="H1305" t="e">
        <f ca="1">BDP("073013BK Muni","MUNI_TAX_PROV")</f>
        <v>#NAME?</v>
      </c>
      <c r="I1305" t="e">
        <f ca="1">BDP("073013BK Muni","FINANCING_TYPE")</f>
        <v>#NAME?</v>
      </c>
      <c r="J1305" t="e">
        <f ca="1">BDP("073013BK Muni","BICS_LEVEL_2_INDUSTRY_GROUP_NAME")</f>
        <v>#NAME?</v>
      </c>
      <c r="K1305" t="e">
        <f ca="1">BDP("073013BK Muni","SELF_REPRTD_GREEN_INSTR_INDCTR")</f>
        <v>#NAME?</v>
      </c>
      <c r="L1305" t="e">
        <f ca="1">BDP("073013BK Muni","GB_MANAGEMENT_PROCEEDS")</f>
        <v>#NAME?</v>
      </c>
      <c r="M1305" t="e">
        <f ca="1">BDP("073013BK Muni","GB_REPORTING")</f>
        <v>#NAME?</v>
      </c>
      <c r="N1305" t="e">
        <f ca="1">BDP("073013BK Muni","GB_ASSURANCE_PROVIDERS")</f>
        <v>#NAME?</v>
      </c>
      <c r="O1305" t="e">
        <f ca="1">BDP("073013BK Muni","GB_PROJECT_SELECTION_PROCESS")</f>
        <v>#NAME?</v>
      </c>
      <c r="P1305" t="e">
        <f ca="1">BDP("073013BK Muni","ESG_FRAMEWORK_INDICATOR")</f>
        <v>#NAME?</v>
      </c>
      <c r="Q1305" t="e">
        <f ca="1">BDP("073013BK Muni","BLOOMBERG_SECTOR_CODE")</f>
        <v>#NAME?</v>
      </c>
      <c r="R1305" t="e">
        <f ca="1">BDP("073013BK Muni","ISSUER_TYPE")</f>
        <v>#NAME?</v>
      </c>
      <c r="S1305" t="e">
        <f ca="1">BDS("073013BK Muni","ESG_PROJECT_CATEGORY", "aggregate=y")</f>
        <v>#NAME?</v>
      </c>
      <c r="T1305" t="e">
        <f ca="1">BDS("073013BK Muni","ESG_PROJECT_SUBCATEGORY", "aggregate=y")</f>
        <v>#NAME?</v>
      </c>
    </row>
    <row r="1306" spans="1:20" x14ac:dyDescent="0.25">
      <c r="A1306" t="e">
        <f ca="1">BDP("073013BL Muni","ID_CUSIP")</f>
        <v>#NAME?</v>
      </c>
      <c r="B1306" t="e">
        <f ca="1">BDP("073013BL Muni","STATE_CODE")</f>
        <v>#NAME?</v>
      </c>
      <c r="C1306" t="s">
        <v>83</v>
      </c>
      <c r="D1306" t="e">
        <f ca="1">BDP("073013BL Muni","YIELD_ON_ISSUE_DATE")</f>
        <v>#NAME?</v>
      </c>
      <c r="E1306">
        <v>585000</v>
      </c>
      <c r="F1306" t="e">
        <f ca="1">BDP("073013BL Muni","ISSUE_DT")</f>
        <v>#NAME?</v>
      </c>
      <c r="G1306" t="e">
        <f ca="1">BDP("073013BL Muni","MATURITY")</f>
        <v>#NAME?</v>
      </c>
      <c r="H1306" t="e">
        <f ca="1">BDP("073013BL Muni","MUNI_TAX_PROV")</f>
        <v>#NAME?</v>
      </c>
      <c r="I1306" t="e">
        <f ca="1">BDP("073013BL Muni","FINANCING_TYPE")</f>
        <v>#NAME?</v>
      </c>
      <c r="J1306" t="e">
        <f ca="1">BDP("073013BL Muni","BICS_LEVEL_2_INDUSTRY_GROUP_NAME")</f>
        <v>#NAME?</v>
      </c>
      <c r="K1306" t="e">
        <f ca="1">BDP("073013BL Muni","SELF_REPRTD_GREEN_INSTR_INDCTR")</f>
        <v>#NAME?</v>
      </c>
      <c r="L1306" t="e">
        <f ca="1">BDP("073013BL Muni","GB_MANAGEMENT_PROCEEDS")</f>
        <v>#NAME?</v>
      </c>
      <c r="M1306" t="e">
        <f ca="1">BDP("073013BL Muni","GB_REPORTING")</f>
        <v>#NAME?</v>
      </c>
      <c r="N1306" t="e">
        <f ca="1">BDP("073013BL Muni","GB_ASSURANCE_PROVIDERS")</f>
        <v>#NAME?</v>
      </c>
      <c r="O1306" t="e">
        <f ca="1">BDP("073013BL Muni","GB_PROJECT_SELECTION_PROCESS")</f>
        <v>#NAME?</v>
      </c>
      <c r="P1306" t="e">
        <f ca="1">BDP("073013BL Muni","ESG_FRAMEWORK_INDICATOR")</f>
        <v>#NAME?</v>
      </c>
      <c r="Q1306" t="e">
        <f ca="1">BDP("073013BL Muni","BLOOMBERG_SECTOR_CODE")</f>
        <v>#NAME?</v>
      </c>
      <c r="R1306" t="e">
        <f ca="1">BDP("073013BL Muni","ISSUER_TYPE")</f>
        <v>#NAME?</v>
      </c>
      <c r="S1306" t="e">
        <f ca="1">BDS("073013BL Muni","ESG_PROJECT_CATEGORY", "aggregate=y")</f>
        <v>#NAME?</v>
      </c>
      <c r="T1306" t="e">
        <f ca="1">BDS("073013BL Muni","ESG_PROJECT_SUBCATEGORY", "aggregate=y")</f>
        <v>#NAME?</v>
      </c>
    </row>
    <row r="1307" spans="1:20" x14ac:dyDescent="0.25">
      <c r="A1307" t="e">
        <f ca="1">BDP("073013BM Muni","ID_CUSIP")</f>
        <v>#NAME?</v>
      </c>
      <c r="B1307" t="e">
        <f ca="1">BDP("073013BM Muni","STATE_CODE")</f>
        <v>#NAME?</v>
      </c>
      <c r="C1307" t="s">
        <v>83</v>
      </c>
      <c r="D1307" t="e">
        <f ca="1">BDP("073013BM Muni","YIELD_ON_ISSUE_DATE")</f>
        <v>#NAME?</v>
      </c>
      <c r="E1307">
        <v>645000</v>
      </c>
      <c r="F1307" t="e">
        <f ca="1">BDP("073013BM Muni","ISSUE_DT")</f>
        <v>#NAME?</v>
      </c>
      <c r="G1307" t="e">
        <f ca="1">BDP("073013BM Muni","MATURITY")</f>
        <v>#NAME?</v>
      </c>
      <c r="H1307" t="e">
        <f ca="1">BDP("073013BM Muni","MUNI_TAX_PROV")</f>
        <v>#NAME?</v>
      </c>
      <c r="I1307" t="e">
        <f ca="1">BDP("073013BM Muni","FINANCING_TYPE")</f>
        <v>#NAME?</v>
      </c>
      <c r="J1307" t="e">
        <f ca="1">BDP("073013BM Muni","BICS_LEVEL_2_INDUSTRY_GROUP_NAME")</f>
        <v>#NAME?</v>
      </c>
      <c r="K1307" t="e">
        <f ca="1">BDP("073013BM Muni","SELF_REPRTD_GREEN_INSTR_INDCTR")</f>
        <v>#NAME?</v>
      </c>
      <c r="L1307" t="e">
        <f ca="1">BDP("073013BM Muni","GB_MANAGEMENT_PROCEEDS")</f>
        <v>#NAME?</v>
      </c>
      <c r="M1307" t="e">
        <f ca="1">BDP("073013BM Muni","GB_REPORTING")</f>
        <v>#NAME?</v>
      </c>
      <c r="N1307" t="e">
        <f ca="1">BDP("073013BM Muni","GB_ASSURANCE_PROVIDERS")</f>
        <v>#NAME?</v>
      </c>
      <c r="O1307" t="e">
        <f ca="1">BDP("073013BM Muni","GB_PROJECT_SELECTION_PROCESS")</f>
        <v>#NAME?</v>
      </c>
      <c r="P1307" t="e">
        <f ca="1">BDP("073013BM Muni","ESG_FRAMEWORK_INDICATOR")</f>
        <v>#NAME?</v>
      </c>
      <c r="Q1307" t="e">
        <f ca="1">BDP("073013BM Muni","BLOOMBERG_SECTOR_CODE")</f>
        <v>#NAME?</v>
      </c>
      <c r="R1307" t="e">
        <f ca="1">BDP("073013BM Muni","ISSUER_TYPE")</f>
        <v>#NAME?</v>
      </c>
      <c r="S1307" t="e">
        <f ca="1">BDS("073013BM Muni","ESG_PROJECT_CATEGORY", "aggregate=y")</f>
        <v>#NAME?</v>
      </c>
      <c r="T1307" t="e">
        <f ca="1">BDS("073013BM Muni","ESG_PROJECT_SUBCATEGORY", "aggregate=y")</f>
        <v>#NAME?</v>
      </c>
    </row>
    <row r="1308" spans="1:20" x14ac:dyDescent="0.25">
      <c r="A1308" t="e">
        <f ca="1">BDP("073013BN Muni","ID_CUSIP")</f>
        <v>#NAME?</v>
      </c>
      <c r="B1308" t="e">
        <f ca="1">BDP("073013BN Muni","STATE_CODE")</f>
        <v>#NAME?</v>
      </c>
      <c r="C1308" t="s">
        <v>83</v>
      </c>
      <c r="D1308" t="e">
        <f ca="1">BDP("073013BN Muni","YIELD_ON_ISSUE_DATE")</f>
        <v>#NAME?</v>
      </c>
      <c r="E1308">
        <v>700000</v>
      </c>
      <c r="F1308" t="e">
        <f ca="1">BDP("073013BN Muni","ISSUE_DT")</f>
        <v>#NAME?</v>
      </c>
      <c r="G1308" t="e">
        <f ca="1">BDP("073013BN Muni","MATURITY")</f>
        <v>#NAME?</v>
      </c>
      <c r="H1308" t="e">
        <f ca="1">BDP("073013BN Muni","MUNI_TAX_PROV")</f>
        <v>#NAME?</v>
      </c>
      <c r="I1308" t="e">
        <f ca="1">BDP("073013BN Muni","FINANCING_TYPE")</f>
        <v>#NAME?</v>
      </c>
      <c r="J1308" t="e">
        <f ca="1">BDP("073013BN Muni","BICS_LEVEL_2_INDUSTRY_GROUP_NAME")</f>
        <v>#NAME?</v>
      </c>
      <c r="K1308" t="e">
        <f ca="1">BDP("073013BN Muni","SELF_REPRTD_GREEN_INSTR_INDCTR")</f>
        <v>#NAME?</v>
      </c>
      <c r="L1308" t="e">
        <f ca="1">BDP("073013BN Muni","GB_MANAGEMENT_PROCEEDS")</f>
        <v>#NAME?</v>
      </c>
      <c r="M1308" t="e">
        <f ca="1">BDP("073013BN Muni","GB_REPORTING")</f>
        <v>#NAME?</v>
      </c>
      <c r="N1308" t="e">
        <f ca="1">BDP("073013BN Muni","GB_ASSURANCE_PROVIDERS")</f>
        <v>#NAME?</v>
      </c>
      <c r="O1308" t="e">
        <f ca="1">BDP("073013BN Muni","GB_PROJECT_SELECTION_PROCESS")</f>
        <v>#NAME?</v>
      </c>
      <c r="P1308" t="e">
        <f ca="1">BDP("073013BN Muni","ESG_FRAMEWORK_INDICATOR")</f>
        <v>#NAME?</v>
      </c>
      <c r="Q1308" t="e">
        <f ca="1">BDP("073013BN Muni","BLOOMBERG_SECTOR_CODE")</f>
        <v>#NAME?</v>
      </c>
      <c r="R1308" t="e">
        <f ca="1">BDP("073013BN Muni","ISSUER_TYPE")</f>
        <v>#NAME?</v>
      </c>
      <c r="S1308" t="e">
        <f ca="1">BDS("073013BN Muni","ESG_PROJECT_CATEGORY", "aggregate=y")</f>
        <v>#NAME?</v>
      </c>
      <c r="T1308" t="e">
        <f ca="1">BDS("073013BN Muni","ESG_PROJECT_SUBCATEGORY", "aggregate=y")</f>
        <v>#NAME?</v>
      </c>
    </row>
    <row r="1309" spans="1:20" x14ac:dyDescent="0.25">
      <c r="A1309" t="e">
        <f ca="1">BDP("073013BP Muni","ID_CUSIP")</f>
        <v>#NAME?</v>
      </c>
      <c r="B1309" t="e">
        <f ca="1">BDP("073013BP Muni","STATE_CODE")</f>
        <v>#NAME?</v>
      </c>
      <c r="C1309" t="s">
        <v>83</v>
      </c>
      <c r="D1309" t="e">
        <f ca="1">BDP("073013BP Muni","YIELD_ON_ISSUE_DATE")</f>
        <v>#NAME?</v>
      </c>
      <c r="E1309">
        <v>765000</v>
      </c>
      <c r="F1309" t="e">
        <f ca="1">BDP("073013BP Muni","ISSUE_DT")</f>
        <v>#NAME?</v>
      </c>
      <c r="G1309" t="e">
        <f ca="1">BDP("073013BP Muni","MATURITY")</f>
        <v>#NAME?</v>
      </c>
      <c r="H1309" t="e">
        <f ca="1">BDP("073013BP Muni","MUNI_TAX_PROV")</f>
        <v>#NAME?</v>
      </c>
      <c r="I1309" t="e">
        <f ca="1">BDP("073013BP Muni","FINANCING_TYPE")</f>
        <v>#NAME?</v>
      </c>
      <c r="J1309" t="e">
        <f ca="1">BDP("073013BP Muni","BICS_LEVEL_2_INDUSTRY_GROUP_NAME")</f>
        <v>#NAME?</v>
      </c>
      <c r="K1309" t="e">
        <f ca="1">BDP("073013BP Muni","SELF_REPRTD_GREEN_INSTR_INDCTR")</f>
        <v>#NAME?</v>
      </c>
      <c r="L1309" t="e">
        <f ca="1">BDP("073013BP Muni","GB_MANAGEMENT_PROCEEDS")</f>
        <v>#NAME?</v>
      </c>
      <c r="M1309" t="e">
        <f ca="1">BDP("073013BP Muni","GB_REPORTING")</f>
        <v>#NAME?</v>
      </c>
      <c r="N1309" t="e">
        <f ca="1">BDP("073013BP Muni","GB_ASSURANCE_PROVIDERS")</f>
        <v>#NAME?</v>
      </c>
      <c r="O1309" t="e">
        <f ca="1">BDP("073013BP Muni","GB_PROJECT_SELECTION_PROCESS")</f>
        <v>#NAME?</v>
      </c>
      <c r="P1309" t="e">
        <f ca="1">BDP("073013BP Muni","ESG_FRAMEWORK_INDICATOR")</f>
        <v>#NAME?</v>
      </c>
      <c r="Q1309" t="e">
        <f ca="1">BDP("073013BP Muni","BLOOMBERG_SECTOR_CODE")</f>
        <v>#NAME?</v>
      </c>
      <c r="R1309" t="e">
        <f ca="1">BDP("073013BP Muni","ISSUER_TYPE")</f>
        <v>#NAME?</v>
      </c>
      <c r="S1309" t="e">
        <f ca="1">BDS("073013BP Muni","ESG_PROJECT_CATEGORY", "aggregate=y")</f>
        <v>#NAME?</v>
      </c>
      <c r="T1309" t="e">
        <f ca="1">BDS("073013BP Muni","ESG_PROJECT_SUBCATEGORY", "aggregate=y")</f>
        <v>#NAME?</v>
      </c>
    </row>
    <row r="1310" spans="1:20" x14ac:dyDescent="0.25">
      <c r="A1310" t="e">
        <f ca="1">BDP("073013BQ Muni","ID_CUSIP")</f>
        <v>#NAME?</v>
      </c>
      <c r="B1310" t="e">
        <f ca="1">BDP("073013BQ Muni","STATE_CODE")</f>
        <v>#NAME?</v>
      </c>
      <c r="C1310" t="s">
        <v>83</v>
      </c>
      <c r="D1310" t="e">
        <f ca="1">BDP("073013BQ Muni","YIELD_ON_ISSUE_DATE")</f>
        <v>#NAME?</v>
      </c>
      <c r="E1310">
        <v>830000</v>
      </c>
      <c r="F1310" t="e">
        <f ca="1">BDP("073013BQ Muni","ISSUE_DT")</f>
        <v>#NAME?</v>
      </c>
      <c r="G1310" t="e">
        <f ca="1">BDP("073013BQ Muni","MATURITY")</f>
        <v>#NAME?</v>
      </c>
      <c r="H1310" t="e">
        <f ca="1">BDP("073013BQ Muni","MUNI_TAX_PROV")</f>
        <v>#NAME?</v>
      </c>
      <c r="I1310" t="e">
        <f ca="1">BDP("073013BQ Muni","FINANCING_TYPE")</f>
        <v>#NAME?</v>
      </c>
      <c r="J1310" t="e">
        <f ca="1">BDP("073013BQ Muni","BICS_LEVEL_2_INDUSTRY_GROUP_NAME")</f>
        <v>#NAME?</v>
      </c>
      <c r="K1310" t="e">
        <f ca="1">BDP("073013BQ Muni","SELF_REPRTD_GREEN_INSTR_INDCTR")</f>
        <v>#NAME?</v>
      </c>
      <c r="L1310" t="e">
        <f ca="1">BDP("073013BQ Muni","GB_MANAGEMENT_PROCEEDS")</f>
        <v>#NAME?</v>
      </c>
      <c r="M1310" t="e">
        <f ca="1">BDP("073013BQ Muni","GB_REPORTING")</f>
        <v>#NAME?</v>
      </c>
      <c r="N1310" t="e">
        <f ca="1">BDP("073013BQ Muni","GB_ASSURANCE_PROVIDERS")</f>
        <v>#NAME?</v>
      </c>
      <c r="O1310" t="e">
        <f ca="1">BDP("073013BQ Muni","GB_PROJECT_SELECTION_PROCESS")</f>
        <v>#NAME?</v>
      </c>
      <c r="P1310" t="e">
        <f ca="1">BDP("073013BQ Muni","ESG_FRAMEWORK_INDICATOR")</f>
        <v>#NAME?</v>
      </c>
      <c r="Q1310" t="e">
        <f ca="1">BDP("073013BQ Muni","BLOOMBERG_SECTOR_CODE")</f>
        <v>#NAME?</v>
      </c>
      <c r="R1310" t="e">
        <f ca="1">BDP("073013BQ Muni","ISSUER_TYPE")</f>
        <v>#NAME?</v>
      </c>
      <c r="S1310" t="e">
        <f ca="1">BDS("073013BQ Muni","ESG_PROJECT_CATEGORY", "aggregate=y")</f>
        <v>#NAME?</v>
      </c>
      <c r="T1310" t="e">
        <f ca="1">BDS("073013BQ Muni","ESG_PROJECT_SUBCATEGORY", "aggregate=y")</f>
        <v>#NAME?</v>
      </c>
    </row>
    <row r="1311" spans="1:20" x14ac:dyDescent="0.25">
      <c r="A1311" t="e">
        <f ca="1">BDP("073013BR Muni","ID_CUSIP")</f>
        <v>#NAME?</v>
      </c>
      <c r="B1311" t="e">
        <f ca="1">BDP("073013BR Muni","STATE_CODE")</f>
        <v>#NAME?</v>
      </c>
      <c r="C1311" t="s">
        <v>83</v>
      </c>
      <c r="D1311" t="e">
        <f ca="1">BDP("073013BR Muni","YIELD_ON_ISSUE_DATE")</f>
        <v>#NAME?</v>
      </c>
      <c r="E1311">
        <v>905000</v>
      </c>
      <c r="F1311" t="e">
        <f ca="1">BDP("073013BR Muni","ISSUE_DT")</f>
        <v>#NAME?</v>
      </c>
      <c r="G1311" t="e">
        <f ca="1">BDP("073013BR Muni","MATURITY")</f>
        <v>#NAME?</v>
      </c>
      <c r="H1311" t="e">
        <f ca="1">BDP("073013BR Muni","MUNI_TAX_PROV")</f>
        <v>#NAME?</v>
      </c>
      <c r="I1311" t="e">
        <f ca="1">BDP("073013BR Muni","FINANCING_TYPE")</f>
        <v>#NAME?</v>
      </c>
      <c r="J1311" t="e">
        <f ca="1">BDP("073013BR Muni","BICS_LEVEL_2_INDUSTRY_GROUP_NAME")</f>
        <v>#NAME?</v>
      </c>
      <c r="K1311" t="e">
        <f ca="1">BDP("073013BR Muni","SELF_REPRTD_GREEN_INSTR_INDCTR")</f>
        <v>#NAME?</v>
      </c>
      <c r="L1311" t="e">
        <f ca="1">BDP("073013BR Muni","GB_MANAGEMENT_PROCEEDS")</f>
        <v>#NAME?</v>
      </c>
      <c r="M1311" t="e">
        <f ca="1">BDP("073013BR Muni","GB_REPORTING")</f>
        <v>#NAME?</v>
      </c>
      <c r="N1311" t="e">
        <f ca="1">BDP("073013BR Muni","GB_ASSURANCE_PROVIDERS")</f>
        <v>#NAME?</v>
      </c>
      <c r="O1311" t="e">
        <f ca="1">BDP("073013BR Muni","GB_PROJECT_SELECTION_PROCESS")</f>
        <v>#NAME?</v>
      </c>
      <c r="P1311" t="e">
        <f ca="1">BDP("073013BR Muni","ESG_FRAMEWORK_INDICATOR")</f>
        <v>#NAME?</v>
      </c>
      <c r="Q1311" t="e">
        <f ca="1">BDP("073013BR Muni","BLOOMBERG_SECTOR_CODE")</f>
        <v>#NAME?</v>
      </c>
      <c r="R1311" t="e">
        <f ca="1">BDP("073013BR Muni","ISSUER_TYPE")</f>
        <v>#NAME?</v>
      </c>
      <c r="S1311" t="e">
        <f ca="1">BDS("073013BR Muni","ESG_PROJECT_CATEGORY", "aggregate=y")</f>
        <v>#NAME?</v>
      </c>
      <c r="T1311" t="e">
        <f ca="1">BDS("073013BR Muni","ESG_PROJECT_SUBCATEGORY", "aggregate=y")</f>
        <v>#NAME?</v>
      </c>
    </row>
    <row r="1312" spans="1:20" x14ac:dyDescent="0.25">
      <c r="A1312" t="e">
        <f ca="1">BDP("073013BS Muni","ID_CUSIP")</f>
        <v>#NAME?</v>
      </c>
      <c r="B1312" t="e">
        <f ca="1">BDP("073013BS Muni","STATE_CODE")</f>
        <v>#NAME?</v>
      </c>
      <c r="C1312" t="s">
        <v>83</v>
      </c>
      <c r="D1312" t="e">
        <f ca="1">BDP("073013BS Muni","YIELD_ON_ISSUE_DATE")</f>
        <v>#NAME?</v>
      </c>
      <c r="E1312">
        <v>980000</v>
      </c>
      <c r="F1312" t="e">
        <f ca="1">BDP("073013BS Muni","ISSUE_DT")</f>
        <v>#NAME?</v>
      </c>
      <c r="G1312" t="e">
        <f ca="1">BDP("073013BS Muni","MATURITY")</f>
        <v>#NAME?</v>
      </c>
      <c r="H1312" t="e">
        <f ca="1">BDP("073013BS Muni","MUNI_TAX_PROV")</f>
        <v>#NAME?</v>
      </c>
      <c r="I1312" t="e">
        <f ca="1">BDP("073013BS Muni","FINANCING_TYPE")</f>
        <v>#NAME?</v>
      </c>
      <c r="J1312" t="e">
        <f ca="1">BDP("073013BS Muni","BICS_LEVEL_2_INDUSTRY_GROUP_NAME")</f>
        <v>#NAME?</v>
      </c>
      <c r="K1312" t="e">
        <f ca="1">BDP("073013BS Muni","SELF_REPRTD_GREEN_INSTR_INDCTR")</f>
        <v>#NAME?</v>
      </c>
      <c r="L1312" t="e">
        <f ca="1">BDP("073013BS Muni","GB_MANAGEMENT_PROCEEDS")</f>
        <v>#NAME?</v>
      </c>
      <c r="M1312" t="e">
        <f ca="1">BDP("073013BS Muni","GB_REPORTING")</f>
        <v>#NAME?</v>
      </c>
      <c r="N1312" t="e">
        <f ca="1">BDP("073013BS Muni","GB_ASSURANCE_PROVIDERS")</f>
        <v>#NAME?</v>
      </c>
      <c r="O1312" t="e">
        <f ca="1">BDP("073013BS Muni","GB_PROJECT_SELECTION_PROCESS")</f>
        <v>#NAME?</v>
      </c>
      <c r="P1312" t="e">
        <f ca="1">BDP("073013BS Muni","ESG_FRAMEWORK_INDICATOR")</f>
        <v>#NAME?</v>
      </c>
      <c r="Q1312" t="e">
        <f ca="1">BDP("073013BS Muni","BLOOMBERG_SECTOR_CODE")</f>
        <v>#NAME?</v>
      </c>
      <c r="R1312" t="e">
        <f ca="1">BDP("073013BS Muni","ISSUER_TYPE")</f>
        <v>#NAME?</v>
      </c>
      <c r="S1312" t="e">
        <f ca="1">BDS("073013BS Muni","ESG_PROJECT_CATEGORY", "aggregate=y")</f>
        <v>#NAME?</v>
      </c>
      <c r="T1312" t="e">
        <f ca="1">BDS("073013BS Muni","ESG_PROJECT_SUBCATEGORY", "aggregate=y")</f>
        <v>#NAME?</v>
      </c>
    </row>
    <row r="1313" spans="1:20" x14ac:dyDescent="0.25">
      <c r="A1313" t="e">
        <f ca="1">BDP("073013BT Muni","ID_CUSIP")</f>
        <v>#NAME?</v>
      </c>
      <c r="B1313" t="e">
        <f ca="1">BDP("073013BT Muni","STATE_CODE")</f>
        <v>#NAME?</v>
      </c>
      <c r="C1313" t="s">
        <v>83</v>
      </c>
      <c r="D1313" t="e">
        <f ca="1">BDP("073013BT Muni","YIELD_ON_ISSUE_DATE")</f>
        <v>#NAME?</v>
      </c>
      <c r="E1313">
        <v>1055000</v>
      </c>
      <c r="F1313" t="e">
        <f ca="1">BDP("073013BT Muni","ISSUE_DT")</f>
        <v>#NAME?</v>
      </c>
      <c r="G1313" t="e">
        <f ca="1">BDP("073013BT Muni","MATURITY")</f>
        <v>#NAME?</v>
      </c>
      <c r="H1313" t="e">
        <f ca="1">BDP("073013BT Muni","MUNI_TAX_PROV")</f>
        <v>#NAME?</v>
      </c>
      <c r="I1313" t="e">
        <f ca="1">BDP("073013BT Muni","FINANCING_TYPE")</f>
        <v>#NAME?</v>
      </c>
      <c r="J1313" t="e">
        <f ca="1">BDP("073013BT Muni","BICS_LEVEL_2_INDUSTRY_GROUP_NAME")</f>
        <v>#NAME?</v>
      </c>
      <c r="K1313" t="e">
        <f ca="1">BDP("073013BT Muni","SELF_REPRTD_GREEN_INSTR_INDCTR")</f>
        <v>#NAME?</v>
      </c>
      <c r="L1313" t="e">
        <f ca="1">BDP("073013BT Muni","GB_MANAGEMENT_PROCEEDS")</f>
        <v>#NAME?</v>
      </c>
      <c r="M1313" t="e">
        <f ca="1">BDP("073013BT Muni","GB_REPORTING")</f>
        <v>#NAME?</v>
      </c>
      <c r="N1313" t="e">
        <f ca="1">BDP("073013BT Muni","GB_ASSURANCE_PROVIDERS")</f>
        <v>#NAME?</v>
      </c>
      <c r="O1313" t="e">
        <f ca="1">BDP("073013BT Muni","GB_PROJECT_SELECTION_PROCESS")</f>
        <v>#NAME?</v>
      </c>
      <c r="P1313" t="e">
        <f ca="1">BDP("073013BT Muni","ESG_FRAMEWORK_INDICATOR")</f>
        <v>#NAME?</v>
      </c>
      <c r="Q1313" t="e">
        <f ca="1">BDP("073013BT Muni","BLOOMBERG_SECTOR_CODE")</f>
        <v>#NAME?</v>
      </c>
      <c r="R1313" t="e">
        <f ca="1">BDP("073013BT Muni","ISSUER_TYPE")</f>
        <v>#NAME?</v>
      </c>
      <c r="S1313" t="e">
        <f ca="1">BDS("073013BT Muni","ESG_PROJECT_CATEGORY", "aggregate=y")</f>
        <v>#NAME?</v>
      </c>
      <c r="T1313" t="e">
        <f ca="1">BDS("073013BT Muni","ESG_PROJECT_SUBCATEGORY", "aggregate=y")</f>
        <v>#NAME?</v>
      </c>
    </row>
    <row r="1314" spans="1:20" x14ac:dyDescent="0.25">
      <c r="A1314" t="e">
        <f ca="1">BDP("073013BU Muni","ID_CUSIP")</f>
        <v>#NAME?</v>
      </c>
      <c r="B1314" t="e">
        <f ca="1">BDP("073013BU Muni","STATE_CODE")</f>
        <v>#NAME?</v>
      </c>
      <c r="C1314" t="s">
        <v>83</v>
      </c>
      <c r="D1314" t="e">
        <f ca="1">BDP("073013BU Muni","YIELD_ON_ISSUE_DATE")</f>
        <v>#NAME?</v>
      </c>
      <c r="E1314">
        <v>1130000</v>
      </c>
      <c r="F1314" t="e">
        <f ca="1">BDP("073013BU Muni","ISSUE_DT")</f>
        <v>#NAME?</v>
      </c>
      <c r="G1314" t="e">
        <f ca="1">BDP("073013BU Muni","MATURITY")</f>
        <v>#NAME?</v>
      </c>
      <c r="H1314" t="e">
        <f ca="1">BDP("073013BU Muni","MUNI_TAX_PROV")</f>
        <v>#NAME?</v>
      </c>
      <c r="I1314" t="e">
        <f ca="1">BDP("073013BU Muni","FINANCING_TYPE")</f>
        <v>#NAME?</v>
      </c>
      <c r="J1314" t="e">
        <f ca="1">BDP("073013BU Muni","BICS_LEVEL_2_INDUSTRY_GROUP_NAME")</f>
        <v>#NAME?</v>
      </c>
      <c r="K1314" t="e">
        <f ca="1">BDP("073013BU Muni","SELF_REPRTD_GREEN_INSTR_INDCTR")</f>
        <v>#NAME?</v>
      </c>
      <c r="L1314" t="e">
        <f ca="1">BDP("073013BU Muni","GB_MANAGEMENT_PROCEEDS")</f>
        <v>#NAME?</v>
      </c>
      <c r="M1314" t="e">
        <f ca="1">BDP("073013BU Muni","GB_REPORTING")</f>
        <v>#NAME?</v>
      </c>
      <c r="N1314" t="e">
        <f ca="1">BDP("073013BU Muni","GB_ASSURANCE_PROVIDERS")</f>
        <v>#NAME?</v>
      </c>
      <c r="O1314" t="e">
        <f ca="1">BDP("073013BU Muni","GB_PROJECT_SELECTION_PROCESS")</f>
        <v>#NAME?</v>
      </c>
      <c r="P1314" t="e">
        <f ca="1">BDP("073013BU Muni","ESG_FRAMEWORK_INDICATOR")</f>
        <v>#NAME?</v>
      </c>
      <c r="Q1314" t="e">
        <f ca="1">BDP("073013BU Muni","BLOOMBERG_SECTOR_CODE")</f>
        <v>#NAME?</v>
      </c>
      <c r="R1314" t="e">
        <f ca="1">BDP("073013BU Muni","ISSUER_TYPE")</f>
        <v>#NAME?</v>
      </c>
      <c r="S1314" t="e">
        <f ca="1">BDS("073013BU Muni","ESG_PROJECT_CATEGORY", "aggregate=y")</f>
        <v>#NAME?</v>
      </c>
      <c r="T1314" t="e">
        <f ca="1">BDS("073013BU Muni","ESG_PROJECT_SUBCATEGORY", "aggregate=y")</f>
        <v>#NAME?</v>
      </c>
    </row>
    <row r="1315" spans="1:20" x14ac:dyDescent="0.25">
      <c r="A1315" t="e">
        <f ca="1">BDP("073013BV Muni","ID_CUSIP")</f>
        <v>#NAME?</v>
      </c>
      <c r="B1315" t="e">
        <f ca="1">BDP("073013BV Muni","STATE_CODE")</f>
        <v>#NAME?</v>
      </c>
      <c r="C1315" t="s">
        <v>83</v>
      </c>
      <c r="D1315" t="e">
        <f ca="1">BDP("073013BV Muni","YIELD_ON_ISSUE_DATE")</f>
        <v>#NAME?</v>
      </c>
      <c r="E1315">
        <v>1210000</v>
      </c>
      <c r="F1315" t="e">
        <f ca="1">BDP("073013BV Muni","ISSUE_DT")</f>
        <v>#NAME?</v>
      </c>
      <c r="G1315" t="e">
        <f ca="1">BDP("073013BV Muni","MATURITY")</f>
        <v>#NAME?</v>
      </c>
      <c r="H1315" t="e">
        <f ca="1">BDP("073013BV Muni","MUNI_TAX_PROV")</f>
        <v>#NAME?</v>
      </c>
      <c r="I1315" t="e">
        <f ca="1">BDP("073013BV Muni","FINANCING_TYPE")</f>
        <v>#NAME?</v>
      </c>
      <c r="J1315" t="e">
        <f ca="1">BDP("073013BV Muni","BICS_LEVEL_2_INDUSTRY_GROUP_NAME")</f>
        <v>#NAME?</v>
      </c>
      <c r="K1315" t="e">
        <f ca="1">BDP("073013BV Muni","SELF_REPRTD_GREEN_INSTR_INDCTR")</f>
        <v>#NAME?</v>
      </c>
      <c r="L1315" t="e">
        <f ca="1">BDP("073013BV Muni","GB_MANAGEMENT_PROCEEDS")</f>
        <v>#NAME?</v>
      </c>
      <c r="M1315" t="e">
        <f ca="1">BDP("073013BV Muni","GB_REPORTING")</f>
        <v>#NAME?</v>
      </c>
      <c r="N1315" t="e">
        <f ca="1">BDP("073013BV Muni","GB_ASSURANCE_PROVIDERS")</f>
        <v>#NAME?</v>
      </c>
      <c r="O1315" t="e">
        <f ca="1">BDP("073013BV Muni","GB_PROJECT_SELECTION_PROCESS")</f>
        <v>#NAME?</v>
      </c>
      <c r="P1315" t="e">
        <f ca="1">BDP("073013BV Muni","ESG_FRAMEWORK_INDICATOR")</f>
        <v>#NAME?</v>
      </c>
      <c r="Q1315" t="e">
        <f ca="1">BDP("073013BV Muni","BLOOMBERG_SECTOR_CODE")</f>
        <v>#NAME?</v>
      </c>
      <c r="R1315" t="e">
        <f ca="1">BDP("073013BV Muni","ISSUER_TYPE")</f>
        <v>#NAME?</v>
      </c>
      <c r="S1315" t="e">
        <f ca="1">BDS("073013BV Muni","ESG_PROJECT_CATEGORY", "aggregate=y")</f>
        <v>#NAME?</v>
      </c>
      <c r="T1315" t="e">
        <f ca="1">BDS("073013BV Muni","ESG_PROJECT_SUBCATEGORY", "aggregate=y")</f>
        <v>#NAME?</v>
      </c>
    </row>
    <row r="1316" spans="1:20" x14ac:dyDescent="0.25">
      <c r="A1316" t="e">
        <f ca="1">BDP("073013BW Muni","ID_CUSIP")</f>
        <v>#NAME?</v>
      </c>
      <c r="B1316" t="e">
        <f ca="1">BDP("073013BW Muni","STATE_CODE")</f>
        <v>#NAME?</v>
      </c>
      <c r="C1316" t="s">
        <v>83</v>
      </c>
      <c r="D1316" t="e">
        <f ca="1">BDP("073013BW Muni","YIELD_ON_ISSUE_DATE")</f>
        <v>#NAME?</v>
      </c>
      <c r="E1316">
        <v>1295000</v>
      </c>
      <c r="F1316" t="e">
        <f ca="1">BDP("073013BW Muni","ISSUE_DT")</f>
        <v>#NAME?</v>
      </c>
      <c r="G1316" t="e">
        <f ca="1">BDP("073013BW Muni","MATURITY")</f>
        <v>#NAME?</v>
      </c>
      <c r="H1316" t="e">
        <f ca="1">BDP("073013BW Muni","MUNI_TAX_PROV")</f>
        <v>#NAME?</v>
      </c>
      <c r="I1316" t="e">
        <f ca="1">BDP("073013BW Muni","FINANCING_TYPE")</f>
        <v>#NAME?</v>
      </c>
      <c r="J1316" t="e">
        <f ca="1">BDP("073013BW Muni","BICS_LEVEL_2_INDUSTRY_GROUP_NAME")</f>
        <v>#NAME?</v>
      </c>
      <c r="K1316" t="e">
        <f ca="1">BDP("073013BW Muni","SELF_REPRTD_GREEN_INSTR_INDCTR")</f>
        <v>#NAME?</v>
      </c>
      <c r="L1316" t="e">
        <f ca="1">BDP("073013BW Muni","GB_MANAGEMENT_PROCEEDS")</f>
        <v>#NAME?</v>
      </c>
      <c r="M1316" t="e">
        <f ca="1">BDP("073013BW Muni","GB_REPORTING")</f>
        <v>#NAME?</v>
      </c>
      <c r="N1316" t="e">
        <f ca="1">BDP("073013BW Muni","GB_ASSURANCE_PROVIDERS")</f>
        <v>#NAME?</v>
      </c>
      <c r="O1316" t="e">
        <f ca="1">BDP("073013BW Muni","GB_PROJECT_SELECTION_PROCESS")</f>
        <v>#NAME?</v>
      </c>
      <c r="P1316" t="e">
        <f ca="1">BDP("073013BW Muni","ESG_FRAMEWORK_INDICATOR")</f>
        <v>#NAME?</v>
      </c>
      <c r="Q1316" t="e">
        <f ca="1">BDP("073013BW Muni","BLOOMBERG_SECTOR_CODE")</f>
        <v>#NAME?</v>
      </c>
      <c r="R1316" t="e">
        <f ca="1">BDP("073013BW Muni","ISSUER_TYPE")</f>
        <v>#NAME?</v>
      </c>
      <c r="S1316" t="e">
        <f ca="1">BDS("073013BW Muni","ESG_PROJECT_CATEGORY", "aggregate=y")</f>
        <v>#NAME?</v>
      </c>
      <c r="T1316" t="e">
        <f ca="1">BDS("073013BW Muni","ESG_PROJECT_SUBCATEGORY", "aggregate=y")</f>
        <v>#NAME?</v>
      </c>
    </row>
    <row r="1317" spans="1:20" x14ac:dyDescent="0.25">
      <c r="A1317" t="e">
        <f ca="1">BDP("073013BX Muni","ID_CUSIP")</f>
        <v>#NAME?</v>
      </c>
      <c r="B1317" t="e">
        <f ca="1">BDP("073013BX Muni","STATE_CODE")</f>
        <v>#NAME?</v>
      </c>
      <c r="C1317" t="s">
        <v>83</v>
      </c>
      <c r="D1317" t="e">
        <f ca="1">BDP("073013BX Muni","YIELD_ON_ISSUE_DATE")</f>
        <v>#NAME?</v>
      </c>
      <c r="E1317">
        <v>1385000</v>
      </c>
      <c r="F1317" t="e">
        <f ca="1">BDP("073013BX Muni","ISSUE_DT")</f>
        <v>#NAME?</v>
      </c>
      <c r="G1317" t="e">
        <f ca="1">BDP("073013BX Muni","MATURITY")</f>
        <v>#NAME?</v>
      </c>
      <c r="H1317" t="e">
        <f ca="1">BDP("073013BX Muni","MUNI_TAX_PROV")</f>
        <v>#NAME?</v>
      </c>
      <c r="I1317" t="e">
        <f ca="1">BDP("073013BX Muni","FINANCING_TYPE")</f>
        <v>#NAME?</v>
      </c>
      <c r="J1317" t="e">
        <f ca="1">BDP("073013BX Muni","BICS_LEVEL_2_INDUSTRY_GROUP_NAME")</f>
        <v>#NAME?</v>
      </c>
      <c r="K1317" t="e">
        <f ca="1">BDP("073013BX Muni","SELF_REPRTD_GREEN_INSTR_INDCTR")</f>
        <v>#NAME?</v>
      </c>
      <c r="L1317" t="e">
        <f ca="1">BDP("073013BX Muni","GB_MANAGEMENT_PROCEEDS")</f>
        <v>#NAME?</v>
      </c>
      <c r="M1317" t="e">
        <f ca="1">BDP("073013BX Muni","GB_REPORTING")</f>
        <v>#NAME?</v>
      </c>
      <c r="N1317" t="e">
        <f ca="1">BDP("073013BX Muni","GB_ASSURANCE_PROVIDERS")</f>
        <v>#NAME?</v>
      </c>
      <c r="O1317" t="e">
        <f ca="1">BDP("073013BX Muni","GB_PROJECT_SELECTION_PROCESS")</f>
        <v>#NAME?</v>
      </c>
      <c r="P1317" t="e">
        <f ca="1">BDP("073013BX Muni","ESG_FRAMEWORK_INDICATOR")</f>
        <v>#NAME?</v>
      </c>
      <c r="Q1317" t="e">
        <f ca="1">BDP("073013BX Muni","BLOOMBERG_SECTOR_CODE")</f>
        <v>#NAME?</v>
      </c>
      <c r="R1317" t="e">
        <f ca="1">BDP("073013BX Muni","ISSUER_TYPE")</f>
        <v>#NAME?</v>
      </c>
      <c r="S1317" t="e">
        <f ca="1">BDS("073013BX Muni","ESG_PROJECT_CATEGORY", "aggregate=y")</f>
        <v>#NAME?</v>
      </c>
      <c r="T1317" t="e">
        <f ca="1">BDS("073013BX Muni","ESG_PROJECT_SUBCATEGORY", "aggregate=y")</f>
        <v>#NAME?</v>
      </c>
    </row>
    <row r="1318" spans="1:20" x14ac:dyDescent="0.25">
      <c r="A1318" t="e">
        <f ca="1">BDP("013572NW Muni","ID_CUSIP")</f>
        <v>#NAME?</v>
      </c>
      <c r="B1318" t="e">
        <f ca="1">BDP("013572NW Muni","STATE_CODE")</f>
        <v>#NAME?</v>
      </c>
      <c r="C1318" t="s">
        <v>84</v>
      </c>
      <c r="D1318" t="e">
        <f ca="1">BDP("013572NW Muni","YIELD_ON_ISSUE_DATE")</f>
        <v>#NAME?</v>
      </c>
      <c r="E1318">
        <v>3000000</v>
      </c>
      <c r="F1318" t="e">
        <f ca="1">BDP("013572NW Muni","ISSUE_DT")</f>
        <v>#NAME?</v>
      </c>
      <c r="G1318" t="e">
        <f ca="1">BDP("013572NW Muni","MATURITY")</f>
        <v>#NAME?</v>
      </c>
      <c r="H1318" t="e">
        <f ca="1">BDP("013572NW Muni","MUNI_TAX_PROV")</f>
        <v>#NAME?</v>
      </c>
      <c r="I1318" t="e">
        <f ca="1">BDP("013572NW Muni","FINANCING_TYPE")</f>
        <v>#NAME?</v>
      </c>
      <c r="J1318" t="e">
        <f ca="1">BDP("013572NW Muni","BICS_LEVEL_2_INDUSTRY_GROUP_NAME")</f>
        <v>#NAME?</v>
      </c>
      <c r="K1318" t="e">
        <f ca="1">BDP("013572NW Muni","SELF_REPRTD_GREEN_INSTR_INDCTR")</f>
        <v>#NAME?</v>
      </c>
      <c r="L1318" t="e">
        <f ca="1">BDP("013572NW Muni","GB_MANAGEMENT_PROCEEDS")</f>
        <v>#NAME?</v>
      </c>
      <c r="M1318" t="e">
        <f ca="1">BDP("013572NW Muni","GB_REPORTING")</f>
        <v>#NAME?</v>
      </c>
      <c r="N1318" t="e">
        <f ca="1">BDP("013572NW Muni","GB_ASSURANCE_PROVIDERS")</f>
        <v>#NAME?</v>
      </c>
      <c r="O1318" t="e">
        <f ca="1">BDP("013572NW Muni","GB_PROJECT_SELECTION_PROCESS")</f>
        <v>#NAME?</v>
      </c>
      <c r="P1318" t="e">
        <f ca="1">BDP("013572NW Muni","ESG_FRAMEWORK_INDICATOR")</f>
        <v>#NAME?</v>
      </c>
      <c r="Q1318" t="e">
        <f ca="1">BDP("013572NW Muni","BLOOMBERG_SECTOR_CODE")</f>
        <v>#NAME?</v>
      </c>
      <c r="R1318" t="e">
        <f ca="1">BDP("013572NW Muni","ISSUER_TYPE")</f>
        <v>#NAME?</v>
      </c>
      <c r="S1318" t="e">
        <f ca="1">BDS("013572NW Muni","ESG_PROJECT_CATEGORY", "aggregate=y")</f>
        <v>#NAME?</v>
      </c>
      <c r="T1318" t="e">
        <f ca="1">BDS("013572NW Muni","ESG_PROJECT_SUBCATEGORY", "aggregate=y")</f>
        <v>#NAME?</v>
      </c>
    </row>
    <row r="1319" spans="1:20" x14ac:dyDescent="0.25">
      <c r="A1319" t="e">
        <f ca="1">BDP("013572PC Muni","ID_CUSIP")</f>
        <v>#NAME?</v>
      </c>
      <c r="B1319" t="e">
        <f ca="1">BDP("013572PC Muni","STATE_CODE")</f>
        <v>#NAME?</v>
      </c>
      <c r="C1319" t="s">
        <v>84</v>
      </c>
      <c r="D1319" t="e">
        <f ca="1">BDP("013572PC Muni","YIELD_ON_ISSUE_DATE")</f>
        <v>#NAME?</v>
      </c>
      <c r="E1319">
        <v>1060000</v>
      </c>
      <c r="F1319" t="e">
        <f ca="1">BDP("013572PC Muni","ISSUE_DT")</f>
        <v>#NAME?</v>
      </c>
      <c r="G1319" t="e">
        <f ca="1">BDP("013572PC Muni","MATURITY")</f>
        <v>#NAME?</v>
      </c>
      <c r="H1319" t="e">
        <f ca="1">BDP("013572PC Muni","MUNI_TAX_PROV")</f>
        <v>#NAME?</v>
      </c>
      <c r="I1319" t="e">
        <f ca="1">BDP("013572PC Muni","FINANCING_TYPE")</f>
        <v>#NAME?</v>
      </c>
      <c r="J1319" t="e">
        <f ca="1">BDP("013572PC Muni","BICS_LEVEL_2_INDUSTRY_GROUP_NAME")</f>
        <v>#NAME?</v>
      </c>
      <c r="K1319" t="e">
        <f ca="1">BDP("013572PC Muni","SELF_REPRTD_GREEN_INSTR_INDCTR")</f>
        <v>#NAME?</v>
      </c>
      <c r="L1319" t="e">
        <f ca="1">BDP("013572PC Muni","GB_MANAGEMENT_PROCEEDS")</f>
        <v>#NAME?</v>
      </c>
      <c r="M1319" t="e">
        <f ca="1">BDP("013572PC Muni","GB_REPORTING")</f>
        <v>#NAME?</v>
      </c>
      <c r="N1319" t="e">
        <f ca="1">BDP("013572PC Muni","GB_ASSURANCE_PROVIDERS")</f>
        <v>#NAME?</v>
      </c>
      <c r="O1319" t="e">
        <f ca="1">BDP("013572PC Muni","GB_PROJECT_SELECTION_PROCESS")</f>
        <v>#NAME?</v>
      </c>
      <c r="P1319" t="e">
        <f ca="1">BDP("013572PC Muni","ESG_FRAMEWORK_INDICATOR")</f>
        <v>#NAME?</v>
      </c>
      <c r="Q1319" t="e">
        <f ca="1">BDP("013572PC Muni","BLOOMBERG_SECTOR_CODE")</f>
        <v>#NAME?</v>
      </c>
      <c r="R1319" t="e">
        <f ca="1">BDP("013572PC Muni","ISSUER_TYPE")</f>
        <v>#NAME?</v>
      </c>
      <c r="S1319" t="e">
        <f ca="1">BDS("013572PC Muni","ESG_PROJECT_CATEGORY", "aggregate=y")</f>
        <v>#NAME?</v>
      </c>
      <c r="T1319" t="e">
        <f ca="1">BDS("013572PC Muni","ESG_PROJECT_SUBCATEGORY", "aggregate=y")</f>
        <v>#NAME?</v>
      </c>
    </row>
    <row r="1320" spans="1:20" x14ac:dyDescent="0.25">
      <c r="A1320" t="e">
        <f ca="1">BDP("013572NX Muni","ID_CUSIP")</f>
        <v>#NAME?</v>
      </c>
      <c r="B1320" t="e">
        <f ca="1">BDP("013572NX Muni","STATE_CODE")</f>
        <v>#NAME?</v>
      </c>
      <c r="C1320" t="s">
        <v>84</v>
      </c>
      <c r="D1320" t="e">
        <f ca="1">BDP("013572NX Muni","YIELD_ON_ISSUE_DATE")</f>
        <v>#NAME?</v>
      </c>
      <c r="E1320">
        <v>1060000</v>
      </c>
      <c r="F1320" t="e">
        <f ca="1">BDP("013572NX Muni","ISSUE_DT")</f>
        <v>#NAME?</v>
      </c>
      <c r="G1320" t="e">
        <f ca="1">BDP("013572NX Muni","MATURITY")</f>
        <v>#NAME?</v>
      </c>
      <c r="H1320" t="e">
        <f ca="1">BDP("013572NX Muni","MUNI_TAX_PROV")</f>
        <v>#NAME?</v>
      </c>
      <c r="I1320" t="e">
        <f ca="1">BDP("013572NX Muni","FINANCING_TYPE")</f>
        <v>#NAME?</v>
      </c>
      <c r="J1320" t="e">
        <f ca="1">BDP("013572NX Muni","BICS_LEVEL_2_INDUSTRY_GROUP_NAME")</f>
        <v>#NAME?</v>
      </c>
      <c r="K1320" t="e">
        <f ca="1">BDP("013572NX Muni","SELF_REPRTD_GREEN_INSTR_INDCTR")</f>
        <v>#NAME?</v>
      </c>
      <c r="L1320" t="e">
        <f ca="1">BDP("013572NX Muni","GB_MANAGEMENT_PROCEEDS")</f>
        <v>#NAME?</v>
      </c>
      <c r="M1320" t="e">
        <f ca="1">BDP("013572NX Muni","GB_REPORTING")</f>
        <v>#NAME?</v>
      </c>
      <c r="N1320" t="e">
        <f ca="1">BDP("013572NX Muni","GB_ASSURANCE_PROVIDERS")</f>
        <v>#NAME?</v>
      </c>
      <c r="O1320" t="e">
        <f ca="1">BDP("013572NX Muni","GB_PROJECT_SELECTION_PROCESS")</f>
        <v>#NAME?</v>
      </c>
      <c r="P1320" t="e">
        <f ca="1">BDP("013572NX Muni","ESG_FRAMEWORK_INDICATOR")</f>
        <v>#NAME?</v>
      </c>
      <c r="Q1320" t="e">
        <f ca="1">BDP("013572NX Muni","BLOOMBERG_SECTOR_CODE")</f>
        <v>#NAME?</v>
      </c>
      <c r="R1320" t="e">
        <f ca="1">BDP("013572NX Muni","ISSUER_TYPE")</f>
        <v>#NAME?</v>
      </c>
      <c r="S1320" t="e">
        <f ca="1">BDS("013572NX Muni","ESG_PROJECT_CATEGORY", "aggregate=y")</f>
        <v>#NAME?</v>
      </c>
      <c r="T1320" t="e">
        <f ca="1">BDS("013572NX Muni","ESG_PROJECT_SUBCATEGORY", "aggregate=y")</f>
        <v>#NAME?</v>
      </c>
    </row>
    <row r="1321" spans="1:20" x14ac:dyDescent="0.25">
      <c r="A1321" t="e">
        <f ca="1">BDP("013572NY Muni","ID_CUSIP")</f>
        <v>#NAME?</v>
      </c>
      <c r="B1321" t="e">
        <f ca="1">BDP("013572NY Muni","STATE_CODE")</f>
        <v>#NAME?</v>
      </c>
      <c r="C1321" t="s">
        <v>84</v>
      </c>
      <c r="D1321" t="e">
        <f ca="1">BDP("013572NY Muni","YIELD_ON_ISSUE_DATE")</f>
        <v>#NAME?</v>
      </c>
      <c r="E1321">
        <v>1060000</v>
      </c>
      <c r="F1321" t="e">
        <f ca="1">BDP("013572NY Muni","ISSUE_DT")</f>
        <v>#NAME?</v>
      </c>
      <c r="G1321" t="e">
        <f ca="1">BDP("013572NY Muni","MATURITY")</f>
        <v>#NAME?</v>
      </c>
      <c r="H1321" t="e">
        <f ca="1">BDP("013572NY Muni","MUNI_TAX_PROV")</f>
        <v>#NAME?</v>
      </c>
      <c r="I1321" t="e">
        <f ca="1">BDP("013572NY Muni","FINANCING_TYPE")</f>
        <v>#NAME?</v>
      </c>
      <c r="J1321" t="e">
        <f ca="1">BDP("013572NY Muni","BICS_LEVEL_2_INDUSTRY_GROUP_NAME")</f>
        <v>#NAME?</v>
      </c>
      <c r="K1321" t="e">
        <f ca="1">BDP("013572NY Muni","SELF_REPRTD_GREEN_INSTR_INDCTR")</f>
        <v>#NAME?</v>
      </c>
      <c r="L1321" t="e">
        <f ca="1">BDP("013572NY Muni","GB_MANAGEMENT_PROCEEDS")</f>
        <v>#NAME?</v>
      </c>
      <c r="M1321" t="e">
        <f ca="1">BDP("013572NY Muni","GB_REPORTING")</f>
        <v>#NAME?</v>
      </c>
      <c r="N1321" t="e">
        <f ca="1">BDP("013572NY Muni","GB_ASSURANCE_PROVIDERS")</f>
        <v>#NAME?</v>
      </c>
      <c r="O1321" t="e">
        <f ca="1">BDP("013572NY Muni","GB_PROJECT_SELECTION_PROCESS")</f>
        <v>#NAME?</v>
      </c>
      <c r="P1321" t="e">
        <f ca="1">BDP("013572NY Muni","ESG_FRAMEWORK_INDICATOR")</f>
        <v>#NAME?</v>
      </c>
      <c r="Q1321" t="e">
        <f ca="1">BDP("013572NY Muni","BLOOMBERG_SECTOR_CODE")</f>
        <v>#NAME?</v>
      </c>
      <c r="R1321" t="e">
        <f ca="1">BDP("013572NY Muni","ISSUER_TYPE")</f>
        <v>#NAME?</v>
      </c>
      <c r="S1321" t="e">
        <f ca="1">BDS("013572NY Muni","ESG_PROJECT_CATEGORY", "aggregate=y")</f>
        <v>#NAME?</v>
      </c>
      <c r="T1321" t="e">
        <f ca="1">BDS("013572NY Muni","ESG_PROJECT_SUBCATEGORY", "aggregate=y")</f>
        <v>#NAME?</v>
      </c>
    </row>
    <row r="1322" spans="1:20" x14ac:dyDescent="0.25">
      <c r="A1322" t="e">
        <f ca="1">BDP("013572NZ Muni","ID_CUSIP")</f>
        <v>#NAME?</v>
      </c>
      <c r="B1322" t="e">
        <f ca="1">BDP("013572NZ Muni","STATE_CODE")</f>
        <v>#NAME?</v>
      </c>
      <c r="C1322" t="s">
        <v>84</v>
      </c>
      <c r="D1322" t="e">
        <f ca="1">BDP("013572NZ Muni","YIELD_ON_ISSUE_DATE")</f>
        <v>#NAME?</v>
      </c>
      <c r="E1322">
        <v>1060000</v>
      </c>
      <c r="F1322" t="e">
        <f ca="1">BDP("013572NZ Muni","ISSUE_DT")</f>
        <v>#NAME?</v>
      </c>
      <c r="G1322" t="e">
        <f ca="1">BDP("013572NZ Muni","MATURITY")</f>
        <v>#NAME?</v>
      </c>
      <c r="H1322" t="e">
        <f ca="1">BDP("013572NZ Muni","MUNI_TAX_PROV")</f>
        <v>#NAME?</v>
      </c>
      <c r="I1322" t="e">
        <f ca="1">BDP("013572NZ Muni","FINANCING_TYPE")</f>
        <v>#NAME?</v>
      </c>
      <c r="J1322" t="e">
        <f ca="1">BDP("013572NZ Muni","BICS_LEVEL_2_INDUSTRY_GROUP_NAME")</f>
        <v>#NAME?</v>
      </c>
      <c r="K1322" t="e">
        <f ca="1">BDP("013572NZ Muni","SELF_REPRTD_GREEN_INSTR_INDCTR")</f>
        <v>#NAME?</v>
      </c>
      <c r="L1322" t="e">
        <f ca="1">BDP("013572NZ Muni","GB_MANAGEMENT_PROCEEDS")</f>
        <v>#NAME?</v>
      </c>
      <c r="M1322" t="e">
        <f ca="1">BDP("013572NZ Muni","GB_REPORTING")</f>
        <v>#NAME?</v>
      </c>
      <c r="N1322" t="e">
        <f ca="1">BDP("013572NZ Muni","GB_ASSURANCE_PROVIDERS")</f>
        <v>#NAME?</v>
      </c>
      <c r="O1322" t="e">
        <f ca="1">BDP("013572NZ Muni","GB_PROJECT_SELECTION_PROCESS")</f>
        <v>#NAME?</v>
      </c>
      <c r="P1322" t="e">
        <f ca="1">BDP("013572NZ Muni","ESG_FRAMEWORK_INDICATOR")</f>
        <v>#NAME?</v>
      </c>
      <c r="Q1322" t="e">
        <f ca="1">BDP("013572NZ Muni","BLOOMBERG_SECTOR_CODE")</f>
        <v>#NAME?</v>
      </c>
      <c r="R1322" t="e">
        <f ca="1">BDP("013572NZ Muni","ISSUER_TYPE")</f>
        <v>#NAME?</v>
      </c>
      <c r="S1322" t="e">
        <f ca="1">BDS("013572NZ Muni","ESG_PROJECT_CATEGORY", "aggregate=y")</f>
        <v>#NAME?</v>
      </c>
      <c r="T1322" t="e">
        <f ca="1">BDS("013572NZ Muni","ESG_PROJECT_SUBCATEGORY", "aggregate=y")</f>
        <v>#NAME?</v>
      </c>
    </row>
    <row r="1323" spans="1:20" x14ac:dyDescent="0.25">
      <c r="A1323" t="e">
        <f ca="1">BDP("013572PA Muni","ID_CUSIP")</f>
        <v>#NAME?</v>
      </c>
      <c r="B1323" t="e">
        <f ca="1">BDP("013572PA Muni","STATE_CODE")</f>
        <v>#NAME?</v>
      </c>
      <c r="C1323" t="s">
        <v>84</v>
      </c>
      <c r="D1323" t="e">
        <f ca="1">BDP("013572PA Muni","YIELD_ON_ISSUE_DATE")</f>
        <v>#NAME?</v>
      </c>
      <c r="E1323">
        <v>1060000</v>
      </c>
      <c r="F1323" t="e">
        <f ca="1">BDP("013572PA Muni","ISSUE_DT")</f>
        <v>#NAME?</v>
      </c>
      <c r="G1323" t="e">
        <f ca="1">BDP("013572PA Muni","MATURITY")</f>
        <v>#NAME?</v>
      </c>
      <c r="H1323" t="e">
        <f ca="1">BDP("013572PA Muni","MUNI_TAX_PROV")</f>
        <v>#NAME?</v>
      </c>
      <c r="I1323" t="e">
        <f ca="1">BDP("013572PA Muni","FINANCING_TYPE")</f>
        <v>#NAME?</v>
      </c>
      <c r="J1323" t="e">
        <f ca="1">BDP("013572PA Muni","BICS_LEVEL_2_INDUSTRY_GROUP_NAME")</f>
        <v>#NAME?</v>
      </c>
      <c r="K1323" t="e">
        <f ca="1">BDP("013572PA Muni","SELF_REPRTD_GREEN_INSTR_INDCTR")</f>
        <v>#NAME?</v>
      </c>
      <c r="L1323" t="e">
        <f ca="1">BDP("013572PA Muni","GB_MANAGEMENT_PROCEEDS")</f>
        <v>#NAME?</v>
      </c>
      <c r="M1323" t="e">
        <f ca="1">BDP("013572PA Muni","GB_REPORTING")</f>
        <v>#NAME?</v>
      </c>
      <c r="N1323" t="e">
        <f ca="1">BDP("013572PA Muni","GB_ASSURANCE_PROVIDERS")</f>
        <v>#NAME?</v>
      </c>
      <c r="O1323" t="e">
        <f ca="1">BDP("013572PA Muni","GB_PROJECT_SELECTION_PROCESS")</f>
        <v>#NAME?</v>
      </c>
      <c r="P1323" t="e">
        <f ca="1">BDP("013572PA Muni","ESG_FRAMEWORK_INDICATOR")</f>
        <v>#NAME?</v>
      </c>
      <c r="Q1323" t="e">
        <f ca="1">BDP("013572PA Muni","BLOOMBERG_SECTOR_CODE")</f>
        <v>#NAME?</v>
      </c>
      <c r="R1323" t="e">
        <f ca="1">BDP("013572PA Muni","ISSUER_TYPE")</f>
        <v>#NAME?</v>
      </c>
      <c r="S1323" t="e">
        <f ca="1">BDS("013572PA Muni","ESG_PROJECT_CATEGORY", "aggregate=y")</f>
        <v>#NAME?</v>
      </c>
      <c r="T1323" t="e">
        <f ca="1">BDS("013572PA Muni","ESG_PROJECT_SUBCATEGORY", "aggregate=y")</f>
        <v>#NAME?</v>
      </c>
    </row>
    <row r="1324" spans="1:20" x14ac:dyDescent="0.25">
      <c r="A1324" t="e">
        <f ca="1">BDP("013572PB Muni","ID_CUSIP")</f>
        <v>#NAME?</v>
      </c>
      <c r="B1324" t="e">
        <f ca="1">BDP("013572PB Muni","STATE_CODE")</f>
        <v>#NAME?</v>
      </c>
      <c r="C1324" t="s">
        <v>84</v>
      </c>
      <c r="D1324" t="e">
        <f ca="1">BDP("013572PB Muni","YIELD_ON_ISSUE_DATE")</f>
        <v>#NAME?</v>
      </c>
      <c r="E1324">
        <v>1060000</v>
      </c>
      <c r="F1324" t="e">
        <f ca="1">BDP("013572PB Muni","ISSUE_DT")</f>
        <v>#NAME?</v>
      </c>
      <c r="G1324" t="e">
        <f ca="1">BDP("013572PB Muni","MATURITY")</f>
        <v>#NAME?</v>
      </c>
      <c r="H1324" t="e">
        <f ca="1">BDP("013572PB Muni","MUNI_TAX_PROV")</f>
        <v>#NAME?</v>
      </c>
      <c r="I1324" t="e">
        <f ca="1">BDP("013572PB Muni","FINANCING_TYPE")</f>
        <v>#NAME?</v>
      </c>
      <c r="J1324" t="e">
        <f ca="1">BDP("013572PB Muni","BICS_LEVEL_2_INDUSTRY_GROUP_NAME")</f>
        <v>#NAME?</v>
      </c>
      <c r="K1324" t="e">
        <f ca="1">BDP("013572PB Muni","SELF_REPRTD_GREEN_INSTR_INDCTR")</f>
        <v>#NAME?</v>
      </c>
      <c r="L1324" t="e">
        <f ca="1">BDP("013572PB Muni","GB_MANAGEMENT_PROCEEDS")</f>
        <v>#NAME?</v>
      </c>
      <c r="M1324" t="e">
        <f ca="1">BDP("013572PB Muni","GB_REPORTING")</f>
        <v>#NAME?</v>
      </c>
      <c r="N1324" t="e">
        <f ca="1">BDP("013572PB Muni","GB_ASSURANCE_PROVIDERS")</f>
        <v>#NAME?</v>
      </c>
      <c r="O1324" t="e">
        <f ca="1">BDP("013572PB Muni","GB_PROJECT_SELECTION_PROCESS")</f>
        <v>#NAME?</v>
      </c>
      <c r="P1324" t="e">
        <f ca="1">BDP("013572PB Muni","ESG_FRAMEWORK_INDICATOR")</f>
        <v>#NAME?</v>
      </c>
      <c r="Q1324" t="e">
        <f ca="1">BDP("013572PB Muni","BLOOMBERG_SECTOR_CODE")</f>
        <v>#NAME?</v>
      </c>
      <c r="R1324" t="e">
        <f ca="1">BDP("013572PB Muni","ISSUER_TYPE")</f>
        <v>#NAME?</v>
      </c>
      <c r="S1324" t="e">
        <f ca="1">BDS("013572PB Muni","ESG_PROJECT_CATEGORY", "aggregate=y")</f>
        <v>#NAME?</v>
      </c>
      <c r="T1324" t="e">
        <f ca="1">BDS("013572PB Muni","ESG_PROJECT_SUBCATEGORY", "aggregate=y")</f>
        <v>#NAME?</v>
      </c>
    </row>
    <row r="1325" spans="1:20" x14ac:dyDescent="0.25">
      <c r="A1325" t="e">
        <f ca="1">BDP("013572PD Muni","ID_CUSIP")</f>
        <v>#NAME?</v>
      </c>
      <c r="B1325" t="e">
        <f ca="1">BDP("013572PD Muni","STATE_CODE")</f>
        <v>#NAME?</v>
      </c>
      <c r="C1325" t="s">
        <v>84</v>
      </c>
      <c r="D1325" t="e">
        <f ca="1">BDP("013572PD Muni","YIELD_ON_ISSUE_DATE")</f>
        <v>#NAME?</v>
      </c>
      <c r="E1325">
        <v>1060000</v>
      </c>
      <c r="F1325" t="e">
        <f ca="1">BDP("013572PD Muni","ISSUE_DT")</f>
        <v>#NAME?</v>
      </c>
      <c r="G1325" t="e">
        <f ca="1">BDP("013572PD Muni","MATURITY")</f>
        <v>#NAME?</v>
      </c>
      <c r="H1325" t="e">
        <f ca="1">BDP("013572PD Muni","MUNI_TAX_PROV")</f>
        <v>#NAME?</v>
      </c>
      <c r="I1325" t="e">
        <f ca="1">BDP("013572PD Muni","FINANCING_TYPE")</f>
        <v>#NAME?</v>
      </c>
      <c r="J1325" t="e">
        <f ca="1">BDP("013572PD Muni","BICS_LEVEL_2_INDUSTRY_GROUP_NAME")</f>
        <v>#NAME?</v>
      </c>
      <c r="K1325" t="e">
        <f ca="1">BDP("013572PD Muni","SELF_REPRTD_GREEN_INSTR_INDCTR")</f>
        <v>#NAME?</v>
      </c>
      <c r="L1325" t="e">
        <f ca="1">BDP("013572PD Muni","GB_MANAGEMENT_PROCEEDS")</f>
        <v>#NAME?</v>
      </c>
      <c r="M1325" t="e">
        <f ca="1">BDP("013572PD Muni","GB_REPORTING")</f>
        <v>#NAME?</v>
      </c>
      <c r="N1325" t="e">
        <f ca="1">BDP("013572PD Muni","GB_ASSURANCE_PROVIDERS")</f>
        <v>#NAME?</v>
      </c>
      <c r="O1325" t="e">
        <f ca="1">BDP("013572PD Muni","GB_PROJECT_SELECTION_PROCESS")</f>
        <v>#NAME?</v>
      </c>
      <c r="P1325" t="e">
        <f ca="1">BDP("013572PD Muni","ESG_FRAMEWORK_INDICATOR")</f>
        <v>#NAME?</v>
      </c>
      <c r="Q1325" t="e">
        <f ca="1">BDP("013572PD Muni","BLOOMBERG_SECTOR_CODE")</f>
        <v>#NAME?</v>
      </c>
      <c r="R1325" t="e">
        <f ca="1">BDP("013572PD Muni","ISSUER_TYPE")</f>
        <v>#NAME?</v>
      </c>
      <c r="S1325" t="e">
        <f ca="1">BDS("013572PD Muni","ESG_PROJECT_CATEGORY", "aggregate=y")</f>
        <v>#NAME?</v>
      </c>
      <c r="T1325" t="e">
        <f ca="1">BDS("013572PD Muni","ESG_PROJECT_SUBCATEGORY", "aggregate=y")</f>
        <v>#NAME?</v>
      </c>
    </row>
    <row r="1326" spans="1:20" x14ac:dyDescent="0.25">
      <c r="A1326" t="e">
        <f ca="1">BDP("013572PE Muni","ID_CUSIP")</f>
        <v>#NAME?</v>
      </c>
      <c r="B1326" t="e">
        <f ca="1">BDP("013572PE Muni","STATE_CODE")</f>
        <v>#NAME?</v>
      </c>
      <c r="C1326" t="s">
        <v>84</v>
      </c>
      <c r="D1326" t="e">
        <f ca="1">BDP("013572PE Muni","YIELD_ON_ISSUE_DATE")</f>
        <v>#NAME?</v>
      </c>
      <c r="E1326">
        <v>1060000</v>
      </c>
      <c r="F1326" t="e">
        <f ca="1">BDP("013572PE Muni","ISSUE_DT")</f>
        <v>#NAME?</v>
      </c>
      <c r="G1326" t="e">
        <f ca="1">BDP("013572PE Muni","MATURITY")</f>
        <v>#NAME?</v>
      </c>
      <c r="H1326" t="e">
        <f ca="1">BDP("013572PE Muni","MUNI_TAX_PROV")</f>
        <v>#NAME?</v>
      </c>
      <c r="I1326" t="e">
        <f ca="1">BDP("013572PE Muni","FINANCING_TYPE")</f>
        <v>#NAME?</v>
      </c>
      <c r="J1326" t="e">
        <f ca="1">BDP("013572PE Muni","BICS_LEVEL_2_INDUSTRY_GROUP_NAME")</f>
        <v>#NAME?</v>
      </c>
      <c r="K1326" t="e">
        <f ca="1">BDP("013572PE Muni","SELF_REPRTD_GREEN_INSTR_INDCTR")</f>
        <v>#NAME?</v>
      </c>
      <c r="L1326" t="e">
        <f ca="1">BDP("013572PE Muni","GB_MANAGEMENT_PROCEEDS")</f>
        <v>#NAME?</v>
      </c>
      <c r="M1326" t="e">
        <f ca="1">BDP("013572PE Muni","GB_REPORTING")</f>
        <v>#NAME?</v>
      </c>
      <c r="N1326" t="e">
        <f ca="1">BDP("013572PE Muni","GB_ASSURANCE_PROVIDERS")</f>
        <v>#NAME?</v>
      </c>
      <c r="O1326" t="e">
        <f ca="1">BDP("013572PE Muni","GB_PROJECT_SELECTION_PROCESS")</f>
        <v>#NAME?</v>
      </c>
      <c r="P1326" t="e">
        <f ca="1">BDP("013572PE Muni","ESG_FRAMEWORK_INDICATOR")</f>
        <v>#NAME?</v>
      </c>
      <c r="Q1326" t="e">
        <f ca="1">BDP("013572PE Muni","BLOOMBERG_SECTOR_CODE")</f>
        <v>#NAME?</v>
      </c>
      <c r="R1326" t="e">
        <f ca="1">BDP("013572PE Muni","ISSUER_TYPE")</f>
        <v>#NAME?</v>
      </c>
      <c r="S1326" t="e">
        <f ca="1">BDS("013572PE Muni","ESG_PROJECT_CATEGORY", "aggregate=y")</f>
        <v>#NAME?</v>
      </c>
      <c r="T1326" t="e">
        <f ca="1">BDS("013572PE Muni","ESG_PROJECT_SUBCATEGORY", "aggregate=y")</f>
        <v>#NAME?</v>
      </c>
    </row>
    <row r="1327" spans="1:20" x14ac:dyDescent="0.25">
      <c r="A1327" t="e">
        <f ca="1">BDP("013572PF Muni","ID_CUSIP")</f>
        <v>#NAME?</v>
      </c>
      <c r="B1327" t="e">
        <f ca="1">BDP("013572PF Muni","STATE_CODE")</f>
        <v>#NAME?</v>
      </c>
      <c r="C1327" t="s">
        <v>84</v>
      </c>
      <c r="D1327" t="e">
        <f ca="1">BDP("013572PF Muni","YIELD_ON_ISSUE_DATE")</f>
        <v>#NAME?</v>
      </c>
      <c r="E1327">
        <v>1020000</v>
      </c>
      <c r="F1327" t="e">
        <f ca="1">BDP("013572PF Muni","ISSUE_DT")</f>
        <v>#NAME?</v>
      </c>
      <c r="G1327" t="e">
        <f ca="1">BDP("013572PF Muni","MATURITY")</f>
        <v>#NAME?</v>
      </c>
      <c r="H1327" t="e">
        <f ca="1">BDP("013572PF Muni","MUNI_TAX_PROV")</f>
        <v>#NAME?</v>
      </c>
      <c r="I1327" t="e">
        <f ca="1">BDP("013572PF Muni","FINANCING_TYPE")</f>
        <v>#NAME?</v>
      </c>
      <c r="J1327" t="e">
        <f ca="1">BDP("013572PF Muni","BICS_LEVEL_2_INDUSTRY_GROUP_NAME")</f>
        <v>#NAME?</v>
      </c>
      <c r="K1327" t="e">
        <f ca="1">BDP("013572PF Muni","SELF_REPRTD_GREEN_INSTR_INDCTR")</f>
        <v>#NAME?</v>
      </c>
      <c r="L1327" t="e">
        <f ca="1">BDP("013572PF Muni","GB_MANAGEMENT_PROCEEDS")</f>
        <v>#NAME?</v>
      </c>
      <c r="M1327" t="e">
        <f ca="1">BDP("013572PF Muni","GB_REPORTING")</f>
        <v>#NAME?</v>
      </c>
      <c r="N1327" t="e">
        <f ca="1">BDP("013572PF Muni","GB_ASSURANCE_PROVIDERS")</f>
        <v>#NAME?</v>
      </c>
      <c r="O1327" t="e">
        <f ca="1">BDP("013572PF Muni","GB_PROJECT_SELECTION_PROCESS")</f>
        <v>#NAME?</v>
      </c>
      <c r="P1327" t="e">
        <f ca="1">BDP("013572PF Muni","ESG_FRAMEWORK_INDICATOR")</f>
        <v>#NAME?</v>
      </c>
      <c r="Q1327" t="e">
        <f ca="1">BDP("013572PF Muni","BLOOMBERG_SECTOR_CODE")</f>
        <v>#NAME?</v>
      </c>
      <c r="R1327" t="e">
        <f ca="1">BDP("013572PF Muni","ISSUER_TYPE")</f>
        <v>#NAME?</v>
      </c>
      <c r="S1327" t="e">
        <f ca="1">BDS("013572PF Muni","ESG_PROJECT_CATEGORY", "aggregate=y")</f>
        <v>#NAME?</v>
      </c>
      <c r="T1327" t="e">
        <f ca="1">BDS("013572PF Muni","ESG_PROJECT_SUBCATEGORY", "aggregate=y")</f>
        <v>#NAME?</v>
      </c>
    </row>
    <row r="1328" spans="1:20" x14ac:dyDescent="0.25">
      <c r="A1328" t="e">
        <f ca="1">BDP("641455AB Muni","ID_CUSIP")</f>
        <v>#NAME?</v>
      </c>
      <c r="B1328" t="e">
        <f ca="1">BDP("641455AB Muni","STATE_CODE")</f>
        <v>#NAME?</v>
      </c>
      <c r="C1328" t="s">
        <v>85</v>
      </c>
      <c r="D1328" t="e">
        <f ca="1">BDP("641455AB Muni","YIELD_ON_ISSUE_DATE")</f>
        <v>#NAME?</v>
      </c>
      <c r="E1328">
        <v>500000000</v>
      </c>
      <c r="F1328" t="e">
        <f ca="1">BDP("641455AB Muni","ISSUE_DT")</f>
        <v>#NAME?</v>
      </c>
      <c r="G1328" t="e">
        <f ca="1">BDP("641455AB Muni","MATURITY")</f>
        <v>#NAME?</v>
      </c>
      <c r="H1328" t="e">
        <f ca="1">BDP("641455AB Muni","MUNI_TAX_PROV")</f>
        <v>#NAME?</v>
      </c>
      <c r="I1328" t="e">
        <f ca="1">BDP("641455AB Muni","FINANCING_TYPE")</f>
        <v>#NAME?</v>
      </c>
      <c r="J1328" t="e">
        <f ca="1">BDP("641455AB Muni","BICS_LEVEL_2_INDUSTRY_GROUP_NAME")</f>
        <v>#NAME?</v>
      </c>
      <c r="K1328" t="e">
        <f ca="1">BDP("641455AB Muni","SELF_REPRTD_GREEN_INSTR_INDCTR")</f>
        <v>#NAME?</v>
      </c>
      <c r="L1328" t="e">
        <f ca="1">BDP("641455AB Muni","GB_MANAGEMENT_PROCEEDS")</f>
        <v>#NAME?</v>
      </c>
      <c r="M1328" t="e">
        <f ca="1">BDP("641455AB Muni","GB_REPORTING")</f>
        <v>#NAME?</v>
      </c>
      <c r="N1328" t="e">
        <f ca="1">BDP("641455AB Muni","GB_ASSURANCE_PROVIDERS")</f>
        <v>#NAME?</v>
      </c>
      <c r="O1328" t="e">
        <f ca="1">BDP("641455AB Muni","GB_PROJECT_SELECTION_PROCESS")</f>
        <v>#NAME?</v>
      </c>
      <c r="P1328" t="e">
        <f ca="1">BDP("641455AB Muni","ESG_FRAMEWORK_INDICATOR")</f>
        <v>#NAME?</v>
      </c>
      <c r="Q1328" t="e">
        <f ca="1">BDP("641455AB Muni","BLOOMBERG_SECTOR_CODE")</f>
        <v>#NAME?</v>
      </c>
      <c r="R1328" t="e">
        <f ca="1">BDP("641455AB Muni","ISSUER_TYPE")</f>
        <v>#NAME?</v>
      </c>
      <c r="S1328" t="e">
        <f ca="1">BDS("641455AB Muni","ESG_PROJECT_CATEGORY", "aggregate=y")</f>
        <v>#NAME?</v>
      </c>
      <c r="T1328" t="e">
        <f ca="1">BDS("641455AB Muni","ESG_PROJECT_SUBCATEGORY", "aggregate=y")</f>
        <v>#NAME?</v>
      </c>
    </row>
    <row r="1329" spans="1:20" x14ac:dyDescent="0.25">
      <c r="A1329" t="e">
        <f ca="1">BDP("25457VBV Muni","ID_CUSIP")</f>
        <v>#NAME?</v>
      </c>
      <c r="B1329" t="e">
        <f ca="1">BDP("25457VBV Muni","STATE_CODE")</f>
        <v>#NAME?</v>
      </c>
      <c r="C1329" t="s">
        <v>85</v>
      </c>
      <c r="D1329" t="e">
        <f ca="1">BDP("25457VBV Muni","YIELD_ON_ISSUE_DATE")</f>
        <v>#NAME?</v>
      </c>
      <c r="E1329">
        <v>342111000</v>
      </c>
      <c r="F1329" t="e">
        <f ca="1">BDP("25457VBV Muni","ISSUE_DT")</f>
        <v>#NAME?</v>
      </c>
      <c r="G1329" t="e">
        <f ca="1">BDP("25457VBV Muni","MATURITY")</f>
        <v>#NAME?</v>
      </c>
      <c r="H1329" t="e">
        <f ca="1">BDP("25457VBV Muni","MUNI_TAX_PROV")</f>
        <v>#NAME?</v>
      </c>
      <c r="I1329" t="e">
        <f ca="1">BDP("25457VBV Muni","FINANCING_TYPE")</f>
        <v>#NAME?</v>
      </c>
      <c r="J1329" t="e">
        <f ca="1">BDP("25457VBV Muni","BICS_LEVEL_2_INDUSTRY_GROUP_NAME")</f>
        <v>#NAME?</v>
      </c>
      <c r="K1329" t="e">
        <f ca="1">BDP("25457VBV Muni","SELF_REPRTD_GREEN_INSTR_INDCTR")</f>
        <v>#NAME?</v>
      </c>
      <c r="L1329" t="e">
        <f ca="1">BDP("25457VBV Muni","GB_MANAGEMENT_PROCEEDS")</f>
        <v>#NAME?</v>
      </c>
      <c r="M1329" t="e">
        <f ca="1">BDP("25457VBV Muni","GB_REPORTING")</f>
        <v>#NAME?</v>
      </c>
      <c r="N1329" t="e">
        <f ca="1">BDP("25457VBV Muni","GB_ASSURANCE_PROVIDERS")</f>
        <v>#NAME?</v>
      </c>
      <c r="O1329" t="e">
        <f ca="1">BDP("25457VBV Muni","GB_PROJECT_SELECTION_PROCESS")</f>
        <v>#NAME?</v>
      </c>
      <c r="P1329" t="e">
        <f ca="1">BDP("25457VBV Muni","ESG_FRAMEWORK_INDICATOR")</f>
        <v>#NAME?</v>
      </c>
      <c r="Q1329" t="e">
        <f ca="1">BDP("25457VBV Muni","BLOOMBERG_SECTOR_CODE")</f>
        <v>#NAME?</v>
      </c>
      <c r="R1329" t="e">
        <f ca="1">BDP("25457VBV Muni","ISSUER_TYPE")</f>
        <v>#NAME?</v>
      </c>
      <c r="S1329" t="e">
        <f ca="1">BDS("25457VBV Muni","ESG_PROJECT_CATEGORY", "aggregate=y")</f>
        <v>#NAME?</v>
      </c>
      <c r="T1329" t="e">
        <f ca="1">BDS("25457VBV Muni","ESG_PROJECT_SUBCATEGORY", "aggregate=y")</f>
        <v>#NAME?</v>
      </c>
    </row>
    <row r="1330" spans="1:20" x14ac:dyDescent="0.25">
      <c r="A1330" t="e">
        <f ca="1">BDP("88035M8A Muni","ID_CUSIP")</f>
        <v>#NAME?</v>
      </c>
      <c r="B1330" t="e">
        <f ca="1">BDP("88035M8A Muni","STATE_CODE")</f>
        <v>#NAME?</v>
      </c>
      <c r="C1330" t="s">
        <v>25</v>
      </c>
      <c r="D1330" t="e">
        <f ca="1">BDP("88035M8A Muni","YIELD_ON_ISSUE_DATE")</f>
        <v>#NAME?</v>
      </c>
      <c r="E1330">
        <v>10060000</v>
      </c>
      <c r="F1330" t="e">
        <f ca="1">BDP("88035M8A Muni","ISSUE_DT")</f>
        <v>#NAME?</v>
      </c>
      <c r="G1330" t="e">
        <f ca="1">BDP("88035M8A Muni","MATURITY")</f>
        <v>#NAME?</v>
      </c>
      <c r="H1330" t="e">
        <f ca="1">BDP("88035M8A Muni","MUNI_TAX_PROV")</f>
        <v>#NAME?</v>
      </c>
      <c r="I1330" t="e">
        <f ca="1">BDP("88035M8A Muni","FINANCING_TYPE")</f>
        <v>#NAME?</v>
      </c>
      <c r="J1330" t="e">
        <f ca="1">BDP("88035M8A Muni","BICS_LEVEL_2_INDUSTRY_GROUP_NAME")</f>
        <v>#NAME?</v>
      </c>
      <c r="K1330" t="e">
        <f ca="1">BDP("88035M8A Muni","SELF_REPRTD_GREEN_INSTR_INDCTR")</f>
        <v>#NAME?</v>
      </c>
      <c r="L1330" t="e">
        <f ca="1">BDP("88035M8A Muni","GB_MANAGEMENT_PROCEEDS")</f>
        <v>#NAME?</v>
      </c>
      <c r="M1330" t="e">
        <f ca="1">BDP("88035M8A Muni","GB_REPORTING")</f>
        <v>#NAME?</v>
      </c>
      <c r="N1330" t="e">
        <f ca="1">BDP("88035M8A Muni","GB_ASSURANCE_PROVIDERS")</f>
        <v>#NAME?</v>
      </c>
      <c r="O1330" t="e">
        <f ca="1">BDP("88035M8A Muni","GB_PROJECT_SELECTION_PROCESS")</f>
        <v>#NAME?</v>
      </c>
      <c r="P1330" t="e">
        <f ca="1">BDP("88035M8A Muni","ESG_FRAMEWORK_INDICATOR")</f>
        <v>#NAME?</v>
      </c>
      <c r="Q1330" t="e">
        <f ca="1">BDP("88035M8A Muni","BLOOMBERG_SECTOR_CODE")</f>
        <v>#NAME?</v>
      </c>
      <c r="R1330" t="e">
        <f ca="1">BDP("88035M8A Muni","ISSUER_TYPE")</f>
        <v>#NAME?</v>
      </c>
      <c r="S1330" t="e">
        <f ca="1">BDS("88035M8A Muni","ESG_PROJECT_CATEGORY", "aggregate=y")</f>
        <v>#NAME?</v>
      </c>
      <c r="T1330" t="e">
        <f ca="1">BDS("88035M8A Muni","ESG_PROJECT_SUBCATEGORY", "aggregate=y")</f>
        <v>#NAME?</v>
      </c>
    </row>
    <row r="1331" spans="1:20" x14ac:dyDescent="0.25">
      <c r="A1331" t="e">
        <f ca="1">BDP("88035M8B Muni","ID_CUSIP")</f>
        <v>#NAME?</v>
      </c>
      <c r="B1331" t="e">
        <f ca="1">BDP("88035M8B Muni","STATE_CODE")</f>
        <v>#NAME?</v>
      </c>
      <c r="C1331" t="s">
        <v>25</v>
      </c>
      <c r="D1331" t="e">
        <f ca="1">BDP("88035M8B Muni","YIELD_ON_ISSUE_DATE")</f>
        <v>#NAME?</v>
      </c>
      <c r="E1331">
        <v>7765000</v>
      </c>
      <c r="F1331" t="e">
        <f ca="1">BDP("88035M8B Muni","ISSUE_DT")</f>
        <v>#NAME?</v>
      </c>
      <c r="G1331" t="e">
        <f ca="1">BDP("88035M8B Muni","MATURITY")</f>
        <v>#NAME?</v>
      </c>
      <c r="H1331" t="e">
        <f ca="1">BDP("88035M8B Muni","MUNI_TAX_PROV")</f>
        <v>#NAME?</v>
      </c>
      <c r="I1331" t="e">
        <f ca="1">BDP("88035M8B Muni","FINANCING_TYPE")</f>
        <v>#NAME?</v>
      </c>
      <c r="J1331" t="e">
        <f ca="1">BDP("88035M8B Muni","BICS_LEVEL_2_INDUSTRY_GROUP_NAME")</f>
        <v>#NAME?</v>
      </c>
      <c r="K1331" t="e">
        <f ca="1">BDP("88035M8B Muni","SELF_REPRTD_GREEN_INSTR_INDCTR")</f>
        <v>#NAME?</v>
      </c>
      <c r="L1331" t="e">
        <f ca="1">BDP("88035M8B Muni","GB_MANAGEMENT_PROCEEDS")</f>
        <v>#NAME?</v>
      </c>
      <c r="M1331" t="e">
        <f ca="1">BDP("88035M8B Muni","GB_REPORTING")</f>
        <v>#NAME?</v>
      </c>
      <c r="N1331" t="e">
        <f ca="1">BDP("88035M8B Muni","GB_ASSURANCE_PROVIDERS")</f>
        <v>#NAME?</v>
      </c>
      <c r="O1331" t="e">
        <f ca="1">BDP("88035M8B Muni","GB_PROJECT_SELECTION_PROCESS")</f>
        <v>#NAME?</v>
      </c>
      <c r="P1331" t="e">
        <f ca="1">BDP("88035M8B Muni","ESG_FRAMEWORK_INDICATOR")</f>
        <v>#NAME?</v>
      </c>
      <c r="Q1331" t="e">
        <f ca="1">BDP("88035M8B Muni","BLOOMBERG_SECTOR_CODE")</f>
        <v>#NAME?</v>
      </c>
      <c r="R1331" t="e">
        <f ca="1">BDP("88035M8B Muni","ISSUER_TYPE")</f>
        <v>#NAME?</v>
      </c>
      <c r="S1331" t="e">
        <f ca="1">BDS("88035M8B Muni","ESG_PROJECT_CATEGORY", "aggregate=y")</f>
        <v>#NAME?</v>
      </c>
      <c r="T1331" t="e">
        <f ca="1">BDS("88035M8B Muni","ESG_PROJECT_SUBCATEGORY", "aggregate=y")</f>
        <v>#NAME?</v>
      </c>
    </row>
    <row r="1332" spans="1:20" x14ac:dyDescent="0.25">
      <c r="A1332" t="e">
        <f ca="1">BDP("88035ME5 Muni","ID_CUSIP")</f>
        <v>#NAME?</v>
      </c>
      <c r="B1332" t="e">
        <f ca="1">BDP("88035ME5 Muni","STATE_CODE")</f>
        <v>#NAME?</v>
      </c>
      <c r="C1332" t="s">
        <v>25</v>
      </c>
      <c r="D1332" t="e">
        <f ca="1">BDP("88035ME5 Muni","YIELD_ON_ISSUE_DATE")</f>
        <v>#NAME?</v>
      </c>
      <c r="E1332">
        <v>7545000</v>
      </c>
      <c r="F1332" t="e">
        <f ca="1">BDP("88035ME5 Muni","ISSUE_DT")</f>
        <v>#NAME?</v>
      </c>
      <c r="G1332" t="e">
        <f ca="1">BDP("88035ME5 Muni","MATURITY")</f>
        <v>#NAME?</v>
      </c>
      <c r="H1332" t="e">
        <f ca="1">BDP("88035ME5 Muni","MUNI_TAX_PROV")</f>
        <v>#NAME?</v>
      </c>
      <c r="I1332" t="e">
        <f ca="1">BDP("88035ME5 Muni","FINANCING_TYPE")</f>
        <v>#NAME?</v>
      </c>
      <c r="J1332" t="e">
        <f ca="1">BDP("88035ME5 Muni","BICS_LEVEL_2_INDUSTRY_GROUP_NAME")</f>
        <v>#NAME?</v>
      </c>
      <c r="K1332" t="e">
        <f ca="1">BDP("88035ME5 Muni","SELF_REPRTD_GREEN_INSTR_INDCTR")</f>
        <v>#NAME?</v>
      </c>
      <c r="L1332" t="e">
        <f ca="1">BDP("88035ME5 Muni","GB_MANAGEMENT_PROCEEDS")</f>
        <v>#NAME?</v>
      </c>
      <c r="M1332" t="e">
        <f ca="1">BDP("88035ME5 Muni","GB_REPORTING")</f>
        <v>#NAME?</v>
      </c>
      <c r="N1332" t="e">
        <f ca="1">BDP("88035ME5 Muni","GB_ASSURANCE_PROVIDERS")</f>
        <v>#NAME?</v>
      </c>
      <c r="O1332" t="e">
        <f ca="1">BDP("88035ME5 Muni","GB_PROJECT_SELECTION_PROCESS")</f>
        <v>#NAME?</v>
      </c>
      <c r="P1332" t="e">
        <f ca="1">BDP("88035ME5 Muni","ESG_FRAMEWORK_INDICATOR")</f>
        <v>#NAME?</v>
      </c>
      <c r="Q1332" t="e">
        <f ca="1">BDP("88035ME5 Muni","BLOOMBERG_SECTOR_CODE")</f>
        <v>#NAME?</v>
      </c>
      <c r="R1332" t="e">
        <f ca="1">BDP("88035ME5 Muni","ISSUER_TYPE")</f>
        <v>#NAME?</v>
      </c>
      <c r="S1332" t="e">
        <f ca="1">BDS("88035ME5 Muni","ESG_PROJECT_CATEGORY", "aggregate=y")</f>
        <v>#NAME?</v>
      </c>
      <c r="T1332" t="e">
        <f ca="1">BDS("88035ME5 Muni","ESG_PROJECT_SUBCATEGORY", "aggregate=y")</f>
        <v>#NAME?</v>
      </c>
    </row>
    <row r="1333" spans="1:20" x14ac:dyDescent="0.25">
      <c r="A1333" t="e">
        <f ca="1">BDP("88035ME6 Muni","ID_CUSIP")</f>
        <v>#NAME?</v>
      </c>
      <c r="B1333" t="e">
        <f ca="1">BDP("88035ME6 Muni","STATE_CODE")</f>
        <v>#NAME?</v>
      </c>
      <c r="C1333" t="s">
        <v>25</v>
      </c>
      <c r="D1333" t="e">
        <f ca="1">BDP("88035ME6 Muni","YIELD_ON_ISSUE_DATE")</f>
        <v>#NAME?</v>
      </c>
      <c r="E1333">
        <v>2515000</v>
      </c>
      <c r="F1333" t="e">
        <f ca="1">BDP("88035ME6 Muni","ISSUE_DT")</f>
        <v>#NAME?</v>
      </c>
      <c r="G1333" t="e">
        <f ca="1">BDP("88035ME6 Muni","MATURITY")</f>
        <v>#NAME?</v>
      </c>
      <c r="H1333" t="e">
        <f ca="1">BDP("88035ME6 Muni","MUNI_TAX_PROV")</f>
        <v>#NAME?</v>
      </c>
      <c r="I1333" t="e">
        <f ca="1">BDP("88035ME6 Muni","FINANCING_TYPE")</f>
        <v>#NAME?</v>
      </c>
      <c r="J1333" t="e">
        <f ca="1">BDP("88035ME6 Muni","BICS_LEVEL_2_INDUSTRY_GROUP_NAME")</f>
        <v>#NAME?</v>
      </c>
      <c r="K1333" t="e">
        <f ca="1">BDP("88035ME6 Muni","SELF_REPRTD_GREEN_INSTR_INDCTR")</f>
        <v>#NAME?</v>
      </c>
      <c r="L1333" t="e">
        <f ca="1">BDP("88035ME6 Muni","GB_MANAGEMENT_PROCEEDS")</f>
        <v>#NAME?</v>
      </c>
      <c r="M1333" t="e">
        <f ca="1">BDP("88035ME6 Muni","GB_REPORTING")</f>
        <v>#NAME?</v>
      </c>
      <c r="N1333" t="e">
        <f ca="1">BDP("88035ME6 Muni","GB_ASSURANCE_PROVIDERS")</f>
        <v>#NAME?</v>
      </c>
      <c r="O1333" t="e">
        <f ca="1">BDP("88035ME6 Muni","GB_PROJECT_SELECTION_PROCESS")</f>
        <v>#NAME?</v>
      </c>
      <c r="P1333" t="e">
        <f ca="1">BDP("88035ME6 Muni","ESG_FRAMEWORK_INDICATOR")</f>
        <v>#NAME?</v>
      </c>
      <c r="Q1333" t="e">
        <f ca="1">BDP("88035ME6 Muni","BLOOMBERG_SECTOR_CODE")</f>
        <v>#NAME?</v>
      </c>
      <c r="R1333" t="e">
        <f ca="1">BDP("88035ME6 Muni","ISSUER_TYPE")</f>
        <v>#NAME?</v>
      </c>
      <c r="S1333" t="e">
        <f ca="1">BDS("88035ME6 Muni","ESG_PROJECT_CATEGORY", "aggregate=y")</f>
        <v>#NAME?</v>
      </c>
      <c r="T1333" t="e">
        <f ca="1">BDS("88035ME6 Muni","ESG_PROJECT_SUBCATEGORY", "aggregate=y")</f>
        <v>#NAME?</v>
      </c>
    </row>
    <row r="1334" spans="1:20" x14ac:dyDescent="0.25">
      <c r="A1334" t="e">
        <f ca="1">BDP("88035MF9 Muni","ID_CUSIP")</f>
        <v>#NAME?</v>
      </c>
      <c r="B1334" t="e">
        <f ca="1">BDP("88035MF9 Muni","STATE_CODE")</f>
        <v>#NAME?</v>
      </c>
      <c r="C1334" t="s">
        <v>25</v>
      </c>
      <c r="D1334" t="e">
        <f ca="1">BDP("88035MF9 Muni","YIELD_ON_ISSUE_DATE")</f>
        <v>#NAME?</v>
      </c>
      <c r="E1334">
        <v>4900000</v>
      </c>
      <c r="F1334" t="e">
        <f ca="1">BDP("88035MF9 Muni","ISSUE_DT")</f>
        <v>#NAME?</v>
      </c>
      <c r="G1334" t="e">
        <f ca="1">BDP("88035MF9 Muni","MATURITY")</f>
        <v>#NAME?</v>
      </c>
      <c r="H1334" t="e">
        <f ca="1">BDP("88035MF9 Muni","MUNI_TAX_PROV")</f>
        <v>#NAME?</v>
      </c>
      <c r="I1334" t="e">
        <f ca="1">BDP("88035MF9 Muni","FINANCING_TYPE")</f>
        <v>#NAME?</v>
      </c>
      <c r="J1334" t="e">
        <f ca="1">BDP("88035MF9 Muni","BICS_LEVEL_2_INDUSTRY_GROUP_NAME")</f>
        <v>#NAME?</v>
      </c>
      <c r="K1334" t="e">
        <f ca="1">BDP("88035MF9 Muni","SELF_REPRTD_GREEN_INSTR_INDCTR")</f>
        <v>#NAME?</v>
      </c>
      <c r="L1334" t="e">
        <f ca="1">BDP("88035MF9 Muni","GB_MANAGEMENT_PROCEEDS")</f>
        <v>#NAME?</v>
      </c>
      <c r="M1334" t="e">
        <f ca="1">BDP("88035MF9 Muni","GB_REPORTING")</f>
        <v>#NAME?</v>
      </c>
      <c r="N1334" t="e">
        <f ca="1">BDP("88035MF9 Muni","GB_ASSURANCE_PROVIDERS")</f>
        <v>#NAME?</v>
      </c>
      <c r="O1334" t="e">
        <f ca="1">BDP("88035MF9 Muni","GB_PROJECT_SELECTION_PROCESS")</f>
        <v>#NAME?</v>
      </c>
      <c r="P1334" t="e">
        <f ca="1">BDP("88035MF9 Muni","ESG_FRAMEWORK_INDICATOR")</f>
        <v>#NAME?</v>
      </c>
      <c r="Q1334" t="e">
        <f ca="1">BDP("88035MF9 Muni","BLOOMBERG_SECTOR_CODE")</f>
        <v>#NAME?</v>
      </c>
      <c r="R1334" t="e">
        <f ca="1">BDP("88035MF9 Muni","ISSUER_TYPE")</f>
        <v>#NAME?</v>
      </c>
      <c r="S1334" t="e">
        <f ca="1">BDS("88035MF9 Muni","ESG_PROJECT_CATEGORY", "aggregate=y")</f>
        <v>#NAME?</v>
      </c>
      <c r="T1334" t="e">
        <f ca="1">BDS("88035MF9 Muni","ESG_PROJECT_SUBCATEGORY", "aggregate=y")</f>
        <v>#NAME?</v>
      </c>
    </row>
    <row r="1335" spans="1:20" x14ac:dyDescent="0.25">
      <c r="A1335" t="e">
        <f ca="1">BDP("88035MG2 Muni","ID_CUSIP")</f>
        <v>#NAME?</v>
      </c>
      <c r="B1335" t="e">
        <f ca="1">BDP("88035MG2 Muni","STATE_CODE")</f>
        <v>#NAME?</v>
      </c>
      <c r="C1335" t="s">
        <v>25</v>
      </c>
      <c r="D1335" t="e">
        <f ca="1">BDP("88035MG2 Muni","YIELD_ON_ISSUE_DATE")</f>
        <v>#NAME?</v>
      </c>
      <c r="E1335">
        <v>23205000</v>
      </c>
      <c r="F1335" t="e">
        <f ca="1">BDP("88035MG2 Muni","ISSUE_DT")</f>
        <v>#NAME?</v>
      </c>
      <c r="G1335" t="e">
        <f ca="1">BDP("88035MG2 Muni","MATURITY")</f>
        <v>#NAME?</v>
      </c>
      <c r="H1335" t="e">
        <f ca="1">BDP("88035MG2 Muni","MUNI_TAX_PROV")</f>
        <v>#NAME?</v>
      </c>
      <c r="I1335" t="e">
        <f ca="1">BDP("88035MG2 Muni","FINANCING_TYPE")</f>
        <v>#NAME?</v>
      </c>
      <c r="J1335" t="e">
        <f ca="1">BDP("88035MG2 Muni","BICS_LEVEL_2_INDUSTRY_GROUP_NAME")</f>
        <v>#NAME?</v>
      </c>
      <c r="K1335" t="e">
        <f ca="1">BDP("88035MG2 Muni","SELF_REPRTD_GREEN_INSTR_INDCTR")</f>
        <v>#NAME?</v>
      </c>
      <c r="L1335" t="e">
        <f ca="1">BDP("88035MG2 Muni","GB_MANAGEMENT_PROCEEDS")</f>
        <v>#NAME?</v>
      </c>
      <c r="M1335" t="e">
        <f ca="1">BDP("88035MG2 Muni","GB_REPORTING")</f>
        <v>#NAME?</v>
      </c>
      <c r="N1335" t="e">
        <f ca="1">BDP("88035MG2 Muni","GB_ASSURANCE_PROVIDERS")</f>
        <v>#NAME?</v>
      </c>
      <c r="O1335" t="e">
        <f ca="1">BDP("88035MG2 Muni","GB_PROJECT_SELECTION_PROCESS")</f>
        <v>#NAME?</v>
      </c>
      <c r="P1335" t="e">
        <f ca="1">BDP("88035MG2 Muni","ESG_FRAMEWORK_INDICATOR")</f>
        <v>#NAME?</v>
      </c>
      <c r="Q1335" t="e">
        <f ca="1">BDP("88035MG2 Muni","BLOOMBERG_SECTOR_CODE")</f>
        <v>#NAME?</v>
      </c>
      <c r="R1335" t="e">
        <f ca="1">BDP("88035MG2 Muni","ISSUER_TYPE")</f>
        <v>#NAME?</v>
      </c>
      <c r="S1335" t="e">
        <f ca="1">BDS("88035MG2 Muni","ESG_PROJECT_CATEGORY", "aggregate=y")</f>
        <v>#NAME?</v>
      </c>
      <c r="T1335" t="e">
        <f ca="1">BDS("88035MG2 Muni","ESG_PROJECT_SUBCATEGORY", "aggregate=y")</f>
        <v>#NAME?</v>
      </c>
    </row>
    <row r="1336" spans="1:20" x14ac:dyDescent="0.25">
      <c r="A1336" t="e">
        <f ca="1">BDP("88035MG6 Muni","ID_CUSIP")</f>
        <v>#NAME?</v>
      </c>
      <c r="B1336" t="e">
        <f ca="1">BDP("88035MG6 Muni","STATE_CODE")</f>
        <v>#NAME?</v>
      </c>
      <c r="C1336" t="s">
        <v>25</v>
      </c>
      <c r="D1336" t="e">
        <f ca="1">BDP("88035MG6 Muni","YIELD_ON_ISSUE_DATE")</f>
        <v>#NAME?</v>
      </c>
      <c r="E1336">
        <v>400000</v>
      </c>
      <c r="F1336" t="e">
        <f ca="1">BDP("88035MG6 Muni","ISSUE_DT")</f>
        <v>#NAME?</v>
      </c>
      <c r="G1336" t="e">
        <f ca="1">BDP("88035MG6 Muni","MATURITY")</f>
        <v>#NAME?</v>
      </c>
      <c r="H1336" t="e">
        <f ca="1">BDP("88035MG6 Muni","MUNI_TAX_PROV")</f>
        <v>#NAME?</v>
      </c>
      <c r="I1336" t="e">
        <f ca="1">BDP("88035MG6 Muni","FINANCING_TYPE")</f>
        <v>#NAME?</v>
      </c>
      <c r="J1336" t="e">
        <f ca="1">BDP("88035MG6 Muni","BICS_LEVEL_2_INDUSTRY_GROUP_NAME")</f>
        <v>#NAME?</v>
      </c>
      <c r="K1336" t="e">
        <f ca="1">BDP("88035MG6 Muni","SELF_REPRTD_GREEN_INSTR_INDCTR")</f>
        <v>#NAME?</v>
      </c>
      <c r="L1336" t="e">
        <f ca="1">BDP("88035MG6 Muni","GB_MANAGEMENT_PROCEEDS")</f>
        <v>#NAME?</v>
      </c>
      <c r="M1336" t="e">
        <f ca="1">BDP("88035MG6 Muni","GB_REPORTING")</f>
        <v>#NAME?</v>
      </c>
      <c r="N1336" t="e">
        <f ca="1">BDP("88035MG6 Muni","GB_ASSURANCE_PROVIDERS")</f>
        <v>#NAME?</v>
      </c>
      <c r="O1336" t="e">
        <f ca="1">BDP("88035MG6 Muni","GB_PROJECT_SELECTION_PROCESS")</f>
        <v>#NAME?</v>
      </c>
      <c r="P1336" t="e">
        <f ca="1">BDP("88035MG6 Muni","ESG_FRAMEWORK_INDICATOR")</f>
        <v>#NAME?</v>
      </c>
      <c r="Q1336" t="e">
        <f ca="1">BDP("88035MG6 Muni","BLOOMBERG_SECTOR_CODE")</f>
        <v>#NAME?</v>
      </c>
      <c r="R1336" t="e">
        <f ca="1">BDP("88035MG6 Muni","ISSUER_TYPE")</f>
        <v>#NAME?</v>
      </c>
      <c r="S1336" t="e">
        <f ca="1">BDS("88035MG6 Muni","ESG_PROJECT_CATEGORY", "aggregate=y")</f>
        <v>#NAME?</v>
      </c>
      <c r="T1336" t="e">
        <f ca="1">BDS("88035MG6 Muni","ESG_PROJECT_SUBCATEGORY", "aggregate=y")</f>
        <v>#NAME?</v>
      </c>
    </row>
    <row r="1337" spans="1:20" x14ac:dyDescent="0.25">
      <c r="A1337" t="e">
        <f ca="1">BDP("88035MG7 Muni","ID_CUSIP")</f>
        <v>#NAME?</v>
      </c>
      <c r="B1337" t="e">
        <f ca="1">BDP("88035MG7 Muni","STATE_CODE")</f>
        <v>#NAME?</v>
      </c>
      <c r="C1337" t="s">
        <v>25</v>
      </c>
      <c r="D1337" t="e">
        <f ca="1">BDP("88035MG7 Muni","YIELD_ON_ISSUE_DATE")</f>
        <v>#NAME?</v>
      </c>
      <c r="E1337">
        <v>2000000</v>
      </c>
      <c r="F1337" t="e">
        <f ca="1">BDP("88035MG7 Muni","ISSUE_DT")</f>
        <v>#NAME?</v>
      </c>
      <c r="G1337" t="e">
        <f ca="1">BDP("88035MG7 Muni","MATURITY")</f>
        <v>#NAME?</v>
      </c>
      <c r="H1337" t="e">
        <f ca="1">BDP("88035MG7 Muni","MUNI_TAX_PROV")</f>
        <v>#NAME?</v>
      </c>
      <c r="I1337" t="e">
        <f ca="1">BDP("88035MG7 Muni","FINANCING_TYPE")</f>
        <v>#NAME?</v>
      </c>
      <c r="J1337" t="e">
        <f ca="1">BDP("88035MG7 Muni","BICS_LEVEL_2_INDUSTRY_GROUP_NAME")</f>
        <v>#NAME?</v>
      </c>
      <c r="K1337" t="e">
        <f ca="1">BDP("88035MG7 Muni","SELF_REPRTD_GREEN_INSTR_INDCTR")</f>
        <v>#NAME?</v>
      </c>
      <c r="L1337" t="e">
        <f ca="1">BDP("88035MG7 Muni","GB_MANAGEMENT_PROCEEDS")</f>
        <v>#NAME?</v>
      </c>
      <c r="M1337" t="e">
        <f ca="1">BDP("88035MG7 Muni","GB_REPORTING")</f>
        <v>#NAME?</v>
      </c>
      <c r="N1337" t="e">
        <f ca="1">BDP("88035MG7 Muni","GB_ASSURANCE_PROVIDERS")</f>
        <v>#NAME?</v>
      </c>
      <c r="O1337" t="e">
        <f ca="1">BDP("88035MG7 Muni","GB_PROJECT_SELECTION_PROCESS")</f>
        <v>#NAME?</v>
      </c>
      <c r="P1337" t="e">
        <f ca="1">BDP("88035MG7 Muni","ESG_FRAMEWORK_INDICATOR")</f>
        <v>#NAME?</v>
      </c>
      <c r="Q1337" t="e">
        <f ca="1">BDP("88035MG7 Muni","BLOOMBERG_SECTOR_CODE")</f>
        <v>#NAME?</v>
      </c>
      <c r="R1337" t="e">
        <f ca="1">BDP("88035MG7 Muni","ISSUER_TYPE")</f>
        <v>#NAME?</v>
      </c>
      <c r="S1337" t="e">
        <f ca="1">BDS("88035MG7 Muni","ESG_PROJECT_CATEGORY", "aggregate=y")</f>
        <v>#NAME?</v>
      </c>
      <c r="T1337" t="e">
        <f ca="1">BDS("88035MG7 Muni","ESG_PROJECT_SUBCATEGORY", "aggregate=y")</f>
        <v>#NAME?</v>
      </c>
    </row>
    <row r="1338" spans="1:20" x14ac:dyDescent="0.25">
      <c r="A1338" t="e">
        <f ca="1">BDP("88035MGJ Muni","ID_CUSIP")</f>
        <v>#NAME?</v>
      </c>
      <c r="B1338" t="e">
        <f ca="1">BDP("88035MGJ Muni","STATE_CODE")</f>
        <v>#NAME?</v>
      </c>
      <c r="C1338" t="s">
        <v>25</v>
      </c>
      <c r="D1338" t="e">
        <f ca="1">BDP("88035MGJ Muni","YIELD_ON_ISSUE_DATE")</f>
        <v>#NAME?</v>
      </c>
      <c r="E1338">
        <v>140000</v>
      </c>
      <c r="F1338" t="e">
        <f ca="1">BDP("88035MGJ Muni","ISSUE_DT")</f>
        <v>#NAME?</v>
      </c>
      <c r="G1338" t="e">
        <f ca="1">BDP("88035MGJ Muni","MATURITY")</f>
        <v>#NAME?</v>
      </c>
      <c r="H1338" t="e">
        <f ca="1">BDP("88035MGJ Muni","MUNI_TAX_PROV")</f>
        <v>#NAME?</v>
      </c>
      <c r="I1338" t="e">
        <f ca="1">BDP("88035MGJ Muni","FINANCING_TYPE")</f>
        <v>#NAME?</v>
      </c>
      <c r="J1338" t="e">
        <f ca="1">BDP("88035MGJ Muni","BICS_LEVEL_2_INDUSTRY_GROUP_NAME")</f>
        <v>#NAME?</v>
      </c>
      <c r="K1338" t="e">
        <f ca="1">BDP("88035MGJ Muni","SELF_REPRTD_GREEN_INSTR_INDCTR")</f>
        <v>#NAME?</v>
      </c>
      <c r="L1338" t="e">
        <f ca="1">BDP("88035MGJ Muni","GB_MANAGEMENT_PROCEEDS")</f>
        <v>#NAME?</v>
      </c>
      <c r="M1338" t="e">
        <f ca="1">BDP("88035MGJ Muni","GB_REPORTING")</f>
        <v>#NAME?</v>
      </c>
      <c r="N1338" t="e">
        <f ca="1">BDP("88035MGJ Muni","GB_ASSURANCE_PROVIDERS")</f>
        <v>#NAME?</v>
      </c>
      <c r="O1338" t="e">
        <f ca="1">BDP("88035MGJ Muni","GB_PROJECT_SELECTION_PROCESS")</f>
        <v>#NAME?</v>
      </c>
      <c r="P1338" t="e">
        <f ca="1">BDP("88035MGJ Muni","ESG_FRAMEWORK_INDICATOR")</f>
        <v>#NAME?</v>
      </c>
      <c r="Q1338" t="e">
        <f ca="1">BDP("88035MGJ Muni","BLOOMBERG_SECTOR_CODE")</f>
        <v>#NAME?</v>
      </c>
      <c r="R1338" t="e">
        <f ca="1">BDP("88035MGJ Muni","ISSUER_TYPE")</f>
        <v>#NAME?</v>
      </c>
      <c r="S1338" t="e">
        <f ca="1">BDS("88035MGJ Muni","ESG_PROJECT_CATEGORY", "aggregate=y")</f>
        <v>#NAME?</v>
      </c>
      <c r="T1338" t="e">
        <f ca="1">BDS("88035MGJ Muni","ESG_PROJECT_SUBCATEGORY", "aggregate=y")</f>
        <v>#NAME?</v>
      </c>
    </row>
    <row r="1339" spans="1:20" x14ac:dyDescent="0.25">
      <c r="A1339" t="e">
        <f ca="1">BDP("88035MGK Muni","ID_CUSIP")</f>
        <v>#NAME?</v>
      </c>
      <c r="B1339" t="e">
        <f ca="1">BDP("88035MGK Muni","STATE_CODE")</f>
        <v>#NAME?</v>
      </c>
      <c r="C1339" t="s">
        <v>25</v>
      </c>
      <c r="D1339" t="e">
        <f ca="1">BDP("88035MGK Muni","YIELD_ON_ISSUE_DATE")</f>
        <v>#NAME?</v>
      </c>
      <c r="E1339">
        <v>410000</v>
      </c>
      <c r="F1339" t="e">
        <f ca="1">BDP("88035MGK Muni","ISSUE_DT")</f>
        <v>#NAME?</v>
      </c>
      <c r="G1339" t="e">
        <f ca="1">BDP("88035MGK Muni","MATURITY")</f>
        <v>#NAME?</v>
      </c>
      <c r="H1339" t="e">
        <f ca="1">BDP("88035MGK Muni","MUNI_TAX_PROV")</f>
        <v>#NAME?</v>
      </c>
      <c r="I1339" t="e">
        <f ca="1">BDP("88035MGK Muni","FINANCING_TYPE")</f>
        <v>#NAME?</v>
      </c>
      <c r="J1339" t="e">
        <f ca="1">BDP("88035MGK Muni","BICS_LEVEL_2_INDUSTRY_GROUP_NAME")</f>
        <v>#NAME?</v>
      </c>
      <c r="K1339" t="e">
        <f ca="1">BDP("88035MGK Muni","SELF_REPRTD_GREEN_INSTR_INDCTR")</f>
        <v>#NAME?</v>
      </c>
      <c r="L1339" t="e">
        <f ca="1">BDP("88035MGK Muni","GB_MANAGEMENT_PROCEEDS")</f>
        <v>#NAME?</v>
      </c>
      <c r="M1339" t="e">
        <f ca="1">BDP("88035MGK Muni","GB_REPORTING")</f>
        <v>#NAME?</v>
      </c>
      <c r="N1339" t="e">
        <f ca="1">BDP("88035MGK Muni","GB_ASSURANCE_PROVIDERS")</f>
        <v>#NAME?</v>
      </c>
      <c r="O1339" t="e">
        <f ca="1">BDP("88035MGK Muni","GB_PROJECT_SELECTION_PROCESS")</f>
        <v>#NAME?</v>
      </c>
      <c r="P1339" t="e">
        <f ca="1">BDP("88035MGK Muni","ESG_FRAMEWORK_INDICATOR")</f>
        <v>#NAME?</v>
      </c>
      <c r="Q1339" t="e">
        <f ca="1">BDP("88035MGK Muni","BLOOMBERG_SECTOR_CODE")</f>
        <v>#NAME?</v>
      </c>
      <c r="R1339" t="e">
        <f ca="1">BDP("88035MGK Muni","ISSUER_TYPE")</f>
        <v>#NAME?</v>
      </c>
      <c r="S1339" t="e">
        <f ca="1">BDS("88035MGK Muni","ESG_PROJECT_CATEGORY", "aggregate=y")</f>
        <v>#NAME?</v>
      </c>
      <c r="T1339" t="e">
        <f ca="1">BDS("88035MGK Muni","ESG_PROJECT_SUBCATEGORY", "aggregate=y")</f>
        <v>#NAME?</v>
      </c>
    </row>
    <row r="1340" spans="1:20" x14ac:dyDescent="0.25">
      <c r="A1340" t="e">
        <f ca="1">BDP("88035MGL Muni","ID_CUSIP")</f>
        <v>#NAME?</v>
      </c>
      <c r="B1340" t="e">
        <f ca="1">BDP("88035MGL Muni","STATE_CODE")</f>
        <v>#NAME?</v>
      </c>
      <c r="C1340" t="s">
        <v>25</v>
      </c>
      <c r="D1340" t="e">
        <f ca="1">BDP("88035MGL Muni","YIELD_ON_ISSUE_DATE")</f>
        <v>#NAME?</v>
      </c>
      <c r="E1340">
        <v>1250000</v>
      </c>
      <c r="F1340" t="e">
        <f ca="1">BDP("88035MGL Muni","ISSUE_DT")</f>
        <v>#NAME?</v>
      </c>
      <c r="G1340" t="e">
        <f ca="1">BDP("88035MGL Muni","MATURITY")</f>
        <v>#NAME?</v>
      </c>
      <c r="H1340" t="e">
        <f ca="1">BDP("88035MGL Muni","MUNI_TAX_PROV")</f>
        <v>#NAME?</v>
      </c>
      <c r="I1340" t="e">
        <f ca="1">BDP("88035MGL Muni","FINANCING_TYPE")</f>
        <v>#NAME?</v>
      </c>
      <c r="J1340" t="e">
        <f ca="1">BDP("88035MGL Muni","BICS_LEVEL_2_INDUSTRY_GROUP_NAME")</f>
        <v>#NAME?</v>
      </c>
      <c r="K1340" t="e">
        <f ca="1">BDP("88035MGL Muni","SELF_REPRTD_GREEN_INSTR_INDCTR")</f>
        <v>#NAME?</v>
      </c>
      <c r="L1340" t="e">
        <f ca="1">BDP("88035MGL Muni","GB_MANAGEMENT_PROCEEDS")</f>
        <v>#NAME?</v>
      </c>
      <c r="M1340" t="e">
        <f ca="1">BDP("88035MGL Muni","GB_REPORTING")</f>
        <v>#NAME?</v>
      </c>
      <c r="N1340" t="e">
        <f ca="1">BDP("88035MGL Muni","GB_ASSURANCE_PROVIDERS")</f>
        <v>#NAME?</v>
      </c>
      <c r="O1340" t="e">
        <f ca="1">BDP("88035MGL Muni","GB_PROJECT_SELECTION_PROCESS")</f>
        <v>#NAME?</v>
      </c>
      <c r="P1340" t="e">
        <f ca="1">BDP("88035MGL Muni","ESG_FRAMEWORK_INDICATOR")</f>
        <v>#NAME?</v>
      </c>
      <c r="Q1340" t="e">
        <f ca="1">BDP("88035MGL Muni","BLOOMBERG_SECTOR_CODE")</f>
        <v>#NAME?</v>
      </c>
      <c r="R1340" t="e">
        <f ca="1">BDP("88035MGL Muni","ISSUER_TYPE")</f>
        <v>#NAME?</v>
      </c>
      <c r="S1340" t="e">
        <f ca="1">BDS("88035MGL Muni","ESG_PROJECT_CATEGORY", "aggregate=y")</f>
        <v>#NAME?</v>
      </c>
      <c r="T1340" t="e">
        <f ca="1">BDS("88035MGL Muni","ESG_PROJECT_SUBCATEGORY", "aggregate=y")</f>
        <v>#NAME?</v>
      </c>
    </row>
    <row r="1341" spans="1:20" x14ac:dyDescent="0.25">
      <c r="A1341" t="e">
        <f ca="1">BDP("88035MGM Muni","ID_CUSIP")</f>
        <v>#NAME?</v>
      </c>
      <c r="B1341" t="e">
        <f ca="1">BDP("88035MGM Muni","STATE_CODE")</f>
        <v>#NAME?</v>
      </c>
      <c r="C1341" t="s">
        <v>25</v>
      </c>
      <c r="D1341" t="e">
        <f ca="1">BDP("88035MGM Muni","YIELD_ON_ISSUE_DATE")</f>
        <v>#NAME?</v>
      </c>
      <c r="E1341">
        <v>3750000</v>
      </c>
      <c r="F1341" t="e">
        <f ca="1">BDP("88035MGM Muni","ISSUE_DT")</f>
        <v>#NAME?</v>
      </c>
      <c r="G1341" t="e">
        <f ca="1">BDP("88035MGM Muni","MATURITY")</f>
        <v>#NAME?</v>
      </c>
      <c r="H1341" t="e">
        <f ca="1">BDP("88035MGM Muni","MUNI_TAX_PROV")</f>
        <v>#NAME?</v>
      </c>
      <c r="I1341" t="e">
        <f ca="1">BDP("88035MGM Muni","FINANCING_TYPE")</f>
        <v>#NAME?</v>
      </c>
      <c r="J1341" t="e">
        <f ca="1">BDP("88035MGM Muni","BICS_LEVEL_2_INDUSTRY_GROUP_NAME")</f>
        <v>#NAME?</v>
      </c>
      <c r="K1341" t="e">
        <f ca="1">BDP("88035MGM Muni","SELF_REPRTD_GREEN_INSTR_INDCTR")</f>
        <v>#NAME?</v>
      </c>
      <c r="L1341" t="e">
        <f ca="1">BDP("88035MGM Muni","GB_MANAGEMENT_PROCEEDS")</f>
        <v>#NAME?</v>
      </c>
      <c r="M1341" t="e">
        <f ca="1">BDP("88035MGM Muni","GB_REPORTING")</f>
        <v>#NAME?</v>
      </c>
      <c r="N1341" t="e">
        <f ca="1">BDP("88035MGM Muni","GB_ASSURANCE_PROVIDERS")</f>
        <v>#NAME?</v>
      </c>
      <c r="O1341" t="e">
        <f ca="1">BDP("88035MGM Muni","GB_PROJECT_SELECTION_PROCESS")</f>
        <v>#NAME?</v>
      </c>
      <c r="P1341" t="e">
        <f ca="1">BDP("88035MGM Muni","ESG_FRAMEWORK_INDICATOR")</f>
        <v>#NAME?</v>
      </c>
      <c r="Q1341" t="e">
        <f ca="1">BDP("88035MGM Muni","BLOOMBERG_SECTOR_CODE")</f>
        <v>#NAME?</v>
      </c>
      <c r="R1341" t="e">
        <f ca="1">BDP("88035MGM Muni","ISSUER_TYPE")</f>
        <v>#NAME?</v>
      </c>
      <c r="S1341" t="e">
        <f ca="1">BDS("88035MGM Muni","ESG_PROJECT_CATEGORY", "aggregate=y")</f>
        <v>#NAME?</v>
      </c>
      <c r="T1341" t="e">
        <f ca="1">BDS("88035MGM Muni","ESG_PROJECT_SUBCATEGORY", "aggregate=y")</f>
        <v>#NAME?</v>
      </c>
    </row>
    <row r="1342" spans="1:20" x14ac:dyDescent="0.25">
      <c r="A1342" t="e">
        <f ca="1">BDP("88035MJ8 Muni","ID_CUSIP")</f>
        <v>#NAME?</v>
      </c>
      <c r="B1342" t="e">
        <f ca="1">BDP("88035MJ8 Muni","STATE_CODE")</f>
        <v>#NAME?</v>
      </c>
      <c r="C1342" t="s">
        <v>25</v>
      </c>
      <c r="D1342" t="e">
        <f ca="1">BDP("88035MJ8 Muni","YIELD_ON_ISSUE_DATE")</f>
        <v>#NAME?</v>
      </c>
      <c r="E1342">
        <v>1300000</v>
      </c>
      <c r="F1342" t="e">
        <f ca="1">BDP("88035MJ8 Muni","ISSUE_DT")</f>
        <v>#NAME?</v>
      </c>
      <c r="G1342" t="e">
        <f ca="1">BDP("88035MJ8 Muni","MATURITY")</f>
        <v>#NAME?</v>
      </c>
      <c r="H1342" t="e">
        <f ca="1">BDP("88035MJ8 Muni","MUNI_TAX_PROV")</f>
        <v>#NAME?</v>
      </c>
      <c r="I1342" t="e">
        <f ca="1">BDP("88035MJ8 Muni","FINANCING_TYPE")</f>
        <v>#NAME?</v>
      </c>
      <c r="J1342" t="e">
        <f ca="1">BDP("88035MJ8 Muni","BICS_LEVEL_2_INDUSTRY_GROUP_NAME")</f>
        <v>#NAME?</v>
      </c>
      <c r="K1342" t="e">
        <f ca="1">BDP("88035MJ8 Muni","SELF_REPRTD_GREEN_INSTR_INDCTR")</f>
        <v>#NAME?</v>
      </c>
      <c r="L1342" t="e">
        <f ca="1">BDP("88035MJ8 Muni","GB_MANAGEMENT_PROCEEDS")</f>
        <v>#NAME?</v>
      </c>
      <c r="M1342" t="e">
        <f ca="1">BDP("88035MJ8 Muni","GB_REPORTING")</f>
        <v>#NAME?</v>
      </c>
      <c r="N1342" t="e">
        <f ca="1">BDP("88035MJ8 Muni","GB_ASSURANCE_PROVIDERS")</f>
        <v>#NAME?</v>
      </c>
      <c r="O1342" t="e">
        <f ca="1">BDP("88035MJ8 Muni","GB_PROJECT_SELECTION_PROCESS")</f>
        <v>#NAME?</v>
      </c>
      <c r="P1342" t="e">
        <f ca="1">BDP("88035MJ8 Muni","ESG_FRAMEWORK_INDICATOR")</f>
        <v>#NAME?</v>
      </c>
      <c r="Q1342" t="e">
        <f ca="1">BDP("88035MJ8 Muni","BLOOMBERG_SECTOR_CODE")</f>
        <v>#NAME?</v>
      </c>
      <c r="R1342" t="e">
        <f ca="1">BDP("88035MJ8 Muni","ISSUER_TYPE")</f>
        <v>#NAME?</v>
      </c>
      <c r="S1342" t="e">
        <f ca="1">BDS("88035MJ8 Muni","ESG_PROJECT_CATEGORY", "aggregate=y")</f>
        <v>#NAME?</v>
      </c>
      <c r="T1342" t="e">
        <f ca="1">BDS("88035MJ8 Muni","ESG_PROJECT_SUBCATEGORY", "aggregate=y")</f>
        <v>#NAME?</v>
      </c>
    </row>
    <row r="1343" spans="1:20" x14ac:dyDescent="0.25">
      <c r="A1343" t="e">
        <f ca="1">BDP("88035MJ9 Muni","ID_CUSIP")</f>
        <v>#NAME?</v>
      </c>
      <c r="B1343" t="e">
        <f ca="1">BDP("88035MJ9 Muni","STATE_CODE")</f>
        <v>#NAME?</v>
      </c>
      <c r="C1343" t="s">
        <v>25</v>
      </c>
      <c r="D1343" t="e">
        <f ca="1">BDP("88035MJ9 Muni","YIELD_ON_ISSUE_DATE")</f>
        <v>#NAME?</v>
      </c>
      <c r="E1343">
        <v>6485000</v>
      </c>
      <c r="F1343" t="e">
        <f ca="1">BDP("88035MJ9 Muni","ISSUE_DT")</f>
        <v>#NAME?</v>
      </c>
      <c r="G1343" t="e">
        <f ca="1">BDP("88035MJ9 Muni","MATURITY")</f>
        <v>#NAME?</v>
      </c>
      <c r="H1343" t="e">
        <f ca="1">BDP("88035MJ9 Muni","MUNI_TAX_PROV")</f>
        <v>#NAME?</v>
      </c>
      <c r="I1343" t="e">
        <f ca="1">BDP("88035MJ9 Muni","FINANCING_TYPE")</f>
        <v>#NAME?</v>
      </c>
      <c r="J1343" t="e">
        <f ca="1">BDP("88035MJ9 Muni","BICS_LEVEL_2_INDUSTRY_GROUP_NAME")</f>
        <v>#NAME?</v>
      </c>
      <c r="K1343" t="e">
        <f ca="1">BDP("88035MJ9 Muni","SELF_REPRTD_GREEN_INSTR_INDCTR")</f>
        <v>#NAME?</v>
      </c>
      <c r="L1343" t="e">
        <f ca="1">BDP("88035MJ9 Muni","GB_MANAGEMENT_PROCEEDS")</f>
        <v>#NAME?</v>
      </c>
      <c r="M1343" t="e">
        <f ca="1">BDP("88035MJ9 Muni","GB_REPORTING")</f>
        <v>#NAME?</v>
      </c>
      <c r="N1343" t="e">
        <f ca="1">BDP("88035MJ9 Muni","GB_ASSURANCE_PROVIDERS")</f>
        <v>#NAME?</v>
      </c>
      <c r="O1343" t="e">
        <f ca="1">BDP("88035MJ9 Muni","GB_PROJECT_SELECTION_PROCESS")</f>
        <v>#NAME?</v>
      </c>
      <c r="P1343" t="e">
        <f ca="1">BDP("88035MJ9 Muni","ESG_FRAMEWORK_INDICATOR")</f>
        <v>#NAME?</v>
      </c>
      <c r="Q1343" t="e">
        <f ca="1">BDP("88035MJ9 Muni","BLOOMBERG_SECTOR_CODE")</f>
        <v>#NAME?</v>
      </c>
      <c r="R1343" t="e">
        <f ca="1">BDP("88035MJ9 Muni","ISSUER_TYPE")</f>
        <v>#NAME?</v>
      </c>
      <c r="S1343" t="e">
        <f ca="1">BDS("88035MJ9 Muni","ESG_PROJECT_CATEGORY", "aggregate=y")</f>
        <v>#NAME?</v>
      </c>
      <c r="T1343" t="e">
        <f ca="1">BDS("88035MJ9 Muni","ESG_PROJECT_SUBCATEGORY", "aggregate=y")</f>
        <v>#NAME?</v>
      </c>
    </row>
    <row r="1344" spans="1:20" x14ac:dyDescent="0.25">
      <c r="A1344" t="e">
        <f ca="1">BDP("88035ML4 Muni","ID_CUSIP")</f>
        <v>#NAME?</v>
      </c>
      <c r="B1344" t="e">
        <f ca="1">BDP("88035ML4 Muni","STATE_CODE")</f>
        <v>#NAME?</v>
      </c>
      <c r="C1344" t="s">
        <v>25</v>
      </c>
      <c r="D1344" t="e">
        <f ca="1">BDP("88035ML4 Muni","YIELD_ON_ISSUE_DATE")</f>
        <v>#NAME?</v>
      </c>
      <c r="E1344">
        <v>12000000</v>
      </c>
      <c r="F1344" t="e">
        <f ca="1">BDP("88035ML4 Muni","ISSUE_DT")</f>
        <v>#NAME?</v>
      </c>
      <c r="G1344" t="e">
        <f ca="1">BDP("88035ML4 Muni","MATURITY")</f>
        <v>#NAME?</v>
      </c>
      <c r="H1344" t="e">
        <f ca="1">BDP("88035ML4 Muni","MUNI_TAX_PROV")</f>
        <v>#NAME?</v>
      </c>
      <c r="I1344" t="e">
        <f ca="1">BDP("88035ML4 Muni","FINANCING_TYPE")</f>
        <v>#NAME?</v>
      </c>
      <c r="J1344" t="e">
        <f ca="1">BDP("88035ML4 Muni","BICS_LEVEL_2_INDUSTRY_GROUP_NAME")</f>
        <v>#NAME?</v>
      </c>
      <c r="K1344" t="e">
        <f ca="1">BDP("88035ML4 Muni","SELF_REPRTD_GREEN_INSTR_INDCTR")</f>
        <v>#NAME?</v>
      </c>
      <c r="L1344" t="e">
        <f ca="1">BDP("88035ML4 Muni","GB_MANAGEMENT_PROCEEDS")</f>
        <v>#NAME?</v>
      </c>
      <c r="M1344" t="e">
        <f ca="1">BDP("88035ML4 Muni","GB_REPORTING")</f>
        <v>#NAME?</v>
      </c>
      <c r="N1344" t="e">
        <f ca="1">BDP("88035ML4 Muni","GB_ASSURANCE_PROVIDERS")</f>
        <v>#NAME?</v>
      </c>
      <c r="O1344" t="e">
        <f ca="1">BDP("88035ML4 Muni","GB_PROJECT_SELECTION_PROCESS")</f>
        <v>#NAME?</v>
      </c>
      <c r="P1344" t="e">
        <f ca="1">BDP("88035ML4 Muni","ESG_FRAMEWORK_INDICATOR")</f>
        <v>#NAME?</v>
      </c>
      <c r="Q1344" t="e">
        <f ca="1">BDP("88035ML4 Muni","BLOOMBERG_SECTOR_CODE")</f>
        <v>#NAME?</v>
      </c>
      <c r="R1344" t="e">
        <f ca="1">BDP("88035ML4 Muni","ISSUER_TYPE")</f>
        <v>#NAME?</v>
      </c>
      <c r="S1344" t="e">
        <f ca="1">BDS("88035ML4 Muni","ESG_PROJECT_CATEGORY", "aggregate=y")</f>
        <v>#NAME?</v>
      </c>
      <c r="T1344" t="e">
        <f ca="1">BDS("88035ML4 Muni","ESG_PROJECT_SUBCATEGORY", "aggregate=y")</f>
        <v>#NAME?</v>
      </c>
    </row>
    <row r="1345" spans="1:20" x14ac:dyDescent="0.25">
      <c r="A1345" t="e">
        <f ca="1">BDP("88035ML5 Muni","ID_CUSIP")</f>
        <v>#NAME?</v>
      </c>
      <c r="B1345" t="e">
        <f ca="1">BDP("88035ML5 Muni","STATE_CODE")</f>
        <v>#NAME?</v>
      </c>
      <c r="C1345" t="s">
        <v>25</v>
      </c>
      <c r="D1345" t="e">
        <f ca="1">BDP("88035ML5 Muni","YIELD_ON_ISSUE_DATE")</f>
        <v>#NAME?</v>
      </c>
      <c r="E1345">
        <v>3000000</v>
      </c>
      <c r="F1345" t="e">
        <f ca="1">BDP("88035ML5 Muni","ISSUE_DT")</f>
        <v>#NAME?</v>
      </c>
      <c r="G1345" t="e">
        <f ca="1">BDP("88035ML5 Muni","MATURITY")</f>
        <v>#NAME?</v>
      </c>
      <c r="H1345" t="e">
        <f ca="1">BDP("88035ML5 Muni","MUNI_TAX_PROV")</f>
        <v>#NAME?</v>
      </c>
      <c r="I1345" t="e">
        <f ca="1">BDP("88035ML5 Muni","FINANCING_TYPE")</f>
        <v>#NAME?</v>
      </c>
      <c r="J1345" t="e">
        <f ca="1">BDP("88035ML5 Muni","BICS_LEVEL_2_INDUSTRY_GROUP_NAME")</f>
        <v>#NAME?</v>
      </c>
      <c r="K1345" t="e">
        <f ca="1">BDP("88035ML5 Muni","SELF_REPRTD_GREEN_INSTR_INDCTR")</f>
        <v>#NAME?</v>
      </c>
      <c r="L1345" t="e">
        <f ca="1">BDP("88035ML5 Muni","GB_MANAGEMENT_PROCEEDS")</f>
        <v>#NAME?</v>
      </c>
      <c r="M1345" t="e">
        <f ca="1">BDP("88035ML5 Muni","GB_REPORTING")</f>
        <v>#NAME?</v>
      </c>
      <c r="N1345" t="e">
        <f ca="1">BDP("88035ML5 Muni","GB_ASSURANCE_PROVIDERS")</f>
        <v>#NAME?</v>
      </c>
      <c r="O1345" t="e">
        <f ca="1">BDP("88035ML5 Muni","GB_PROJECT_SELECTION_PROCESS")</f>
        <v>#NAME?</v>
      </c>
      <c r="P1345" t="e">
        <f ca="1">BDP("88035ML5 Muni","ESG_FRAMEWORK_INDICATOR")</f>
        <v>#NAME?</v>
      </c>
      <c r="Q1345" t="e">
        <f ca="1">BDP("88035ML5 Muni","BLOOMBERG_SECTOR_CODE")</f>
        <v>#NAME?</v>
      </c>
      <c r="R1345" t="e">
        <f ca="1">BDP("88035ML5 Muni","ISSUER_TYPE")</f>
        <v>#NAME?</v>
      </c>
      <c r="S1345" t="e">
        <f ca="1">BDS("88035ML5 Muni","ESG_PROJECT_CATEGORY", "aggregate=y")</f>
        <v>#NAME?</v>
      </c>
      <c r="T1345" t="e">
        <f ca="1">BDS("88035ML5 Muni","ESG_PROJECT_SUBCATEGORY", "aggregate=y")</f>
        <v>#NAME?</v>
      </c>
    </row>
    <row r="1346" spans="1:20" x14ac:dyDescent="0.25">
      <c r="A1346" t="e">
        <f ca="1">BDP("88035ML8 Muni","ID_CUSIP")</f>
        <v>#NAME?</v>
      </c>
      <c r="B1346" t="e">
        <f ca="1">BDP("88035ML8 Muni","STATE_CODE")</f>
        <v>#NAME?</v>
      </c>
      <c r="C1346" t="s">
        <v>25</v>
      </c>
      <c r="D1346" t="e">
        <f ca="1">BDP("88035ML8 Muni","YIELD_ON_ISSUE_DATE")</f>
        <v>#NAME?</v>
      </c>
      <c r="E1346">
        <v>1800000</v>
      </c>
      <c r="F1346" t="e">
        <f ca="1">BDP("88035ML8 Muni","ISSUE_DT")</f>
        <v>#NAME?</v>
      </c>
      <c r="G1346" t="e">
        <f ca="1">BDP("88035ML8 Muni","MATURITY")</f>
        <v>#NAME?</v>
      </c>
      <c r="H1346" t="e">
        <f ca="1">BDP("88035ML8 Muni","MUNI_TAX_PROV")</f>
        <v>#NAME?</v>
      </c>
      <c r="I1346" t="e">
        <f ca="1">BDP("88035ML8 Muni","FINANCING_TYPE")</f>
        <v>#NAME?</v>
      </c>
      <c r="J1346" t="e">
        <f ca="1">BDP("88035ML8 Muni","BICS_LEVEL_2_INDUSTRY_GROUP_NAME")</f>
        <v>#NAME?</v>
      </c>
      <c r="K1346" t="e">
        <f ca="1">BDP("88035ML8 Muni","SELF_REPRTD_GREEN_INSTR_INDCTR")</f>
        <v>#NAME?</v>
      </c>
      <c r="L1346" t="e">
        <f ca="1">BDP("88035ML8 Muni","GB_MANAGEMENT_PROCEEDS")</f>
        <v>#NAME?</v>
      </c>
      <c r="M1346" t="e">
        <f ca="1">BDP("88035ML8 Muni","GB_REPORTING")</f>
        <v>#NAME?</v>
      </c>
      <c r="N1346" t="e">
        <f ca="1">BDP("88035ML8 Muni","GB_ASSURANCE_PROVIDERS")</f>
        <v>#NAME?</v>
      </c>
      <c r="O1346" t="e">
        <f ca="1">BDP("88035ML8 Muni","GB_PROJECT_SELECTION_PROCESS")</f>
        <v>#NAME?</v>
      </c>
      <c r="P1346" t="e">
        <f ca="1">BDP("88035ML8 Muni","ESG_FRAMEWORK_INDICATOR")</f>
        <v>#NAME?</v>
      </c>
      <c r="Q1346" t="e">
        <f ca="1">BDP("88035ML8 Muni","BLOOMBERG_SECTOR_CODE")</f>
        <v>#NAME?</v>
      </c>
      <c r="R1346" t="e">
        <f ca="1">BDP("88035ML8 Muni","ISSUER_TYPE")</f>
        <v>#NAME?</v>
      </c>
      <c r="S1346" t="e">
        <f ca="1">BDS("88035ML8 Muni","ESG_PROJECT_CATEGORY", "aggregate=y")</f>
        <v>#NAME?</v>
      </c>
      <c r="T1346" t="e">
        <f ca="1">BDS("88035ML8 Muni","ESG_PROJECT_SUBCATEGORY", "aggregate=y")</f>
        <v>#NAME?</v>
      </c>
    </row>
    <row r="1347" spans="1:20" x14ac:dyDescent="0.25">
      <c r="A1347" t="e">
        <f ca="1">BDP("88035ML9 Muni","ID_CUSIP")</f>
        <v>#NAME?</v>
      </c>
      <c r="B1347" t="e">
        <f ca="1">BDP("88035ML9 Muni","STATE_CODE")</f>
        <v>#NAME?</v>
      </c>
      <c r="C1347" t="s">
        <v>25</v>
      </c>
      <c r="D1347" t="e">
        <f ca="1">BDP("88035ML9 Muni","YIELD_ON_ISSUE_DATE")</f>
        <v>#NAME?</v>
      </c>
      <c r="E1347">
        <v>9000000</v>
      </c>
      <c r="F1347" t="e">
        <f ca="1">BDP("88035ML9 Muni","ISSUE_DT")</f>
        <v>#NAME?</v>
      </c>
      <c r="G1347" t="e">
        <f ca="1">BDP("88035ML9 Muni","MATURITY")</f>
        <v>#NAME?</v>
      </c>
      <c r="H1347" t="e">
        <f ca="1">BDP("88035ML9 Muni","MUNI_TAX_PROV")</f>
        <v>#NAME?</v>
      </c>
      <c r="I1347" t="e">
        <f ca="1">BDP("88035ML9 Muni","FINANCING_TYPE")</f>
        <v>#NAME?</v>
      </c>
      <c r="J1347" t="e">
        <f ca="1">BDP("88035ML9 Muni","BICS_LEVEL_2_INDUSTRY_GROUP_NAME")</f>
        <v>#NAME?</v>
      </c>
      <c r="K1347" t="e">
        <f ca="1">BDP("88035ML9 Muni","SELF_REPRTD_GREEN_INSTR_INDCTR")</f>
        <v>#NAME?</v>
      </c>
      <c r="L1347" t="e">
        <f ca="1">BDP("88035ML9 Muni","GB_MANAGEMENT_PROCEEDS")</f>
        <v>#NAME?</v>
      </c>
      <c r="M1347" t="e">
        <f ca="1">BDP("88035ML9 Muni","GB_REPORTING")</f>
        <v>#NAME?</v>
      </c>
      <c r="N1347" t="e">
        <f ca="1">BDP("88035ML9 Muni","GB_ASSURANCE_PROVIDERS")</f>
        <v>#NAME?</v>
      </c>
      <c r="O1347" t="e">
        <f ca="1">BDP("88035ML9 Muni","GB_PROJECT_SELECTION_PROCESS")</f>
        <v>#NAME?</v>
      </c>
      <c r="P1347" t="e">
        <f ca="1">BDP("88035ML9 Muni","ESG_FRAMEWORK_INDICATOR")</f>
        <v>#NAME?</v>
      </c>
      <c r="Q1347" t="e">
        <f ca="1">BDP("88035ML9 Muni","BLOOMBERG_SECTOR_CODE")</f>
        <v>#NAME?</v>
      </c>
      <c r="R1347" t="e">
        <f ca="1">BDP("88035ML9 Muni","ISSUER_TYPE")</f>
        <v>#NAME?</v>
      </c>
      <c r="S1347" t="e">
        <f ca="1">BDS("88035ML9 Muni","ESG_PROJECT_CATEGORY", "aggregate=y")</f>
        <v>#NAME?</v>
      </c>
      <c r="T1347" t="e">
        <f ca="1">BDS("88035ML9 Muni","ESG_PROJECT_SUBCATEGORY", "aggregate=y")</f>
        <v>#NAME?</v>
      </c>
    </row>
    <row r="1348" spans="1:20" x14ac:dyDescent="0.25">
      <c r="A1348" t="e">
        <f ca="1">BDP("88035MNY Muni","ID_CUSIP")</f>
        <v>#NAME?</v>
      </c>
      <c r="B1348" t="e">
        <f ca="1">BDP("88035MNY Muni","STATE_CODE")</f>
        <v>#NAME?</v>
      </c>
      <c r="C1348" t="s">
        <v>25</v>
      </c>
      <c r="D1348" t="e">
        <f ca="1">BDP("88035MNY Muni","YIELD_ON_ISSUE_DATE")</f>
        <v>#NAME?</v>
      </c>
      <c r="E1348">
        <v>2700000</v>
      </c>
      <c r="F1348" t="e">
        <f ca="1">BDP("88035MNY Muni","ISSUE_DT")</f>
        <v>#NAME?</v>
      </c>
      <c r="G1348" t="e">
        <f ca="1">BDP("88035MNY Muni","MATURITY")</f>
        <v>#NAME?</v>
      </c>
      <c r="H1348" t="e">
        <f ca="1">BDP("88035MNY Muni","MUNI_TAX_PROV")</f>
        <v>#NAME?</v>
      </c>
      <c r="I1348" t="e">
        <f ca="1">BDP("88035MNY Muni","FINANCING_TYPE")</f>
        <v>#NAME?</v>
      </c>
      <c r="J1348" t="e">
        <f ca="1">BDP("88035MNY Muni","BICS_LEVEL_2_INDUSTRY_GROUP_NAME")</f>
        <v>#NAME?</v>
      </c>
      <c r="K1348" t="e">
        <f ca="1">BDP("88035MNY Muni","SELF_REPRTD_GREEN_INSTR_INDCTR")</f>
        <v>#NAME?</v>
      </c>
      <c r="L1348" t="e">
        <f ca="1">BDP("88035MNY Muni","GB_MANAGEMENT_PROCEEDS")</f>
        <v>#NAME?</v>
      </c>
      <c r="M1348" t="e">
        <f ca="1">BDP("88035MNY Muni","GB_REPORTING")</f>
        <v>#NAME?</v>
      </c>
      <c r="N1348" t="e">
        <f ca="1">BDP("88035MNY Muni","GB_ASSURANCE_PROVIDERS")</f>
        <v>#NAME?</v>
      </c>
      <c r="O1348" t="e">
        <f ca="1">BDP("88035MNY Muni","GB_PROJECT_SELECTION_PROCESS")</f>
        <v>#NAME?</v>
      </c>
      <c r="P1348" t="e">
        <f ca="1">BDP("88035MNY Muni","ESG_FRAMEWORK_INDICATOR")</f>
        <v>#NAME?</v>
      </c>
      <c r="Q1348" t="e">
        <f ca="1">BDP("88035MNY Muni","BLOOMBERG_SECTOR_CODE")</f>
        <v>#NAME?</v>
      </c>
      <c r="R1348" t="e">
        <f ca="1">BDP("88035MNY Muni","ISSUER_TYPE")</f>
        <v>#NAME?</v>
      </c>
      <c r="S1348" t="e">
        <f ca="1">BDS("88035MNY Muni","ESG_PROJECT_CATEGORY", "aggregate=y")</f>
        <v>#NAME?</v>
      </c>
      <c r="T1348" t="e">
        <f ca="1">BDS("88035MNY Muni","ESG_PROJECT_SUBCATEGORY", "aggregate=y")</f>
        <v>#NAME?</v>
      </c>
    </row>
    <row r="1349" spans="1:20" x14ac:dyDescent="0.25">
      <c r="A1349" t="e">
        <f ca="1">BDP("88035MNZ Muni","ID_CUSIP")</f>
        <v>#NAME?</v>
      </c>
      <c r="B1349" t="e">
        <f ca="1">BDP("88035MNZ Muni","STATE_CODE")</f>
        <v>#NAME?</v>
      </c>
      <c r="C1349" t="s">
        <v>25</v>
      </c>
      <c r="D1349" t="e">
        <f ca="1">BDP("88035MNZ Muni","YIELD_ON_ISSUE_DATE")</f>
        <v>#NAME?</v>
      </c>
      <c r="E1349">
        <v>13500000</v>
      </c>
      <c r="F1349" t="e">
        <f ca="1">BDP("88035MNZ Muni","ISSUE_DT")</f>
        <v>#NAME?</v>
      </c>
      <c r="G1349" t="e">
        <f ca="1">BDP("88035MNZ Muni","MATURITY")</f>
        <v>#NAME?</v>
      </c>
      <c r="H1349" t="e">
        <f ca="1">BDP("88035MNZ Muni","MUNI_TAX_PROV")</f>
        <v>#NAME?</v>
      </c>
      <c r="I1349" t="e">
        <f ca="1">BDP("88035MNZ Muni","FINANCING_TYPE")</f>
        <v>#NAME?</v>
      </c>
      <c r="J1349" t="e">
        <f ca="1">BDP("88035MNZ Muni","BICS_LEVEL_2_INDUSTRY_GROUP_NAME")</f>
        <v>#NAME?</v>
      </c>
      <c r="K1349" t="e">
        <f ca="1">BDP("88035MNZ Muni","SELF_REPRTD_GREEN_INSTR_INDCTR")</f>
        <v>#NAME?</v>
      </c>
      <c r="L1349" t="e">
        <f ca="1">BDP("88035MNZ Muni","GB_MANAGEMENT_PROCEEDS")</f>
        <v>#NAME?</v>
      </c>
      <c r="M1349" t="e">
        <f ca="1">BDP("88035MNZ Muni","GB_REPORTING")</f>
        <v>#NAME?</v>
      </c>
      <c r="N1349" t="e">
        <f ca="1">BDP("88035MNZ Muni","GB_ASSURANCE_PROVIDERS")</f>
        <v>#NAME?</v>
      </c>
      <c r="O1349" t="e">
        <f ca="1">BDP("88035MNZ Muni","GB_PROJECT_SELECTION_PROCESS")</f>
        <v>#NAME?</v>
      </c>
      <c r="P1349" t="e">
        <f ca="1">BDP("88035MNZ Muni","ESG_FRAMEWORK_INDICATOR")</f>
        <v>#NAME?</v>
      </c>
      <c r="Q1349" t="e">
        <f ca="1">BDP("88035MNZ Muni","BLOOMBERG_SECTOR_CODE")</f>
        <v>#NAME?</v>
      </c>
      <c r="R1349" t="e">
        <f ca="1">BDP("88035MNZ Muni","ISSUER_TYPE")</f>
        <v>#NAME?</v>
      </c>
      <c r="S1349" t="e">
        <f ca="1">BDS("88035MNZ Muni","ESG_PROJECT_CATEGORY", "aggregate=y")</f>
        <v>#NAME?</v>
      </c>
      <c r="T1349" t="e">
        <f ca="1">BDS("88035MNZ Muni","ESG_PROJECT_SUBCATEGORY", "aggregate=y")</f>
        <v>#NAME?</v>
      </c>
    </row>
    <row r="1350" spans="1:20" x14ac:dyDescent="0.25">
      <c r="A1350" t="e">
        <f ca="1">BDP("88035MPF Muni","ID_CUSIP")</f>
        <v>#NAME?</v>
      </c>
      <c r="B1350" t="e">
        <f ca="1">BDP("88035MPF Muni","STATE_CODE")</f>
        <v>#NAME?</v>
      </c>
      <c r="C1350" t="s">
        <v>25</v>
      </c>
      <c r="D1350" t="e">
        <f ca="1">BDP("88035MPF Muni","YIELD_ON_ISSUE_DATE")</f>
        <v>#NAME?</v>
      </c>
      <c r="E1350">
        <v>4035000</v>
      </c>
      <c r="F1350" t="e">
        <f ca="1">BDP("88035MPF Muni","ISSUE_DT")</f>
        <v>#NAME?</v>
      </c>
      <c r="G1350" t="e">
        <f ca="1">BDP("88035MPF Muni","MATURITY")</f>
        <v>#NAME?</v>
      </c>
      <c r="H1350" t="e">
        <f ca="1">BDP("88035MPF Muni","MUNI_TAX_PROV")</f>
        <v>#NAME?</v>
      </c>
      <c r="I1350" t="e">
        <f ca="1">BDP("88035MPF Muni","FINANCING_TYPE")</f>
        <v>#NAME?</v>
      </c>
      <c r="J1350" t="e">
        <f ca="1">BDP("88035MPF Muni","BICS_LEVEL_2_INDUSTRY_GROUP_NAME")</f>
        <v>#NAME?</v>
      </c>
      <c r="K1350" t="e">
        <f ca="1">BDP("88035MPF Muni","SELF_REPRTD_GREEN_INSTR_INDCTR")</f>
        <v>#NAME?</v>
      </c>
      <c r="L1350" t="e">
        <f ca="1">BDP("88035MPF Muni","GB_MANAGEMENT_PROCEEDS")</f>
        <v>#NAME?</v>
      </c>
      <c r="M1350" t="e">
        <f ca="1">BDP("88035MPF Muni","GB_REPORTING")</f>
        <v>#NAME?</v>
      </c>
      <c r="N1350" t="e">
        <f ca="1">BDP("88035MPF Muni","GB_ASSURANCE_PROVIDERS")</f>
        <v>#NAME?</v>
      </c>
      <c r="O1350" t="e">
        <f ca="1">BDP("88035MPF Muni","GB_PROJECT_SELECTION_PROCESS")</f>
        <v>#NAME?</v>
      </c>
      <c r="P1350" t="e">
        <f ca="1">BDP("88035MPF Muni","ESG_FRAMEWORK_INDICATOR")</f>
        <v>#NAME?</v>
      </c>
      <c r="Q1350" t="e">
        <f ca="1">BDP("88035MPF Muni","BLOOMBERG_SECTOR_CODE")</f>
        <v>#NAME?</v>
      </c>
      <c r="R1350" t="e">
        <f ca="1">BDP("88035MPF Muni","ISSUER_TYPE")</f>
        <v>#NAME?</v>
      </c>
      <c r="S1350" t="e">
        <f ca="1">BDS("88035MPF Muni","ESG_PROJECT_CATEGORY", "aggregate=y")</f>
        <v>#NAME?</v>
      </c>
      <c r="T1350" t="e">
        <f ca="1">BDS("88035MPF Muni","ESG_PROJECT_SUBCATEGORY", "aggregate=y")</f>
        <v>#NAME?</v>
      </c>
    </row>
    <row r="1351" spans="1:20" x14ac:dyDescent="0.25">
      <c r="A1351" t="e">
        <f ca="1">BDP("88035MPG Muni","ID_CUSIP")</f>
        <v>#NAME?</v>
      </c>
      <c r="B1351" t="e">
        <f ca="1">BDP("88035MPG Muni","STATE_CODE")</f>
        <v>#NAME?</v>
      </c>
      <c r="C1351" t="s">
        <v>25</v>
      </c>
      <c r="D1351" t="e">
        <f ca="1">BDP("88035MPG Muni","YIELD_ON_ISSUE_DATE")</f>
        <v>#NAME?</v>
      </c>
      <c r="E1351">
        <v>20160000</v>
      </c>
      <c r="F1351" t="e">
        <f ca="1">BDP("88035MPG Muni","ISSUE_DT")</f>
        <v>#NAME?</v>
      </c>
      <c r="G1351" t="e">
        <f ca="1">BDP("88035MPG Muni","MATURITY")</f>
        <v>#NAME?</v>
      </c>
      <c r="H1351" t="e">
        <f ca="1">BDP("88035MPG Muni","MUNI_TAX_PROV")</f>
        <v>#NAME?</v>
      </c>
      <c r="I1351" t="e">
        <f ca="1">BDP("88035MPG Muni","FINANCING_TYPE")</f>
        <v>#NAME?</v>
      </c>
      <c r="J1351" t="e">
        <f ca="1">BDP("88035MPG Muni","BICS_LEVEL_2_INDUSTRY_GROUP_NAME")</f>
        <v>#NAME?</v>
      </c>
      <c r="K1351" t="e">
        <f ca="1">BDP("88035MPG Muni","SELF_REPRTD_GREEN_INSTR_INDCTR")</f>
        <v>#NAME?</v>
      </c>
      <c r="L1351" t="e">
        <f ca="1">BDP("88035MPG Muni","GB_MANAGEMENT_PROCEEDS")</f>
        <v>#NAME?</v>
      </c>
      <c r="M1351" t="e">
        <f ca="1">BDP("88035MPG Muni","GB_REPORTING")</f>
        <v>#NAME?</v>
      </c>
      <c r="N1351" t="e">
        <f ca="1">BDP("88035MPG Muni","GB_ASSURANCE_PROVIDERS")</f>
        <v>#NAME?</v>
      </c>
      <c r="O1351" t="e">
        <f ca="1">BDP("88035MPG Muni","GB_PROJECT_SELECTION_PROCESS")</f>
        <v>#NAME?</v>
      </c>
      <c r="P1351" t="e">
        <f ca="1">BDP("88035MPG Muni","ESG_FRAMEWORK_INDICATOR")</f>
        <v>#NAME?</v>
      </c>
      <c r="Q1351" t="e">
        <f ca="1">BDP("88035MPG Muni","BLOOMBERG_SECTOR_CODE")</f>
        <v>#NAME?</v>
      </c>
      <c r="R1351" t="e">
        <f ca="1">BDP("88035MPG Muni","ISSUER_TYPE")</f>
        <v>#NAME?</v>
      </c>
      <c r="S1351" t="e">
        <f ca="1">BDS("88035MPG Muni","ESG_PROJECT_CATEGORY", "aggregate=y")</f>
        <v>#NAME?</v>
      </c>
      <c r="T1351" t="e">
        <f ca="1">BDS("88035MPG Muni","ESG_PROJECT_SUBCATEGORY", "aggregate=y")</f>
        <v>#NAME?</v>
      </c>
    </row>
    <row r="1352" spans="1:20" x14ac:dyDescent="0.25">
      <c r="A1352" t="e">
        <f ca="1">BDP("88035MTA Muni","ID_CUSIP")</f>
        <v>#NAME?</v>
      </c>
      <c r="B1352" t="e">
        <f ca="1">BDP("88035MTA Muni","STATE_CODE")</f>
        <v>#NAME?</v>
      </c>
      <c r="C1352" t="s">
        <v>25</v>
      </c>
      <c r="D1352" t="e">
        <f ca="1">BDP("88035MTA Muni","YIELD_ON_ISSUE_DATE")</f>
        <v>#NAME?</v>
      </c>
      <c r="E1352">
        <v>5000000</v>
      </c>
      <c r="F1352" t="e">
        <f ca="1">BDP("88035MTA Muni","ISSUE_DT")</f>
        <v>#NAME?</v>
      </c>
      <c r="G1352" t="e">
        <f ca="1">BDP("88035MTA Muni","MATURITY")</f>
        <v>#NAME?</v>
      </c>
      <c r="H1352" t="e">
        <f ca="1">BDP("88035MTA Muni","MUNI_TAX_PROV")</f>
        <v>#NAME?</v>
      </c>
      <c r="I1352" t="e">
        <f ca="1">BDP("88035MTA Muni","FINANCING_TYPE")</f>
        <v>#NAME?</v>
      </c>
      <c r="J1352" t="e">
        <f ca="1">BDP("88035MTA Muni","BICS_LEVEL_2_INDUSTRY_GROUP_NAME")</f>
        <v>#NAME?</v>
      </c>
      <c r="K1352" t="e">
        <f ca="1">BDP("88035MTA Muni","SELF_REPRTD_GREEN_INSTR_INDCTR")</f>
        <v>#NAME?</v>
      </c>
      <c r="L1352" t="e">
        <f ca="1">BDP("88035MTA Muni","GB_MANAGEMENT_PROCEEDS")</f>
        <v>#NAME?</v>
      </c>
      <c r="M1352" t="e">
        <f ca="1">BDP("88035MTA Muni","GB_REPORTING")</f>
        <v>#NAME?</v>
      </c>
      <c r="N1352" t="e">
        <f ca="1">BDP("88035MTA Muni","GB_ASSURANCE_PROVIDERS")</f>
        <v>#NAME?</v>
      </c>
      <c r="O1352" t="e">
        <f ca="1">BDP("88035MTA Muni","GB_PROJECT_SELECTION_PROCESS")</f>
        <v>#NAME?</v>
      </c>
      <c r="P1352" t="e">
        <f ca="1">BDP("88035MTA Muni","ESG_FRAMEWORK_INDICATOR")</f>
        <v>#NAME?</v>
      </c>
      <c r="Q1352" t="e">
        <f ca="1">BDP("88035MTA Muni","BLOOMBERG_SECTOR_CODE")</f>
        <v>#NAME?</v>
      </c>
      <c r="R1352" t="e">
        <f ca="1">BDP("88035MTA Muni","ISSUER_TYPE")</f>
        <v>#NAME?</v>
      </c>
      <c r="S1352" t="e">
        <f ca="1">BDS("88035MTA Muni","ESG_PROJECT_CATEGORY", "aggregate=y")</f>
        <v>#NAME?</v>
      </c>
      <c r="T1352" t="e">
        <f ca="1">BDS("88035MTA Muni","ESG_PROJECT_SUBCATEGORY", "aggregate=y")</f>
        <v>#NAME?</v>
      </c>
    </row>
    <row r="1353" spans="1:20" x14ac:dyDescent="0.25">
      <c r="A1353" t="e">
        <f ca="1">BDP("88035MWF Muni","ID_CUSIP")</f>
        <v>#NAME?</v>
      </c>
      <c r="B1353" t="e">
        <f ca="1">BDP("88035MWF Muni","STATE_CODE")</f>
        <v>#NAME?</v>
      </c>
      <c r="C1353" t="s">
        <v>25</v>
      </c>
      <c r="D1353" t="e">
        <f ca="1">BDP("88035MWF Muni","YIELD_ON_ISSUE_DATE")</f>
        <v>#NAME?</v>
      </c>
      <c r="E1353">
        <v>15180000</v>
      </c>
      <c r="F1353" t="e">
        <f ca="1">BDP("88035MWF Muni","ISSUE_DT")</f>
        <v>#NAME?</v>
      </c>
      <c r="G1353" t="e">
        <f ca="1">BDP("88035MWF Muni","MATURITY")</f>
        <v>#NAME?</v>
      </c>
      <c r="H1353" t="e">
        <f ca="1">BDP("88035MWF Muni","MUNI_TAX_PROV")</f>
        <v>#NAME?</v>
      </c>
      <c r="I1353" t="e">
        <f ca="1">BDP("88035MWF Muni","FINANCING_TYPE")</f>
        <v>#NAME?</v>
      </c>
      <c r="J1353" t="e">
        <f ca="1">BDP("88035MWF Muni","BICS_LEVEL_2_INDUSTRY_GROUP_NAME")</f>
        <v>#NAME?</v>
      </c>
      <c r="K1353" t="e">
        <f ca="1">BDP("88035MWF Muni","SELF_REPRTD_GREEN_INSTR_INDCTR")</f>
        <v>#NAME?</v>
      </c>
      <c r="L1353" t="e">
        <f ca="1">BDP("88035MWF Muni","GB_MANAGEMENT_PROCEEDS")</f>
        <v>#NAME?</v>
      </c>
      <c r="M1353" t="e">
        <f ca="1">BDP("88035MWF Muni","GB_REPORTING")</f>
        <v>#NAME?</v>
      </c>
      <c r="N1353" t="e">
        <f ca="1">BDP("88035MWF Muni","GB_ASSURANCE_PROVIDERS")</f>
        <v>#NAME?</v>
      </c>
      <c r="O1353" t="e">
        <f ca="1">BDP("88035MWF Muni","GB_PROJECT_SELECTION_PROCESS")</f>
        <v>#NAME?</v>
      </c>
      <c r="P1353" t="e">
        <f ca="1">BDP("88035MWF Muni","ESG_FRAMEWORK_INDICATOR")</f>
        <v>#NAME?</v>
      </c>
      <c r="Q1353" t="e">
        <f ca="1">BDP("88035MWF Muni","BLOOMBERG_SECTOR_CODE")</f>
        <v>#NAME?</v>
      </c>
      <c r="R1353" t="e">
        <f ca="1">BDP("88035MWF Muni","ISSUER_TYPE")</f>
        <v>#NAME?</v>
      </c>
      <c r="S1353" t="e">
        <f ca="1">BDS("88035MWF Muni","ESG_PROJECT_CATEGORY", "aggregate=y")</f>
        <v>#NAME?</v>
      </c>
      <c r="T1353" t="e">
        <f ca="1">BDS("88035MWF Muni","ESG_PROJECT_SUBCATEGORY", "aggregate=y")</f>
        <v>#NAME?</v>
      </c>
    </row>
    <row r="1354" spans="1:20" x14ac:dyDescent="0.25">
      <c r="A1354" t="e">
        <f ca="1">BDP("88035MWG Muni","ID_CUSIP")</f>
        <v>#NAME?</v>
      </c>
      <c r="B1354" t="e">
        <f ca="1">BDP("88035MWG Muni","STATE_CODE")</f>
        <v>#NAME?</v>
      </c>
      <c r="C1354" t="s">
        <v>25</v>
      </c>
      <c r="D1354" t="e">
        <f ca="1">BDP("88035MWG Muni","YIELD_ON_ISSUE_DATE")</f>
        <v>#NAME?</v>
      </c>
      <c r="E1354">
        <v>5065000</v>
      </c>
      <c r="F1354" t="e">
        <f ca="1">BDP("88035MWG Muni","ISSUE_DT")</f>
        <v>#NAME?</v>
      </c>
      <c r="G1354" t="e">
        <f ca="1">BDP("88035MWG Muni","MATURITY")</f>
        <v>#NAME?</v>
      </c>
      <c r="H1354" t="e">
        <f ca="1">BDP("88035MWG Muni","MUNI_TAX_PROV")</f>
        <v>#NAME?</v>
      </c>
      <c r="I1354" t="e">
        <f ca="1">BDP("88035MWG Muni","FINANCING_TYPE")</f>
        <v>#NAME?</v>
      </c>
      <c r="J1354" t="e">
        <f ca="1">BDP("88035MWG Muni","BICS_LEVEL_2_INDUSTRY_GROUP_NAME")</f>
        <v>#NAME?</v>
      </c>
      <c r="K1354" t="e">
        <f ca="1">BDP("88035MWG Muni","SELF_REPRTD_GREEN_INSTR_INDCTR")</f>
        <v>#NAME?</v>
      </c>
      <c r="L1354" t="e">
        <f ca="1">BDP("88035MWG Muni","GB_MANAGEMENT_PROCEEDS")</f>
        <v>#NAME?</v>
      </c>
      <c r="M1354" t="e">
        <f ca="1">BDP("88035MWG Muni","GB_REPORTING")</f>
        <v>#NAME?</v>
      </c>
      <c r="N1354" t="e">
        <f ca="1">BDP("88035MWG Muni","GB_ASSURANCE_PROVIDERS")</f>
        <v>#NAME?</v>
      </c>
      <c r="O1354" t="e">
        <f ca="1">BDP("88035MWG Muni","GB_PROJECT_SELECTION_PROCESS")</f>
        <v>#NAME?</v>
      </c>
      <c r="P1354" t="e">
        <f ca="1">BDP("88035MWG Muni","ESG_FRAMEWORK_INDICATOR")</f>
        <v>#NAME?</v>
      </c>
      <c r="Q1354" t="e">
        <f ca="1">BDP("88035MWG Muni","BLOOMBERG_SECTOR_CODE")</f>
        <v>#NAME?</v>
      </c>
      <c r="R1354" t="e">
        <f ca="1">BDP("88035MWG Muni","ISSUER_TYPE")</f>
        <v>#NAME?</v>
      </c>
      <c r="S1354" t="e">
        <f ca="1">BDS("88035MWG Muni","ESG_PROJECT_CATEGORY", "aggregate=y")</f>
        <v>#NAME?</v>
      </c>
      <c r="T1354" t="e">
        <f ca="1">BDS("88035MWG Muni","ESG_PROJECT_SUBCATEGORY", "aggregate=y")</f>
        <v>#NAME?</v>
      </c>
    </row>
    <row r="1355" spans="1:20" x14ac:dyDescent="0.25">
      <c r="A1355" t="e">
        <f ca="1">BDP("88035MXX Muni","ID_CUSIP")</f>
        <v>#NAME?</v>
      </c>
      <c r="B1355" t="e">
        <f ca="1">BDP("88035MXX Muni","STATE_CODE")</f>
        <v>#NAME?</v>
      </c>
      <c r="C1355" t="s">
        <v>25</v>
      </c>
      <c r="D1355" t="e">
        <f ca="1">BDP("88035MXX Muni","YIELD_ON_ISSUE_DATE")</f>
        <v>#NAME?</v>
      </c>
      <c r="E1355">
        <v>17020000</v>
      </c>
      <c r="F1355" t="e">
        <f ca="1">BDP("88035MXX Muni","ISSUE_DT")</f>
        <v>#NAME?</v>
      </c>
      <c r="G1355" t="e">
        <f ca="1">BDP("88035MXX Muni","MATURITY")</f>
        <v>#NAME?</v>
      </c>
      <c r="H1355" t="e">
        <f ca="1">BDP("88035MXX Muni","MUNI_TAX_PROV")</f>
        <v>#NAME?</v>
      </c>
      <c r="I1355" t="e">
        <f ca="1">BDP("88035MXX Muni","FINANCING_TYPE")</f>
        <v>#NAME?</v>
      </c>
      <c r="J1355" t="e">
        <f ca="1">BDP("88035MXX Muni","BICS_LEVEL_2_INDUSTRY_GROUP_NAME")</f>
        <v>#NAME?</v>
      </c>
      <c r="K1355" t="e">
        <f ca="1">BDP("88035MXX Muni","SELF_REPRTD_GREEN_INSTR_INDCTR")</f>
        <v>#NAME?</v>
      </c>
      <c r="L1355" t="e">
        <f ca="1">BDP("88035MXX Muni","GB_MANAGEMENT_PROCEEDS")</f>
        <v>#NAME?</v>
      </c>
      <c r="M1355" t="e">
        <f ca="1">BDP("88035MXX Muni","GB_REPORTING")</f>
        <v>#NAME?</v>
      </c>
      <c r="N1355" t="e">
        <f ca="1">BDP("88035MXX Muni","GB_ASSURANCE_PROVIDERS")</f>
        <v>#NAME?</v>
      </c>
      <c r="O1355" t="e">
        <f ca="1">BDP("88035MXX Muni","GB_PROJECT_SELECTION_PROCESS")</f>
        <v>#NAME?</v>
      </c>
      <c r="P1355" t="e">
        <f ca="1">BDP("88035MXX Muni","ESG_FRAMEWORK_INDICATOR")</f>
        <v>#NAME?</v>
      </c>
      <c r="Q1355" t="e">
        <f ca="1">BDP("88035MXX Muni","BLOOMBERG_SECTOR_CODE")</f>
        <v>#NAME?</v>
      </c>
      <c r="R1355" t="e">
        <f ca="1">BDP("88035MXX Muni","ISSUER_TYPE")</f>
        <v>#NAME?</v>
      </c>
      <c r="S1355" t="e">
        <f ca="1">BDS("88035MXX Muni","ESG_PROJECT_CATEGORY", "aggregate=y")</f>
        <v>#NAME?</v>
      </c>
      <c r="T1355" t="e">
        <f ca="1">BDS("88035MXX Muni","ESG_PROJECT_SUBCATEGORY", "aggregate=y")</f>
        <v>#NAME?</v>
      </c>
    </row>
    <row r="1356" spans="1:20" x14ac:dyDescent="0.25">
      <c r="A1356" t="e">
        <f ca="1">BDP("88035MXY Muni","ID_CUSIP")</f>
        <v>#NAME?</v>
      </c>
      <c r="B1356" t="e">
        <f ca="1">BDP("88035MXY Muni","STATE_CODE")</f>
        <v>#NAME?</v>
      </c>
      <c r="C1356" t="s">
        <v>25</v>
      </c>
      <c r="D1356" t="e">
        <f ca="1">BDP("88035MXY Muni","YIELD_ON_ISSUE_DATE")</f>
        <v>#NAME?</v>
      </c>
      <c r="E1356">
        <v>4255000</v>
      </c>
      <c r="F1356" t="e">
        <f ca="1">BDP("88035MXY Muni","ISSUE_DT")</f>
        <v>#NAME?</v>
      </c>
      <c r="G1356" t="e">
        <f ca="1">BDP("88035MXY Muni","MATURITY")</f>
        <v>#NAME?</v>
      </c>
      <c r="H1356" t="e">
        <f ca="1">BDP("88035MXY Muni","MUNI_TAX_PROV")</f>
        <v>#NAME?</v>
      </c>
      <c r="I1356" t="e">
        <f ca="1">BDP("88035MXY Muni","FINANCING_TYPE")</f>
        <v>#NAME?</v>
      </c>
      <c r="J1356" t="e">
        <f ca="1">BDP("88035MXY Muni","BICS_LEVEL_2_INDUSTRY_GROUP_NAME")</f>
        <v>#NAME?</v>
      </c>
      <c r="K1356" t="e">
        <f ca="1">BDP("88035MXY Muni","SELF_REPRTD_GREEN_INSTR_INDCTR")</f>
        <v>#NAME?</v>
      </c>
      <c r="L1356" t="e">
        <f ca="1">BDP("88035MXY Muni","GB_MANAGEMENT_PROCEEDS")</f>
        <v>#NAME?</v>
      </c>
      <c r="M1356" t="e">
        <f ca="1">BDP("88035MXY Muni","GB_REPORTING")</f>
        <v>#NAME?</v>
      </c>
      <c r="N1356" t="e">
        <f ca="1">BDP("88035MXY Muni","GB_ASSURANCE_PROVIDERS")</f>
        <v>#NAME?</v>
      </c>
      <c r="O1356" t="e">
        <f ca="1">BDP("88035MXY Muni","GB_PROJECT_SELECTION_PROCESS")</f>
        <v>#NAME?</v>
      </c>
      <c r="P1356" t="e">
        <f ca="1">BDP("88035MXY Muni","ESG_FRAMEWORK_INDICATOR")</f>
        <v>#NAME?</v>
      </c>
      <c r="Q1356" t="e">
        <f ca="1">BDP("88035MXY Muni","BLOOMBERG_SECTOR_CODE")</f>
        <v>#NAME?</v>
      </c>
      <c r="R1356" t="e">
        <f ca="1">BDP("88035MXY Muni","ISSUER_TYPE")</f>
        <v>#NAME?</v>
      </c>
      <c r="S1356" t="e">
        <f ca="1">BDS("88035MXY Muni","ESG_PROJECT_CATEGORY", "aggregate=y")</f>
        <v>#NAME?</v>
      </c>
      <c r="T1356" t="e">
        <f ca="1">BDS("88035MXY Muni","ESG_PROJECT_SUBCATEGORY", "aggregate=y")</f>
        <v>#NAME?</v>
      </c>
    </row>
    <row r="1357" spans="1:20" x14ac:dyDescent="0.25">
      <c r="A1357" t="e">
        <f ca="1">BDP("88035MYB Muni","ID_CUSIP")</f>
        <v>#NAME?</v>
      </c>
      <c r="B1357" t="e">
        <f ca="1">BDP("88035MYB Muni","STATE_CODE")</f>
        <v>#NAME?</v>
      </c>
      <c r="C1357" t="s">
        <v>25</v>
      </c>
      <c r="D1357" t="e">
        <f ca="1">BDP("88035MYB Muni","YIELD_ON_ISSUE_DATE")</f>
        <v>#NAME?</v>
      </c>
      <c r="E1357">
        <v>1505000</v>
      </c>
      <c r="F1357" t="e">
        <f ca="1">BDP("88035MYB Muni","ISSUE_DT")</f>
        <v>#NAME?</v>
      </c>
      <c r="G1357" t="e">
        <f ca="1">BDP("88035MYB Muni","MATURITY")</f>
        <v>#NAME?</v>
      </c>
      <c r="H1357" t="e">
        <f ca="1">BDP("88035MYB Muni","MUNI_TAX_PROV")</f>
        <v>#NAME?</v>
      </c>
      <c r="I1357" t="e">
        <f ca="1">BDP("88035MYB Muni","FINANCING_TYPE")</f>
        <v>#NAME?</v>
      </c>
      <c r="J1357" t="e">
        <f ca="1">BDP("88035MYB Muni","BICS_LEVEL_2_INDUSTRY_GROUP_NAME")</f>
        <v>#NAME?</v>
      </c>
      <c r="K1357" t="e">
        <f ca="1">BDP("88035MYB Muni","SELF_REPRTD_GREEN_INSTR_INDCTR")</f>
        <v>#NAME?</v>
      </c>
      <c r="L1357" t="e">
        <f ca="1">BDP("88035MYB Muni","GB_MANAGEMENT_PROCEEDS")</f>
        <v>#NAME?</v>
      </c>
      <c r="M1357" t="e">
        <f ca="1">BDP("88035MYB Muni","GB_REPORTING")</f>
        <v>#NAME?</v>
      </c>
      <c r="N1357" t="e">
        <f ca="1">BDP("88035MYB Muni","GB_ASSURANCE_PROVIDERS")</f>
        <v>#NAME?</v>
      </c>
      <c r="O1357" t="e">
        <f ca="1">BDP("88035MYB Muni","GB_PROJECT_SELECTION_PROCESS")</f>
        <v>#NAME?</v>
      </c>
      <c r="P1357" t="e">
        <f ca="1">BDP("88035MYB Muni","ESG_FRAMEWORK_INDICATOR")</f>
        <v>#NAME?</v>
      </c>
      <c r="Q1357" t="e">
        <f ca="1">BDP("88035MYB Muni","BLOOMBERG_SECTOR_CODE")</f>
        <v>#NAME?</v>
      </c>
      <c r="R1357" t="e">
        <f ca="1">BDP("88035MYB Muni","ISSUER_TYPE")</f>
        <v>#NAME?</v>
      </c>
      <c r="S1357" t="e">
        <f ca="1">BDS("88035MYB Muni","ESG_PROJECT_CATEGORY", "aggregate=y")</f>
        <v>#NAME?</v>
      </c>
      <c r="T1357" t="e">
        <f ca="1">BDS("88035MYB Muni","ESG_PROJECT_SUBCATEGORY", "aggregate=y")</f>
        <v>#NAME?</v>
      </c>
    </row>
    <row r="1358" spans="1:20" x14ac:dyDescent="0.25">
      <c r="A1358" t="e">
        <f ca="1">BDP("88035MYC Muni","ID_CUSIP")</f>
        <v>#NAME?</v>
      </c>
      <c r="B1358" t="e">
        <f ca="1">BDP("88035MYC Muni","STATE_CODE")</f>
        <v>#NAME?</v>
      </c>
      <c r="C1358" t="s">
        <v>25</v>
      </c>
      <c r="D1358" t="e">
        <f ca="1">BDP("88035MYC Muni","YIELD_ON_ISSUE_DATE")</f>
        <v>#NAME?</v>
      </c>
      <c r="E1358">
        <v>7505000</v>
      </c>
      <c r="F1358" t="e">
        <f ca="1">BDP("88035MYC Muni","ISSUE_DT")</f>
        <v>#NAME?</v>
      </c>
      <c r="G1358" t="e">
        <f ca="1">BDP("88035MYC Muni","MATURITY")</f>
        <v>#NAME?</v>
      </c>
      <c r="H1358" t="e">
        <f ca="1">BDP("88035MYC Muni","MUNI_TAX_PROV")</f>
        <v>#NAME?</v>
      </c>
      <c r="I1358" t="e">
        <f ca="1">BDP("88035MYC Muni","FINANCING_TYPE")</f>
        <v>#NAME?</v>
      </c>
      <c r="J1358" t="e">
        <f ca="1">BDP("88035MYC Muni","BICS_LEVEL_2_INDUSTRY_GROUP_NAME")</f>
        <v>#NAME?</v>
      </c>
      <c r="K1358" t="e">
        <f ca="1">BDP("88035MYC Muni","SELF_REPRTD_GREEN_INSTR_INDCTR")</f>
        <v>#NAME?</v>
      </c>
      <c r="L1358" t="e">
        <f ca="1">BDP("88035MYC Muni","GB_MANAGEMENT_PROCEEDS")</f>
        <v>#NAME?</v>
      </c>
      <c r="M1358" t="e">
        <f ca="1">BDP("88035MYC Muni","GB_REPORTING")</f>
        <v>#NAME?</v>
      </c>
      <c r="N1358" t="e">
        <f ca="1">BDP("88035MYC Muni","GB_ASSURANCE_PROVIDERS")</f>
        <v>#NAME?</v>
      </c>
      <c r="O1358" t="e">
        <f ca="1">BDP("88035MYC Muni","GB_PROJECT_SELECTION_PROCESS")</f>
        <v>#NAME?</v>
      </c>
      <c r="P1358" t="e">
        <f ca="1">BDP("88035MYC Muni","ESG_FRAMEWORK_INDICATOR")</f>
        <v>#NAME?</v>
      </c>
      <c r="Q1358" t="e">
        <f ca="1">BDP("88035MYC Muni","BLOOMBERG_SECTOR_CODE")</f>
        <v>#NAME?</v>
      </c>
      <c r="R1358" t="e">
        <f ca="1">BDP("88035MYC Muni","ISSUER_TYPE")</f>
        <v>#NAME?</v>
      </c>
      <c r="S1358" t="e">
        <f ca="1">BDS("88035MYC Muni","ESG_PROJECT_CATEGORY", "aggregate=y")</f>
        <v>#NAME?</v>
      </c>
      <c r="T1358" t="e">
        <f ca="1">BDS("88035MYC Muni","ESG_PROJECT_SUBCATEGORY", "aggregate=y")</f>
        <v>#NAME?</v>
      </c>
    </row>
    <row r="1359" spans="1:20" x14ac:dyDescent="0.25">
      <c r="A1359" t="e">
        <f ca="1">BDP("88035PDK Muni","ID_CUSIP")</f>
        <v>#NAME?</v>
      </c>
      <c r="B1359" t="e">
        <f ca="1">BDP("88035PDK Muni","STATE_CODE")</f>
        <v>#NAME?</v>
      </c>
      <c r="C1359" t="s">
        <v>25</v>
      </c>
      <c r="D1359" t="e">
        <f ca="1">BDP("88035PDK Muni","YIELD_ON_ISSUE_DATE")</f>
        <v>#NAME?</v>
      </c>
      <c r="E1359">
        <v>11600000</v>
      </c>
      <c r="F1359" t="e">
        <f ca="1">BDP("88035PDK Muni","ISSUE_DT")</f>
        <v>#NAME?</v>
      </c>
      <c r="G1359" t="e">
        <f ca="1">BDP("88035PDK Muni","MATURITY")</f>
        <v>#NAME?</v>
      </c>
      <c r="H1359" t="e">
        <f ca="1">BDP("88035PDK Muni","MUNI_TAX_PROV")</f>
        <v>#NAME?</v>
      </c>
      <c r="I1359" t="e">
        <f ca="1">BDP("88035PDK Muni","FINANCING_TYPE")</f>
        <v>#NAME?</v>
      </c>
      <c r="J1359" t="e">
        <f ca="1">BDP("88035PDK Muni","BICS_LEVEL_2_INDUSTRY_GROUP_NAME")</f>
        <v>#NAME?</v>
      </c>
      <c r="K1359" t="e">
        <f ca="1">BDP("88035PDK Muni","SELF_REPRTD_GREEN_INSTR_INDCTR")</f>
        <v>#NAME?</v>
      </c>
      <c r="L1359" t="e">
        <f ca="1">BDP("88035PDK Muni","GB_MANAGEMENT_PROCEEDS")</f>
        <v>#NAME?</v>
      </c>
      <c r="M1359" t="e">
        <f ca="1">BDP("88035PDK Muni","GB_REPORTING")</f>
        <v>#NAME?</v>
      </c>
      <c r="N1359" t="e">
        <f ca="1">BDP("88035PDK Muni","GB_ASSURANCE_PROVIDERS")</f>
        <v>#NAME?</v>
      </c>
      <c r="O1359" t="e">
        <f ca="1">BDP("88035PDK Muni","GB_PROJECT_SELECTION_PROCESS")</f>
        <v>#NAME?</v>
      </c>
      <c r="P1359" t="e">
        <f ca="1">BDP("88035PDK Muni","ESG_FRAMEWORK_INDICATOR")</f>
        <v>#NAME?</v>
      </c>
      <c r="Q1359" t="e">
        <f ca="1">BDP("88035PDK Muni","BLOOMBERG_SECTOR_CODE")</f>
        <v>#NAME?</v>
      </c>
      <c r="R1359" t="e">
        <f ca="1">BDP("88035PDK Muni","ISSUER_TYPE")</f>
        <v>#NAME?</v>
      </c>
      <c r="S1359" t="e">
        <f ca="1">BDS("88035PDK Muni","ESG_PROJECT_CATEGORY", "aggregate=y")</f>
        <v>#NAME?</v>
      </c>
      <c r="T1359" t="e">
        <f ca="1">BDS("88035PDK Muni","ESG_PROJECT_SUBCATEGORY", "aggregate=y")</f>
        <v>#NAME?</v>
      </c>
    </row>
    <row r="1360" spans="1:20" x14ac:dyDescent="0.25">
      <c r="A1360" t="e">
        <f ca="1">BDP("88035PDL Muni","ID_CUSIP")</f>
        <v>#NAME?</v>
      </c>
      <c r="B1360" t="e">
        <f ca="1">BDP("88035PDL Muni","STATE_CODE")</f>
        <v>#NAME?</v>
      </c>
      <c r="C1360" t="s">
        <v>25</v>
      </c>
      <c r="D1360" t="e">
        <f ca="1">BDP("88035PDL Muni","YIELD_ON_ISSUE_DATE")</f>
        <v>#NAME?</v>
      </c>
      <c r="E1360">
        <v>5805000</v>
      </c>
      <c r="F1360" t="e">
        <f ca="1">BDP("88035PDL Muni","ISSUE_DT")</f>
        <v>#NAME?</v>
      </c>
      <c r="G1360" t="e">
        <f ca="1">BDP("88035PDL Muni","MATURITY")</f>
        <v>#NAME?</v>
      </c>
      <c r="H1360" t="e">
        <f ca="1">BDP("88035PDL Muni","MUNI_TAX_PROV")</f>
        <v>#NAME?</v>
      </c>
      <c r="I1360" t="e">
        <f ca="1">BDP("88035PDL Muni","FINANCING_TYPE")</f>
        <v>#NAME?</v>
      </c>
      <c r="J1360" t="e">
        <f ca="1">BDP("88035PDL Muni","BICS_LEVEL_2_INDUSTRY_GROUP_NAME")</f>
        <v>#NAME?</v>
      </c>
      <c r="K1360" t="e">
        <f ca="1">BDP("88035PDL Muni","SELF_REPRTD_GREEN_INSTR_INDCTR")</f>
        <v>#NAME?</v>
      </c>
      <c r="L1360" t="e">
        <f ca="1">BDP("88035PDL Muni","GB_MANAGEMENT_PROCEEDS")</f>
        <v>#NAME?</v>
      </c>
      <c r="M1360" t="e">
        <f ca="1">BDP("88035PDL Muni","GB_REPORTING")</f>
        <v>#NAME?</v>
      </c>
      <c r="N1360" t="e">
        <f ca="1">BDP("88035PDL Muni","GB_ASSURANCE_PROVIDERS")</f>
        <v>#NAME?</v>
      </c>
      <c r="O1360" t="e">
        <f ca="1">BDP("88035PDL Muni","GB_PROJECT_SELECTION_PROCESS")</f>
        <v>#NAME?</v>
      </c>
      <c r="P1360" t="e">
        <f ca="1">BDP("88035PDL Muni","ESG_FRAMEWORK_INDICATOR")</f>
        <v>#NAME?</v>
      </c>
      <c r="Q1360" t="e">
        <f ca="1">BDP("88035PDL Muni","BLOOMBERG_SECTOR_CODE")</f>
        <v>#NAME?</v>
      </c>
      <c r="R1360" t="e">
        <f ca="1">BDP("88035PDL Muni","ISSUER_TYPE")</f>
        <v>#NAME?</v>
      </c>
      <c r="S1360" t="e">
        <f ca="1">BDS("88035PDL Muni","ESG_PROJECT_CATEGORY", "aggregate=y")</f>
        <v>#NAME?</v>
      </c>
      <c r="T1360" t="e">
        <f ca="1">BDS("88035PDL Muni","ESG_PROJECT_SUBCATEGORY", "aggregate=y")</f>
        <v>#NAME?</v>
      </c>
    </row>
    <row r="1361" spans="1:20" x14ac:dyDescent="0.25">
      <c r="A1361" t="e">
        <f ca="1">BDP("88035PLQ Muni","ID_CUSIP")</f>
        <v>#NAME?</v>
      </c>
      <c r="B1361" t="e">
        <f ca="1">BDP("88035PLQ Muni","STATE_CODE")</f>
        <v>#NAME?</v>
      </c>
      <c r="C1361" t="s">
        <v>25</v>
      </c>
      <c r="D1361" t="e">
        <f ca="1">BDP("88035PLQ Muni","YIELD_ON_ISSUE_DATE")</f>
        <v>#NAME?</v>
      </c>
      <c r="E1361">
        <v>3200000</v>
      </c>
      <c r="F1361" t="e">
        <f ca="1">BDP("88035PLQ Muni","ISSUE_DT")</f>
        <v>#NAME?</v>
      </c>
      <c r="G1361" t="e">
        <f ca="1">BDP("88035PLQ Muni","MATURITY")</f>
        <v>#NAME?</v>
      </c>
      <c r="H1361" t="e">
        <f ca="1">BDP("88035PLQ Muni","MUNI_TAX_PROV")</f>
        <v>#NAME?</v>
      </c>
      <c r="I1361" t="e">
        <f ca="1">BDP("88035PLQ Muni","FINANCING_TYPE")</f>
        <v>#NAME?</v>
      </c>
      <c r="J1361" t="e">
        <f ca="1">BDP("88035PLQ Muni","BICS_LEVEL_2_INDUSTRY_GROUP_NAME")</f>
        <v>#NAME?</v>
      </c>
      <c r="K1361" t="e">
        <f ca="1">BDP("88035PLQ Muni","SELF_REPRTD_GREEN_INSTR_INDCTR")</f>
        <v>#NAME?</v>
      </c>
      <c r="L1361" t="e">
        <f ca="1">BDP("88035PLQ Muni","GB_MANAGEMENT_PROCEEDS")</f>
        <v>#NAME?</v>
      </c>
      <c r="M1361" t="e">
        <f ca="1">BDP("88035PLQ Muni","GB_REPORTING")</f>
        <v>#NAME?</v>
      </c>
      <c r="N1361" t="e">
        <f ca="1">BDP("88035PLQ Muni","GB_ASSURANCE_PROVIDERS")</f>
        <v>#NAME?</v>
      </c>
      <c r="O1361" t="e">
        <f ca="1">BDP("88035PLQ Muni","GB_PROJECT_SELECTION_PROCESS")</f>
        <v>#NAME?</v>
      </c>
      <c r="P1361" t="e">
        <f ca="1">BDP("88035PLQ Muni","ESG_FRAMEWORK_INDICATOR")</f>
        <v>#NAME?</v>
      </c>
      <c r="Q1361" t="e">
        <f ca="1">BDP("88035PLQ Muni","BLOOMBERG_SECTOR_CODE")</f>
        <v>#NAME?</v>
      </c>
      <c r="R1361" t="e">
        <f ca="1">BDP("88035PLQ Muni","ISSUER_TYPE")</f>
        <v>#NAME?</v>
      </c>
      <c r="S1361" t="e">
        <f ca="1">BDS("88035PLQ Muni","ESG_PROJECT_CATEGORY", "aggregate=y")</f>
        <v>#NAME?</v>
      </c>
      <c r="T1361" t="e">
        <f ca="1">BDS("88035PLQ Muni","ESG_PROJECT_SUBCATEGORY", "aggregate=y")</f>
        <v>#NAME?</v>
      </c>
    </row>
    <row r="1362" spans="1:20" x14ac:dyDescent="0.25">
      <c r="A1362" t="e">
        <f ca="1">BDP("88035PLR Muni","ID_CUSIP")</f>
        <v>#NAME?</v>
      </c>
      <c r="B1362" t="e">
        <f ca="1">BDP("88035PLR Muni","STATE_CODE")</f>
        <v>#NAME?</v>
      </c>
      <c r="C1362" t="s">
        <v>25</v>
      </c>
      <c r="D1362" t="e">
        <f ca="1">BDP("88035PLR Muni","YIELD_ON_ISSUE_DATE")</f>
        <v>#NAME?</v>
      </c>
      <c r="E1362">
        <v>16000000</v>
      </c>
      <c r="F1362" t="e">
        <f ca="1">BDP("88035PLR Muni","ISSUE_DT")</f>
        <v>#NAME?</v>
      </c>
      <c r="G1362" t="e">
        <f ca="1">BDP("88035PLR Muni","MATURITY")</f>
        <v>#NAME?</v>
      </c>
      <c r="H1362" t="e">
        <f ca="1">BDP("88035PLR Muni","MUNI_TAX_PROV")</f>
        <v>#NAME?</v>
      </c>
      <c r="I1362" t="e">
        <f ca="1">BDP("88035PLR Muni","FINANCING_TYPE")</f>
        <v>#NAME?</v>
      </c>
      <c r="J1362" t="e">
        <f ca="1">BDP("88035PLR Muni","BICS_LEVEL_2_INDUSTRY_GROUP_NAME")</f>
        <v>#NAME?</v>
      </c>
      <c r="K1362" t="e">
        <f ca="1">BDP("88035PLR Muni","SELF_REPRTD_GREEN_INSTR_INDCTR")</f>
        <v>#NAME?</v>
      </c>
      <c r="L1362" t="e">
        <f ca="1">BDP("88035PLR Muni","GB_MANAGEMENT_PROCEEDS")</f>
        <v>#NAME?</v>
      </c>
      <c r="M1362" t="e">
        <f ca="1">BDP("88035PLR Muni","GB_REPORTING")</f>
        <v>#NAME?</v>
      </c>
      <c r="N1362" t="e">
        <f ca="1">BDP("88035PLR Muni","GB_ASSURANCE_PROVIDERS")</f>
        <v>#NAME?</v>
      </c>
      <c r="O1362" t="e">
        <f ca="1">BDP("88035PLR Muni","GB_PROJECT_SELECTION_PROCESS")</f>
        <v>#NAME?</v>
      </c>
      <c r="P1362" t="e">
        <f ca="1">BDP("88035PLR Muni","ESG_FRAMEWORK_INDICATOR")</f>
        <v>#NAME?</v>
      </c>
      <c r="Q1362" t="e">
        <f ca="1">BDP("88035PLR Muni","BLOOMBERG_SECTOR_CODE")</f>
        <v>#NAME?</v>
      </c>
      <c r="R1362" t="e">
        <f ca="1">BDP("88035PLR Muni","ISSUER_TYPE")</f>
        <v>#NAME?</v>
      </c>
      <c r="S1362" t="e">
        <f ca="1">BDS("88035PLR Muni","ESG_PROJECT_CATEGORY", "aggregate=y")</f>
        <v>#NAME?</v>
      </c>
      <c r="T1362" t="e">
        <f ca="1">BDS("88035PLR Muni","ESG_PROJECT_SUBCATEGORY", "aggregate=y")</f>
        <v>#NAME?</v>
      </c>
    </row>
    <row r="1363" spans="1:20" x14ac:dyDescent="0.25">
      <c r="A1363" t="e">
        <f ca="1">BDP("88035PS2 Muni","ID_CUSIP")</f>
        <v>#NAME?</v>
      </c>
      <c r="B1363" t="e">
        <f ca="1">BDP("88035PS2 Muni","STATE_CODE")</f>
        <v>#NAME?</v>
      </c>
      <c r="C1363" t="s">
        <v>25</v>
      </c>
      <c r="D1363" t="e">
        <f ca="1">BDP("88035PS2 Muni","YIELD_ON_ISSUE_DATE")</f>
        <v>#NAME?</v>
      </c>
      <c r="E1363">
        <v>15000000</v>
      </c>
      <c r="F1363" t="e">
        <f ca="1">BDP("88035PS2 Muni","ISSUE_DT")</f>
        <v>#NAME?</v>
      </c>
      <c r="G1363" t="e">
        <f ca="1">BDP("88035PS2 Muni","MATURITY")</f>
        <v>#NAME?</v>
      </c>
      <c r="H1363" t="e">
        <f ca="1">BDP("88035PS2 Muni","MUNI_TAX_PROV")</f>
        <v>#NAME?</v>
      </c>
      <c r="I1363" t="e">
        <f ca="1">BDP("88035PS2 Muni","FINANCING_TYPE")</f>
        <v>#NAME?</v>
      </c>
      <c r="J1363" t="e">
        <f ca="1">BDP("88035PS2 Muni","BICS_LEVEL_2_INDUSTRY_GROUP_NAME")</f>
        <v>#NAME?</v>
      </c>
      <c r="K1363" t="e">
        <f ca="1">BDP("88035PS2 Muni","SELF_REPRTD_GREEN_INSTR_INDCTR")</f>
        <v>#NAME?</v>
      </c>
      <c r="L1363" t="e">
        <f ca="1">BDP("88035PS2 Muni","GB_MANAGEMENT_PROCEEDS")</f>
        <v>#NAME?</v>
      </c>
      <c r="M1363" t="e">
        <f ca="1">BDP("88035PS2 Muni","GB_REPORTING")</f>
        <v>#NAME?</v>
      </c>
      <c r="N1363" t="e">
        <f ca="1">BDP("88035PS2 Muni","GB_ASSURANCE_PROVIDERS")</f>
        <v>#NAME?</v>
      </c>
      <c r="O1363" t="e">
        <f ca="1">BDP("88035PS2 Muni","GB_PROJECT_SELECTION_PROCESS")</f>
        <v>#NAME?</v>
      </c>
      <c r="P1363" t="e">
        <f ca="1">BDP("88035PS2 Muni","ESG_FRAMEWORK_INDICATOR")</f>
        <v>#NAME?</v>
      </c>
      <c r="Q1363" t="e">
        <f ca="1">BDP("88035PS2 Muni","BLOOMBERG_SECTOR_CODE")</f>
        <v>#NAME?</v>
      </c>
      <c r="R1363" t="e">
        <f ca="1">BDP("88035PS2 Muni","ISSUER_TYPE")</f>
        <v>#NAME?</v>
      </c>
      <c r="S1363" t="e">
        <f ca="1">BDS("88035PS2 Muni","ESG_PROJECT_CATEGORY", "aggregate=y")</f>
        <v>#NAME?</v>
      </c>
      <c r="T1363" t="e">
        <f ca="1">BDS("88035PS2 Muni","ESG_PROJECT_SUBCATEGORY", "aggregate=y")</f>
        <v>#NAME?</v>
      </c>
    </row>
    <row r="1364" spans="1:20" x14ac:dyDescent="0.25">
      <c r="A1364" t="e">
        <f ca="1">BDP("88035PS3 Muni","ID_CUSIP")</f>
        <v>#NAME?</v>
      </c>
      <c r="B1364" t="e">
        <f ca="1">BDP("88035PS3 Muni","STATE_CODE")</f>
        <v>#NAME?</v>
      </c>
      <c r="C1364" t="s">
        <v>25</v>
      </c>
      <c r="D1364" t="e">
        <f ca="1">BDP("88035PS3 Muni","YIELD_ON_ISSUE_DATE")</f>
        <v>#NAME?</v>
      </c>
      <c r="E1364">
        <v>5005000</v>
      </c>
      <c r="F1364" t="e">
        <f ca="1">BDP("88035PS3 Muni","ISSUE_DT")</f>
        <v>#NAME?</v>
      </c>
      <c r="G1364" t="e">
        <f ca="1">BDP("88035PS3 Muni","MATURITY")</f>
        <v>#NAME?</v>
      </c>
      <c r="H1364" t="e">
        <f ca="1">BDP("88035PS3 Muni","MUNI_TAX_PROV")</f>
        <v>#NAME?</v>
      </c>
      <c r="I1364" t="e">
        <f ca="1">BDP("88035PS3 Muni","FINANCING_TYPE")</f>
        <v>#NAME?</v>
      </c>
      <c r="J1364" t="e">
        <f ca="1">BDP("88035PS3 Muni","BICS_LEVEL_2_INDUSTRY_GROUP_NAME")</f>
        <v>#NAME?</v>
      </c>
      <c r="K1364" t="e">
        <f ca="1">BDP("88035PS3 Muni","SELF_REPRTD_GREEN_INSTR_INDCTR")</f>
        <v>#NAME?</v>
      </c>
      <c r="L1364" t="e">
        <f ca="1">BDP("88035PS3 Muni","GB_MANAGEMENT_PROCEEDS")</f>
        <v>#NAME?</v>
      </c>
      <c r="M1364" t="e">
        <f ca="1">BDP("88035PS3 Muni","GB_REPORTING")</f>
        <v>#NAME?</v>
      </c>
      <c r="N1364" t="e">
        <f ca="1">BDP("88035PS3 Muni","GB_ASSURANCE_PROVIDERS")</f>
        <v>#NAME?</v>
      </c>
      <c r="O1364" t="e">
        <f ca="1">BDP("88035PS3 Muni","GB_PROJECT_SELECTION_PROCESS")</f>
        <v>#NAME?</v>
      </c>
      <c r="P1364" t="e">
        <f ca="1">BDP("88035PS3 Muni","ESG_FRAMEWORK_INDICATOR")</f>
        <v>#NAME?</v>
      </c>
      <c r="Q1364" t="e">
        <f ca="1">BDP("88035PS3 Muni","BLOOMBERG_SECTOR_CODE")</f>
        <v>#NAME?</v>
      </c>
      <c r="R1364" t="e">
        <f ca="1">BDP("88035PS3 Muni","ISSUER_TYPE")</f>
        <v>#NAME?</v>
      </c>
      <c r="S1364" t="e">
        <f ca="1">BDS("88035PS3 Muni","ESG_PROJECT_CATEGORY", "aggregate=y")</f>
        <v>#NAME?</v>
      </c>
      <c r="T1364" t="e">
        <f ca="1">BDS("88035PS3 Muni","ESG_PROJECT_SUBCATEGORY", "aggregate=y")</f>
        <v>#NAME?</v>
      </c>
    </row>
    <row r="1365" spans="1:20" x14ac:dyDescent="0.25">
      <c r="A1365" t="e">
        <f ca="1">BDP("88035PW4 Muni","ID_CUSIP")</f>
        <v>#NAME?</v>
      </c>
      <c r="B1365" t="e">
        <f ca="1">BDP("88035PW4 Muni","STATE_CODE")</f>
        <v>#NAME?</v>
      </c>
      <c r="C1365" t="s">
        <v>25</v>
      </c>
      <c r="D1365" t="e">
        <f ca="1">BDP("88035PW4 Muni","YIELD_ON_ISSUE_DATE")</f>
        <v>#NAME?</v>
      </c>
      <c r="E1365">
        <v>4375000</v>
      </c>
      <c r="F1365" t="e">
        <f ca="1">BDP("88035PW4 Muni","ISSUE_DT")</f>
        <v>#NAME?</v>
      </c>
      <c r="G1365" t="e">
        <f ca="1">BDP("88035PW4 Muni","MATURITY")</f>
        <v>#NAME?</v>
      </c>
      <c r="H1365" t="e">
        <f ca="1">BDP("88035PW4 Muni","MUNI_TAX_PROV")</f>
        <v>#NAME?</v>
      </c>
      <c r="I1365" t="e">
        <f ca="1">BDP("88035PW4 Muni","FINANCING_TYPE")</f>
        <v>#NAME?</v>
      </c>
      <c r="J1365" t="e">
        <f ca="1">BDP("88035PW4 Muni","BICS_LEVEL_2_INDUSTRY_GROUP_NAME")</f>
        <v>#NAME?</v>
      </c>
      <c r="K1365" t="e">
        <f ca="1">BDP("88035PW4 Muni","SELF_REPRTD_GREEN_INSTR_INDCTR")</f>
        <v>#NAME?</v>
      </c>
      <c r="L1365" t="e">
        <f ca="1">BDP("88035PW4 Muni","GB_MANAGEMENT_PROCEEDS")</f>
        <v>#NAME?</v>
      </c>
      <c r="M1365" t="e">
        <f ca="1">BDP("88035PW4 Muni","GB_REPORTING")</f>
        <v>#NAME?</v>
      </c>
      <c r="N1365" t="e">
        <f ca="1">BDP("88035PW4 Muni","GB_ASSURANCE_PROVIDERS")</f>
        <v>#NAME?</v>
      </c>
      <c r="O1365" t="e">
        <f ca="1">BDP("88035PW4 Muni","GB_PROJECT_SELECTION_PROCESS")</f>
        <v>#NAME?</v>
      </c>
      <c r="P1365" t="e">
        <f ca="1">BDP("88035PW4 Muni","ESG_FRAMEWORK_INDICATOR")</f>
        <v>#NAME?</v>
      </c>
      <c r="Q1365" t="e">
        <f ca="1">BDP("88035PW4 Muni","BLOOMBERG_SECTOR_CODE")</f>
        <v>#NAME?</v>
      </c>
      <c r="R1365" t="e">
        <f ca="1">BDP("88035PW4 Muni","ISSUER_TYPE")</f>
        <v>#NAME?</v>
      </c>
      <c r="S1365" t="e">
        <f ca="1">BDS("88035PW4 Muni","ESG_PROJECT_CATEGORY", "aggregate=y")</f>
        <v>#NAME?</v>
      </c>
      <c r="T1365" t="e">
        <f ca="1">BDS("88035PW4 Muni","ESG_PROJECT_SUBCATEGORY", "aggregate=y")</f>
        <v>#NAME?</v>
      </c>
    </row>
    <row r="1366" spans="1:20" x14ac:dyDescent="0.25">
      <c r="A1366" t="e">
        <f ca="1">BDP("88035R4S Muni","ID_CUSIP")</f>
        <v>#NAME?</v>
      </c>
      <c r="B1366" t="e">
        <f ca="1">BDP("88035R4S Muni","STATE_CODE")</f>
        <v>#NAME?</v>
      </c>
      <c r="C1366" t="s">
        <v>25</v>
      </c>
      <c r="D1366" t="e">
        <f ca="1">BDP("88035R4S Muni","YIELD_ON_ISSUE_DATE")</f>
        <v>#NAME?</v>
      </c>
      <c r="E1366">
        <v>1400000</v>
      </c>
      <c r="F1366" t="e">
        <f ca="1">BDP("88035R4S Muni","ISSUE_DT")</f>
        <v>#NAME?</v>
      </c>
      <c r="G1366" t="e">
        <f ca="1">BDP("88035R4S Muni","MATURITY")</f>
        <v>#NAME?</v>
      </c>
      <c r="H1366" t="e">
        <f ca="1">BDP("88035R4S Muni","MUNI_TAX_PROV")</f>
        <v>#NAME?</v>
      </c>
      <c r="I1366" t="e">
        <f ca="1">BDP("88035R4S Muni","FINANCING_TYPE")</f>
        <v>#NAME?</v>
      </c>
      <c r="J1366" t="e">
        <f ca="1">BDP("88035R4S Muni","BICS_LEVEL_2_INDUSTRY_GROUP_NAME")</f>
        <v>#NAME?</v>
      </c>
      <c r="K1366" t="e">
        <f ca="1">BDP("88035R4S Muni","SELF_REPRTD_GREEN_INSTR_INDCTR")</f>
        <v>#NAME?</v>
      </c>
      <c r="L1366" t="e">
        <f ca="1">BDP("88035R4S Muni","GB_MANAGEMENT_PROCEEDS")</f>
        <v>#NAME?</v>
      </c>
      <c r="M1366" t="e">
        <f ca="1">BDP("88035R4S Muni","GB_REPORTING")</f>
        <v>#NAME?</v>
      </c>
      <c r="N1366" t="e">
        <f ca="1">BDP("88035R4S Muni","GB_ASSURANCE_PROVIDERS")</f>
        <v>#NAME?</v>
      </c>
      <c r="O1366" t="e">
        <f ca="1">BDP("88035R4S Muni","GB_PROJECT_SELECTION_PROCESS")</f>
        <v>#NAME?</v>
      </c>
      <c r="P1366" t="e">
        <f ca="1">BDP("88035R4S Muni","ESG_FRAMEWORK_INDICATOR")</f>
        <v>#NAME?</v>
      </c>
      <c r="Q1366" t="e">
        <f ca="1">BDP("88035R4S Muni","BLOOMBERG_SECTOR_CODE")</f>
        <v>#NAME?</v>
      </c>
      <c r="R1366" t="e">
        <f ca="1">BDP("88035R4S Muni","ISSUER_TYPE")</f>
        <v>#NAME?</v>
      </c>
      <c r="S1366" t="e">
        <f ca="1">BDS("88035R4S Muni","ESG_PROJECT_CATEGORY", "aggregate=y")</f>
        <v>#NAME?</v>
      </c>
      <c r="T1366" t="e">
        <f ca="1">BDS("88035R4S Muni","ESG_PROJECT_SUBCATEGORY", "aggregate=y")</f>
        <v>#NAME?</v>
      </c>
    </row>
    <row r="1367" spans="1:20" x14ac:dyDescent="0.25">
      <c r="A1367" t="e">
        <f ca="1">BDP("88035RED Muni","ID_CUSIP")</f>
        <v>#NAME?</v>
      </c>
      <c r="B1367" t="e">
        <f ca="1">BDP("88035RED Muni","STATE_CODE")</f>
        <v>#NAME?</v>
      </c>
      <c r="C1367" t="s">
        <v>25</v>
      </c>
      <c r="D1367" t="e">
        <f ca="1">BDP("88035RED Muni","YIELD_ON_ISSUE_DATE")</f>
        <v>#NAME?</v>
      </c>
      <c r="E1367">
        <v>2450000</v>
      </c>
      <c r="F1367" t="e">
        <f ca="1">BDP("88035RED Muni","ISSUE_DT")</f>
        <v>#NAME?</v>
      </c>
      <c r="G1367" t="e">
        <f ca="1">BDP("88035RED Muni","MATURITY")</f>
        <v>#NAME?</v>
      </c>
      <c r="H1367" t="e">
        <f ca="1">BDP("88035RED Muni","MUNI_TAX_PROV")</f>
        <v>#NAME?</v>
      </c>
      <c r="I1367" t="e">
        <f ca="1">BDP("88035RED Muni","FINANCING_TYPE")</f>
        <v>#NAME?</v>
      </c>
      <c r="J1367" t="e">
        <f ca="1">BDP("88035RED Muni","BICS_LEVEL_2_INDUSTRY_GROUP_NAME")</f>
        <v>#NAME?</v>
      </c>
      <c r="K1367" t="e">
        <f ca="1">BDP("88035RED Muni","SELF_REPRTD_GREEN_INSTR_INDCTR")</f>
        <v>#NAME?</v>
      </c>
      <c r="L1367" t="e">
        <f ca="1">BDP("88035RED Muni","GB_MANAGEMENT_PROCEEDS")</f>
        <v>#NAME?</v>
      </c>
      <c r="M1367" t="e">
        <f ca="1">BDP("88035RED Muni","GB_REPORTING")</f>
        <v>#NAME?</v>
      </c>
      <c r="N1367" t="e">
        <f ca="1">BDP("88035RED Muni","GB_ASSURANCE_PROVIDERS")</f>
        <v>#NAME?</v>
      </c>
      <c r="O1367" t="e">
        <f ca="1">BDP("88035RED Muni","GB_PROJECT_SELECTION_PROCESS")</f>
        <v>#NAME?</v>
      </c>
      <c r="P1367" t="e">
        <f ca="1">BDP("88035RED Muni","ESG_FRAMEWORK_INDICATOR")</f>
        <v>#NAME?</v>
      </c>
      <c r="Q1367" t="e">
        <f ca="1">BDP("88035RED Muni","BLOOMBERG_SECTOR_CODE")</f>
        <v>#NAME?</v>
      </c>
      <c r="R1367" t="e">
        <f ca="1">BDP("88035RED Muni","ISSUER_TYPE")</f>
        <v>#NAME?</v>
      </c>
      <c r="S1367" t="e">
        <f ca="1">BDS("88035RED Muni","ESG_PROJECT_CATEGORY", "aggregate=y")</f>
        <v>#NAME?</v>
      </c>
      <c r="T1367" t="e">
        <f ca="1">BDS("88035RED Muni","ESG_PROJECT_SUBCATEGORY", "aggregate=y")</f>
        <v>#NAME?</v>
      </c>
    </row>
    <row r="1368" spans="1:20" x14ac:dyDescent="0.25">
      <c r="A1368" t="e">
        <f ca="1">BDP("88035REE Muni","ID_CUSIP")</f>
        <v>#NAME?</v>
      </c>
      <c r="B1368" t="e">
        <f ca="1">BDP("88035REE Muni","STATE_CODE")</f>
        <v>#NAME?</v>
      </c>
      <c r="C1368" t="s">
        <v>25</v>
      </c>
      <c r="D1368" t="e">
        <f ca="1">BDP("88035REE Muni","YIELD_ON_ISSUE_DATE")</f>
        <v>#NAME?</v>
      </c>
      <c r="E1368">
        <v>2450000</v>
      </c>
      <c r="F1368" t="e">
        <f ca="1">BDP("88035REE Muni","ISSUE_DT")</f>
        <v>#NAME?</v>
      </c>
      <c r="G1368" t="e">
        <f ca="1">BDP("88035REE Muni","MATURITY")</f>
        <v>#NAME?</v>
      </c>
      <c r="H1368" t="e">
        <f ca="1">BDP("88035REE Muni","MUNI_TAX_PROV")</f>
        <v>#NAME?</v>
      </c>
      <c r="I1368" t="e">
        <f ca="1">BDP("88035REE Muni","FINANCING_TYPE")</f>
        <v>#NAME?</v>
      </c>
      <c r="J1368" t="e">
        <f ca="1">BDP("88035REE Muni","BICS_LEVEL_2_INDUSTRY_GROUP_NAME")</f>
        <v>#NAME?</v>
      </c>
      <c r="K1368" t="e">
        <f ca="1">BDP("88035REE Muni","SELF_REPRTD_GREEN_INSTR_INDCTR")</f>
        <v>#NAME?</v>
      </c>
      <c r="L1368" t="e">
        <f ca="1">BDP("88035REE Muni","GB_MANAGEMENT_PROCEEDS")</f>
        <v>#NAME?</v>
      </c>
      <c r="M1368" t="e">
        <f ca="1">BDP("88035REE Muni","GB_REPORTING")</f>
        <v>#NAME?</v>
      </c>
      <c r="N1368" t="e">
        <f ca="1">BDP("88035REE Muni","GB_ASSURANCE_PROVIDERS")</f>
        <v>#NAME?</v>
      </c>
      <c r="O1368" t="e">
        <f ca="1">BDP("88035REE Muni","GB_PROJECT_SELECTION_PROCESS")</f>
        <v>#NAME?</v>
      </c>
      <c r="P1368" t="e">
        <f ca="1">BDP("88035REE Muni","ESG_FRAMEWORK_INDICATOR")</f>
        <v>#NAME?</v>
      </c>
      <c r="Q1368" t="e">
        <f ca="1">BDP("88035REE Muni","BLOOMBERG_SECTOR_CODE")</f>
        <v>#NAME?</v>
      </c>
      <c r="R1368" t="e">
        <f ca="1">BDP("88035REE Muni","ISSUER_TYPE")</f>
        <v>#NAME?</v>
      </c>
      <c r="S1368" t="e">
        <f ca="1">BDS("88035REE Muni","ESG_PROJECT_CATEGORY", "aggregate=y")</f>
        <v>#NAME?</v>
      </c>
      <c r="T1368" t="e">
        <f ca="1">BDS("88035REE Muni","ESG_PROJECT_SUBCATEGORY", "aggregate=y")</f>
        <v>#NAME?</v>
      </c>
    </row>
    <row r="1369" spans="1:20" x14ac:dyDescent="0.25">
      <c r="A1369" t="e">
        <f ca="1">BDP("88035REF Muni","ID_CUSIP")</f>
        <v>#NAME?</v>
      </c>
      <c r="B1369" t="e">
        <f ca="1">BDP("88035REF Muni","STATE_CODE")</f>
        <v>#NAME?</v>
      </c>
      <c r="C1369" t="s">
        <v>25</v>
      </c>
      <c r="D1369" t="e">
        <f ca="1">BDP("88035REF Muni","YIELD_ON_ISSUE_DATE")</f>
        <v>#NAME?</v>
      </c>
      <c r="E1369">
        <v>1505000</v>
      </c>
      <c r="F1369" t="e">
        <f ca="1">BDP("88035REF Muni","ISSUE_DT")</f>
        <v>#NAME?</v>
      </c>
      <c r="G1369" t="e">
        <f ca="1">BDP("88035REF Muni","MATURITY")</f>
        <v>#NAME?</v>
      </c>
      <c r="H1369" t="e">
        <f ca="1">BDP("88035REF Muni","MUNI_TAX_PROV")</f>
        <v>#NAME?</v>
      </c>
      <c r="I1369" t="e">
        <f ca="1">BDP("88035REF Muni","FINANCING_TYPE")</f>
        <v>#NAME?</v>
      </c>
      <c r="J1369" t="e">
        <f ca="1">BDP("88035REF Muni","BICS_LEVEL_2_INDUSTRY_GROUP_NAME")</f>
        <v>#NAME?</v>
      </c>
      <c r="K1369" t="e">
        <f ca="1">BDP("88035REF Muni","SELF_REPRTD_GREEN_INSTR_INDCTR")</f>
        <v>#NAME?</v>
      </c>
      <c r="L1369" t="e">
        <f ca="1">BDP("88035REF Muni","GB_MANAGEMENT_PROCEEDS")</f>
        <v>#NAME?</v>
      </c>
      <c r="M1369" t="e">
        <f ca="1">BDP("88035REF Muni","GB_REPORTING")</f>
        <v>#NAME?</v>
      </c>
      <c r="N1369" t="e">
        <f ca="1">BDP("88035REF Muni","GB_ASSURANCE_PROVIDERS")</f>
        <v>#NAME?</v>
      </c>
      <c r="O1369" t="e">
        <f ca="1">BDP("88035REF Muni","GB_PROJECT_SELECTION_PROCESS")</f>
        <v>#NAME?</v>
      </c>
      <c r="P1369" t="e">
        <f ca="1">BDP("88035REF Muni","ESG_FRAMEWORK_INDICATOR")</f>
        <v>#NAME?</v>
      </c>
      <c r="Q1369" t="e">
        <f ca="1">BDP("88035REF Muni","BLOOMBERG_SECTOR_CODE")</f>
        <v>#NAME?</v>
      </c>
      <c r="R1369" t="e">
        <f ca="1">BDP("88035REF Muni","ISSUER_TYPE")</f>
        <v>#NAME?</v>
      </c>
      <c r="S1369" t="e">
        <f ca="1">BDS("88035REF Muni","ESG_PROJECT_CATEGORY", "aggregate=y")</f>
        <v>#NAME?</v>
      </c>
      <c r="T1369" t="e">
        <f ca="1">BDS("88035REF Muni","ESG_PROJECT_SUBCATEGORY", "aggregate=y")</f>
        <v>#NAME?</v>
      </c>
    </row>
    <row r="1370" spans="1:20" x14ac:dyDescent="0.25">
      <c r="A1370" t="e">
        <f ca="1">BDP("88035REG Muni","ID_CUSIP")</f>
        <v>#NAME?</v>
      </c>
      <c r="B1370" t="e">
        <f ca="1">BDP("88035REG Muni","STATE_CODE")</f>
        <v>#NAME?</v>
      </c>
      <c r="C1370" t="s">
        <v>25</v>
      </c>
      <c r="D1370" t="e">
        <f ca="1">BDP("88035REG Muni","YIELD_ON_ISSUE_DATE")</f>
        <v>#NAME?</v>
      </c>
      <c r="E1370">
        <v>12235000</v>
      </c>
      <c r="F1370" t="e">
        <f ca="1">BDP("88035REG Muni","ISSUE_DT")</f>
        <v>#NAME?</v>
      </c>
      <c r="G1370" t="e">
        <f ca="1">BDP("88035REG Muni","MATURITY")</f>
        <v>#NAME?</v>
      </c>
      <c r="H1370" t="e">
        <f ca="1">BDP("88035REG Muni","MUNI_TAX_PROV")</f>
        <v>#NAME?</v>
      </c>
      <c r="I1370" t="e">
        <f ca="1">BDP("88035REG Muni","FINANCING_TYPE")</f>
        <v>#NAME?</v>
      </c>
      <c r="J1370" t="e">
        <f ca="1">BDP("88035REG Muni","BICS_LEVEL_2_INDUSTRY_GROUP_NAME")</f>
        <v>#NAME?</v>
      </c>
      <c r="K1370" t="e">
        <f ca="1">BDP("88035REG Muni","SELF_REPRTD_GREEN_INSTR_INDCTR")</f>
        <v>#NAME?</v>
      </c>
      <c r="L1370" t="e">
        <f ca="1">BDP("88035REG Muni","GB_MANAGEMENT_PROCEEDS")</f>
        <v>#NAME?</v>
      </c>
      <c r="M1370" t="e">
        <f ca="1">BDP("88035REG Muni","GB_REPORTING")</f>
        <v>#NAME?</v>
      </c>
      <c r="N1370" t="e">
        <f ca="1">BDP("88035REG Muni","GB_ASSURANCE_PROVIDERS")</f>
        <v>#NAME?</v>
      </c>
      <c r="O1370" t="e">
        <f ca="1">BDP("88035REG Muni","GB_PROJECT_SELECTION_PROCESS")</f>
        <v>#NAME?</v>
      </c>
      <c r="P1370" t="e">
        <f ca="1">BDP("88035REG Muni","ESG_FRAMEWORK_INDICATOR")</f>
        <v>#NAME?</v>
      </c>
      <c r="Q1370" t="e">
        <f ca="1">BDP("88035REG Muni","BLOOMBERG_SECTOR_CODE")</f>
        <v>#NAME?</v>
      </c>
      <c r="R1370" t="e">
        <f ca="1">BDP("88035REG Muni","ISSUER_TYPE")</f>
        <v>#NAME?</v>
      </c>
      <c r="S1370" t="e">
        <f ca="1">BDS("88035REG Muni","ESG_PROJECT_CATEGORY", "aggregate=y")</f>
        <v>#NAME?</v>
      </c>
      <c r="T1370" t="e">
        <f ca="1">BDS("88035REG Muni","ESG_PROJECT_SUBCATEGORY", "aggregate=y")</f>
        <v>#NAME?</v>
      </c>
    </row>
    <row r="1371" spans="1:20" x14ac:dyDescent="0.25">
      <c r="A1371" t="e">
        <f ca="1">BDP("88035REH Muni","ID_CUSIP")</f>
        <v>#NAME?</v>
      </c>
      <c r="B1371" t="e">
        <f ca="1">BDP("88035REH Muni","STATE_CODE")</f>
        <v>#NAME?</v>
      </c>
      <c r="C1371" t="s">
        <v>25</v>
      </c>
      <c r="D1371" t="e">
        <f ca="1">BDP("88035REH Muni","YIELD_ON_ISSUE_DATE")</f>
        <v>#NAME?</v>
      </c>
      <c r="E1371">
        <v>12235000</v>
      </c>
      <c r="F1371" t="e">
        <f ca="1">BDP("88035REH Muni","ISSUE_DT")</f>
        <v>#NAME?</v>
      </c>
      <c r="G1371" t="e">
        <f ca="1">BDP("88035REH Muni","MATURITY")</f>
        <v>#NAME?</v>
      </c>
      <c r="H1371" t="e">
        <f ca="1">BDP("88035REH Muni","MUNI_TAX_PROV")</f>
        <v>#NAME?</v>
      </c>
      <c r="I1371" t="e">
        <f ca="1">BDP("88035REH Muni","FINANCING_TYPE")</f>
        <v>#NAME?</v>
      </c>
      <c r="J1371" t="e">
        <f ca="1">BDP("88035REH Muni","BICS_LEVEL_2_INDUSTRY_GROUP_NAME")</f>
        <v>#NAME?</v>
      </c>
      <c r="K1371" t="e">
        <f ca="1">BDP("88035REH Muni","SELF_REPRTD_GREEN_INSTR_INDCTR")</f>
        <v>#NAME?</v>
      </c>
      <c r="L1371" t="e">
        <f ca="1">BDP("88035REH Muni","GB_MANAGEMENT_PROCEEDS")</f>
        <v>#NAME?</v>
      </c>
      <c r="M1371" t="e">
        <f ca="1">BDP("88035REH Muni","GB_REPORTING")</f>
        <v>#NAME?</v>
      </c>
      <c r="N1371" t="e">
        <f ca="1">BDP("88035REH Muni","GB_ASSURANCE_PROVIDERS")</f>
        <v>#NAME?</v>
      </c>
      <c r="O1371" t="e">
        <f ca="1">BDP("88035REH Muni","GB_PROJECT_SELECTION_PROCESS")</f>
        <v>#NAME?</v>
      </c>
      <c r="P1371" t="e">
        <f ca="1">BDP("88035REH Muni","ESG_FRAMEWORK_INDICATOR")</f>
        <v>#NAME?</v>
      </c>
      <c r="Q1371" t="e">
        <f ca="1">BDP("88035REH Muni","BLOOMBERG_SECTOR_CODE")</f>
        <v>#NAME?</v>
      </c>
      <c r="R1371" t="e">
        <f ca="1">BDP("88035REH Muni","ISSUER_TYPE")</f>
        <v>#NAME?</v>
      </c>
      <c r="S1371" t="e">
        <f ca="1">BDS("88035REH Muni","ESG_PROJECT_CATEGORY", "aggregate=y")</f>
        <v>#NAME?</v>
      </c>
      <c r="T1371" t="e">
        <f ca="1">BDS("88035REH Muni","ESG_PROJECT_SUBCATEGORY", "aggregate=y")</f>
        <v>#NAME?</v>
      </c>
    </row>
    <row r="1372" spans="1:20" x14ac:dyDescent="0.25">
      <c r="A1372" t="e">
        <f ca="1">BDP("88035REJ Muni","ID_CUSIP")</f>
        <v>#NAME?</v>
      </c>
      <c r="B1372" t="e">
        <f ca="1">BDP("88035REJ Muni","STATE_CODE")</f>
        <v>#NAME?</v>
      </c>
      <c r="C1372" t="s">
        <v>25</v>
      </c>
      <c r="D1372" t="e">
        <f ca="1">BDP("88035REJ Muni","YIELD_ON_ISSUE_DATE")</f>
        <v>#NAME?</v>
      </c>
      <c r="E1372">
        <v>7505000</v>
      </c>
      <c r="F1372" t="e">
        <f ca="1">BDP("88035REJ Muni","ISSUE_DT")</f>
        <v>#NAME?</v>
      </c>
      <c r="G1372" t="e">
        <f ca="1">BDP("88035REJ Muni","MATURITY")</f>
        <v>#NAME?</v>
      </c>
      <c r="H1372" t="e">
        <f ca="1">BDP("88035REJ Muni","MUNI_TAX_PROV")</f>
        <v>#NAME?</v>
      </c>
      <c r="I1372" t="e">
        <f ca="1">BDP("88035REJ Muni","FINANCING_TYPE")</f>
        <v>#NAME?</v>
      </c>
      <c r="J1372" t="e">
        <f ca="1">BDP("88035REJ Muni","BICS_LEVEL_2_INDUSTRY_GROUP_NAME")</f>
        <v>#NAME?</v>
      </c>
      <c r="K1372" t="e">
        <f ca="1">BDP("88035REJ Muni","SELF_REPRTD_GREEN_INSTR_INDCTR")</f>
        <v>#NAME?</v>
      </c>
      <c r="L1372" t="e">
        <f ca="1">BDP("88035REJ Muni","GB_MANAGEMENT_PROCEEDS")</f>
        <v>#NAME?</v>
      </c>
      <c r="M1372" t="e">
        <f ca="1">BDP("88035REJ Muni","GB_REPORTING")</f>
        <v>#NAME?</v>
      </c>
      <c r="N1372" t="e">
        <f ca="1">BDP("88035REJ Muni","GB_ASSURANCE_PROVIDERS")</f>
        <v>#NAME?</v>
      </c>
      <c r="O1372" t="e">
        <f ca="1">BDP("88035REJ Muni","GB_PROJECT_SELECTION_PROCESS")</f>
        <v>#NAME?</v>
      </c>
      <c r="P1372" t="e">
        <f ca="1">BDP("88035REJ Muni","ESG_FRAMEWORK_INDICATOR")</f>
        <v>#NAME?</v>
      </c>
      <c r="Q1372" t="e">
        <f ca="1">BDP("88035REJ Muni","BLOOMBERG_SECTOR_CODE")</f>
        <v>#NAME?</v>
      </c>
      <c r="R1372" t="e">
        <f ca="1">BDP("88035REJ Muni","ISSUER_TYPE")</f>
        <v>#NAME?</v>
      </c>
      <c r="S1372" t="e">
        <f ca="1">BDS("88035REJ Muni","ESG_PROJECT_CATEGORY", "aggregate=y")</f>
        <v>#NAME?</v>
      </c>
      <c r="T1372" t="e">
        <f ca="1">BDS("88035REJ Muni","ESG_PROJECT_SUBCATEGORY", "aggregate=y")</f>
        <v>#NAME?</v>
      </c>
    </row>
    <row r="1373" spans="1:20" x14ac:dyDescent="0.25">
      <c r="A1373" t="e">
        <f ca="1">BDP("88035RHY Muni","ID_CUSIP")</f>
        <v>#NAME?</v>
      </c>
      <c r="B1373" t="e">
        <f ca="1">BDP("88035RHY Muni","STATE_CODE")</f>
        <v>#NAME?</v>
      </c>
      <c r="C1373" t="s">
        <v>25</v>
      </c>
      <c r="D1373" t="e">
        <f ca="1">BDP("88035RHY Muni","YIELD_ON_ISSUE_DATE")</f>
        <v>#NAME?</v>
      </c>
      <c r="E1373">
        <v>3600000</v>
      </c>
      <c r="F1373" t="e">
        <f ca="1">BDP("88035RHY Muni","ISSUE_DT")</f>
        <v>#NAME?</v>
      </c>
      <c r="G1373" t="e">
        <f ca="1">BDP("88035RHY Muni","MATURITY")</f>
        <v>#NAME?</v>
      </c>
      <c r="H1373" t="e">
        <f ca="1">BDP("88035RHY Muni","MUNI_TAX_PROV")</f>
        <v>#NAME?</v>
      </c>
      <c r="I1373" t="e">
        <f ca="1">BDP("88035RHY Muni","FINANCING_TYPE")</f>
        <v>#NAME?</v>
      </c>
      <c r="J1373" t="e">
        <f ca="1">BDP("88035RHY Muni","BICS_LEVEL_2_INDUSTRY_GROUP_NAME")</f>
        <v>#NAME?</v>
      </c>
      <c r="K1373" t="e">
        <f ca="1">BDP("88035RHY Muni","SELF_REPRTD_GREEN_INSTR_INDCTR")</f>
        <v>#NAME?</v>
      </c>
      <c r="L1373" t="e">
        <f ca="1">BDP("88035RHY Muni","GB_MANAGEMENT_PROCEEDS")</f>
        <v>#NAME?</v>
      </c>
      <c r="M1373" t="e">
        <f ca="1">BDP("88035RHY Muni","GB_REPORTING")</f>
        <v>#NAME?</v>
      </c>
      <c r="N1373" t="e">
        <f ca="1">BDP("88035RHY Muni","GB_ASSURANCE_PROVIDERS")</f>
        <v>#NAME?</v>
      </c>
      <c r="O1373" t="e">
        <f ca="1">BDP("88035RHY Muni","GB_PROJECT_SELECTION_PROCESS")</f>
        <v>#NAME?</v>
      </c>
      <c r="P1373" t="e">
        <f ca="1">BDP("88035RHY Muni","ESG_FRAMEWORK_INDICATOR")</f>
        <v>#NAME?</v>
      </c>
      <c r="Q1373" t="e">
        <f ca="1">BDP("88035RHY Muni","BLOOMBERG_SECTOR_CODE")</f>
        <v>#NAME?</v>
      </c>
      <c r="R1373" t="e">
        <f ca="1">BDP("88035RHY Muni","ISSUER_TYPE")</f>
        <v>#NAME?</v>
      </c>
      <c r="S1373" t="e">
        <f ca="1">BDS("88035RHY Muni","ESG_PROJECT_CATEGORY", "aggregate=y")</f>
        <v>#NAME?</v>
      </c>
      <c r="T1373" t="e">
        <f ca="1">BDS("88035RHY Muni","ESG_PROJECT_SUBCATEGORY", "aggregate=y")</f>
        <v>#NAME?</v>
      </c>
    </row>
    <row r="1374" spans="1:20" x14ac:dyDescent="0.25">
      <c r="A1374" t="e">
        <f ca="1">BDP("88035RJH Muni","ID_CUSIP")</f>
        <v>#NAME?</v>
      </c>
      <c r="B1374" t="e">
        <f ca="1">BDP("88035RJH Muni","STATE_CODE")</f>
        <v>#NAME?</v>
      </c>
      <c r="C1374" t="s">
        <v>25</v>
      </c>
      <c r="D1374" t="e">
        <f ca="1">BDP("88035RJH Muni","YIELD_ON_ISSUE_DATE")</f>
        <v>#NAME?</v>
      </c>
      <c r="E1374">
        <v>2955000</v>
      </c>
      <c r="F1374" t="e">
        <f ca="1">BDP("88035RJH Muni","ISSUE_DT")</f>
        <v>#NAME?</v>
      </c>
      <c r="G1374" t="e">
        <f ca="1">BDP("88035RJH Muni","MATURITY")</f>
        <v>#NAME?</v>
      </c>
      <c r="H1374" t="e">
        <f ca="1">BDP("88035RJH Muni","MUNI_TAX_PROV")</f>
        <v>#NAME?</v>
      </c>
      <c r="I1374" t="e">
        <f ca="1">BDP("88035RJH Muni","FINANCING_TYPE")</f>
        <v>#NAME?</v>
      </c>
      <c r="J1374" t="e">
        <f ca="1">BDP("88035RJH Muni","BICS_LEVEL_2_INDUSTRY_GROUP_NAME")</f>
        <v>#NAME?</v>
      </c>
      <c r="K1374" t="e">
        <f ca="1">BDP("88035RJH Muni","SELF_REPRTD_GREEN_INSTR_INDCTR")</f>
        <v>#NAME?</v>
      </c>
      <c r="L1374" t="e">
        <f ca="1">BDP("88035RJH Muni","GB_MANAGEMENT_PROCEEDS")</f>
        <v>#NAME?</v>
      </c>
      <c r="M1374" t="e">
        <f ca="1">BDP("88035RJH Muni","GB_REPORTING")</f>
        <v>#NAME?</v>
      </c>
      <c r="N1374" t="e">
        <f ca="1">BDP("88035RJH Muni","GB_ASSURANCE_PROVIDERS")</f>
        <v>#NAME?</v>
      </c>
      <c r="O1374" t="e">
        <f ca="1">BDP("88035RJH Muni","GB_PROJECT_SELECTION_PROCESS")</f>
        <v>#NAME?</v>
      </c>
      <c r="P1374" t="e">
        <f ca="1">BDP("88035RJH Muni","ESG_FRAMEWORK_INDICATOR")</f>
        <v>#NAME?</v>
      </c>
      <c r="Q1374" t="e">
        <f ca="1">BDP("88035RJH Muni","BLOOMBERG_SECTOR_CODE")</f>
        <v>#NAME?</v>
      </c>
      <c r="R1374" t="e">
        <f ca="1">BDP("88035RJH Muni","ISSUER_TYPE")</f>
        <v>#NAME?</v>
      </c>
      <c r="S1374" t="e">
        <f ca="1">BDS("88035RJH Muni","ESG_PROJECT_CATEGORY", "aggregate=y")</f>
        <v>#NAME?</v>
      </c>
      <c r="T1374" t="e">
        <f ca="1">BDS("88035RJH Muni","ESG_PROJECT_SUBCATEGORY", "aggregate=y")</f>
        <v>#NAME?</v>
      </c>
    </row>
    <row r="1375" spans="1:20" x14ac:dyDescent="0.25">
      <c r="A1375" t="e">
        <f ca="1">BDP("88035RM2 Muni","ID_CUSIP")</f>
        <v>#NAME?</v>
      </c>
      <c r="B1375" t="e">
        <f ca="1">BDP("88035RM2 Muni","STATE_CODE")</f>
        <v>#NAME?</v>
      </c>
      <c r="C1375" t="s">
        <v>25</v>
      </c>
      <c r="D1375" t="e">
        <f ca="1">BDP("88035RM2 Muni","YIELD_ON_ISSUE_DATE")</f>
        <v>#NAME?</v>
      </c>
      <c r="E1375">
        <v>5610000</v>
      </c>
      <c r="F1375" t="e">
        <f ca="1">BDP("88035RM2 Muni","ISSUE_DT")</f>
        <v>#NAME?</v>
      </c>
      <c r="G1375" t="e">
        <f ca="1">BDP("88035RM2 Muni","MATURITY")</f>
        <v>#NAME?</v>
      </c>
      <c r="H1375" t="e">
        <f ca="1">BDP("88035RM2 Muni","MUNI_TAX_PROV")</f>
        <v>#NAME?</v>
      </c>
      <c r="I1375" t="e">
        <f ca="1">BDP("88035RM2 Muni","FINANCING_TYPE")</f>
        <v>#NAME?</v>
      </c>
      <c r="J1375" t="e">
        <f ca="1">BDP("88035RM2 Muni","BICS_LEVEL_2_INDUSTRY_GROUP_NAME")</f>
        <v>#NAME?</v>
      </c>
      <c r="K1375" t="e">
        <f ca="1">BDP("88035RM2 Muni","SELF_REPRTD_GREEN_INSTR_INDCTR")</f>
        <v>#NAME?</v>
      </c>
      <c r="L1375" t="e">
        <f ca="1">BDP("88035RM2 Muni","GB_MANAGEMENT_PROCEEDS")</f>
        <v>#NAME?</v>
      </c>
      <c r="M1375" t="e">
        <f ca="1">BDP("88035RM2 Muni","GB_REPORTING")</f>
        <v>#NAME?</v>
      </c>
      <c r="N1375" t="e">
        <f ca="1">BDP("88035RM2 Muni","GB_ASSURANCE_PROVIDERS")</f>
        <v>#NAME?</v>
      </c>
      <c r="O1375" t="e">
        <f ca="1">BDP("88035RM2 Muni","GB_PROJECT_SELECTION_PROCESS")</f>
        <v>#NAME?</v>
      </c>
      <c r="P1375" t="e">
        <f ca="1">BDP("88035RM2 Muni","ESG_FRAMEWORK_INDICATOR")</f>
        <v>#NAME?</v>
      </c>
      <c r="Q1375" t="e">
        <f ca="1">BDP("88035RM2 Muni","BLOOMBERG_SECTOR_CODE")</f>
        <v>#NAME?</v>
      </c>
      <c r="R1375" t="e">
        <f ca="1">BDP("88035RM2 Muni","ISSUER_TYPE")</f>
        <v>#NAME?</v>
      </c>
      <c r="S1375" t="e">
        <f ca="1">BDS("88035RM2 Muni","ESG_PROJECT_CATEGORY", "aggregate=y")</f>
        <v>#NAME?</v>
      </c>
      <c r="T1375" t="e">
        <f ca="1">BDS("88035RM2 Muni","ESG_PROJECT_SUBCATEGORY", "aggregate=y")</f>
        <v>#NAME?</v>
      </c>
    </row>
    <row r="1376" spans="1:20" x14ac:dyDescent="0.25">
      <c r="A1376" t="e">
        <f ca="1">BDP("88035RM3 Muni","ID_CUSIP")</f>
        <v>#NAME?</v>
      </c>
      <c r="B1376" t="e">
        <f ca="1">BDP("88035RM3 Muni","STATE_CODE")</f>
        <v>#NAME?</v>
      </c>
      <c r="C1376" t="s">
        <v>25</v>
      </c>
      <c r="D1376" t="e">
        <f ca="1">BDP("88035RM3 Muni","YIELD_ON_ISSUE_DATE")</f>
        <v>#NAME?</v>
      </c>
      <c r="E1376">
        <v>720000</v>
      </c>
      <c r="F1376" t="e">
        <f ca="1">BDP("88035RM3 Muni","ISSUE_DT")</f>
        <v>#NAME?</v>
      </c>
      <c r="G1376" t="e">
        <f ca="1">BDP("88035RM3 Muni","MATURITY")</f>
        <v>#NAME?</v>
      </c>
      <c r="H1376" t="e">
        <f ca="1">BDP("88035RM3 Muni","MUNI_TAX_PROV")</f>
        <v>#NAME?</v>
      </c>
      <c r="I1376" t="e">
        <f ca="1">BDP("88035RM3 Muni","FINANCING_TYPE")</f>
        <v>#NAME?</v>
      </c>
      <c r="J1376" t="e">
        <f ca="1">BDP("88035RM3 Muni","BICS_LEVEL_2_INDUSTRY_GROUP_NAME")</f>
        <v>#NAME?</v>
      </c>
      <c r="K1376" t="e">
        <f ca="1">BDP("88035RM3 Muni","SELF_REPRTD_GREEN_INSTR_INDCTR")</f>
        <v>#NAME?</v>
      </c>
      <c r="L1376" t="e">
        <f ca="1">BDP("88035RM3 Muni","GB_MANAGEMENT_PROCEEDS")</f>
        <v>#NAME?</v>
      </c>
      <c r="M1376" t="e">
        <f ca="1">BDP("88035RM3 Muni","GB_REPORTING")</f>
        <v>#NAME?</v>
      </c>
      <c r="N1376" t="e">
        <f ca="1">BDP("88035RM3 Muni","GB_ASSURANCE_PROVIDERS")</f>
        <v>#NAME?</v>
      </c>
      <c r="O1376" t="e">
        <f ca="1">BDP("88035RM3 Muni","GB_PROJECT_SELECTION_PROCESS")</f>
        <v>#NAME?</v>
      </c>
      <c r="P1376" t="e">
        <f ca="1">BDP("88035RM3 Muni","ESG_FRAMEWORK_INDICATOR")</f>
        <v>#NAME?</v>
      </c>
      <c r="Q1376" t="e">
        <f ca="1">BDP("88035RM3 Muni","BLOOMBERG_SECTOR_CODE")</f>
        <v>#NAME?</v>
      </c>
      <c r="R1376" t="e">
        <f ca="1">BDP("88035RM3 Muni","ISSUER_TYPE")</f>
        <v>#NAME?</v>
      </c>
      <c r="S1376" t="e">
        <f ca="1">BDS("88035RM3 Muni","ESG_PROJECT_CATEGORY", "aggregate=y")</f>
        <v>#NAME?</v>
      </c>
      <c r="T1376" t="e">
        <f ca="1">BDS("88035RM3 Muni","ESG_PROJECT_SUBCATEGORY", "aggregate=y")</f>
        <v>#NAME?</v>
      </c>
    </row>
    <row r="1377" spans="1:20" x14ac:dyDescent="0.25">
      <c r="A1377" t="e">
        <f ca="1">BDP("88035RM4 Muni","ID_CUSIP")</f>
        <v>#NAME?</v>
      </c>
      <c r="B1377" t="e">
        <f ca="1">BDP("88035RM4 Muni","STATE_CODE")</f>
        <v>#NAME?</v>
      </c>
      <c r="C1377" t="s">
        <v>25</v>
      </c>
      <c r="D1377" t="e">
        <f ca="1">BDP("88035RM4 Muni","YIELD_ON_ISSUE_DATE")</f>
        <v>#NAME?</v>
      </c>
      <c r="E1377">
        <v>720000</v>
      </c>
      <c r="F1377" t="e">
        <f ca="1">BDP("88035RM4 Muni","ISSUE_DT")</f>
        <v>#NAME?</v>
      </c>
      <c r="G1377" t="e">
        <f ca="1">BDP("88035RM4 Muni","MATURITY")</f>
        <v>#NAME?</v>
      </c>
      <c r="H1377" t="e">
        <f ca="1">BDP("88035RM4 Muni","MUNI_TAX_PROV")</f>
        <v>#NAME?</v>
      </c>
      <c r="I1377" t="e">
        <f ca="1">BDP("88035RM4 Muni","FINANCING_TYPE")</f>
        <v>#NAME?</v>
      </c>
      <c r="J1377" t="e">
        <f ca="1">BDP("88035RM4 Muni","BICS_LEVEL_2_INDUSTRY_GROUP_NAME")</f>
        <v>#NAME?</v>
      </c>
      <c r="K1377" t="e">
        <f ca="1">BDP("88035RM4 Muni","SELF_REPRTD_GREEN_INSTR_INDCTR")</f>
        <v>#NAME?</v>
      </c>
      <c r="L1377" t="e">
        <f ca="1">BDP("88035RM4 Muni","GB_MANAGEMENT_PROCEEDS")</f>
        <v>#NAME?</v>
      </c>
      <c r="M1377" t="e">
        <f ca="1">BDP("88035RM4 Muni","GB_REPORTING")</f>
        <v>#NAME?</v>
      </c>
      <c r="N1377" t="e">
        <f ca="1">BDP("88035RM4 Muni","GB_ASSURANCE_PROVIDERS")</f>
        <v>#NAME?</v>
      </c>
      <c r="O1377" t="e">
        <f ca="1">BDP("88035RM4 Muni","GB_PROJECT_SELECTION_PROCESS")</f>
        <v>#NAME?</v>
      </c>
      <c r="P1377" t="e">
        <f ca="1">BDP("88035RM4 Muni","ESG_FRAMEWORK_INDICATOR")</f>
        <v>#NAME?</v>
      </c>
      <c r="Q1377" t="e">
        <f ca="1">BDP("88035RM4 Muni","BLOOMBERG_SECTOR_CODE")</f>
        <v>#NAME?</v>
      </c>
      <c r="R1377" t="e">
        <f ca="1">BDP("88035RM4 Muni","ISSUER_TYPE")</f>
        <v>#NAME?</v>
      </c>
      <c r="S1377" t="e">
        <f ca="1">BDS("88035RM4 Muni","ESG_PROJECT_CATEGORY", "aggregate=y")</f>
        <v>#NAME?</v>
      </c>
      <c r="T1377" t="e">
        <f ca="1">BDS("88035RM4 Muni","ESG_PROJECT_SUBCATEGORY", "aggregate=y")</f>
        <v>#NAME?</v>
      </c>
    </row>
    <row r="1378" spans="1:20" x14ac:dyDescent="0.25">
      <c r="A1378" t="e">
        <f ca="1">BDP("88035RM6 Muni","ID_CUSIP")</f>
        <v>#NAME?</v>
      </c>
      <c r="B1378" t="e">
        <f ca="1">BDP("88035RM6 Muni","STATE_CODE")</f>
        <v>#NAME?</v>
      </c>
      <c r="C1378" t="s">
        <v>25</v>
      </c>
      <c r="D1378" t="e">
        <f ca="1">BDP("88035RM6 Muni","YIELD_ON_ISSUE_DATE")</f>
        <v>#NAME?</v>
      </c>
      <c r="E1378">
        <v>3525000</v>
      </c>
      <c r="F1378" t="e">
        <f ca="1">BDP("88035RM6 Muni","ISSUE_DT")</f>
        <v>#NAME?</v>
      </c>
      <c r="G1378" t="e">
        <f ca="1">BDP("88035RM6 Muni","MATURITY")</f>
        <v>#NAME?</v>
      </c>
      <c r="H1378" t="e">
        <f ca="1">BDP("88035RM6 Muni","MUNI_TAX_PROV")</f>
        <v>#NAME?</v>
      </c>
      <c r="I1378" t="e">
        <f ca="1">BDP("88035RM6 Muni","FINANCING_TYPE")</f>
        <v>#NAME?</v>
      </c>
      <c r="J1378" t="e">
        <f ca="1">BDP("88035RM6 Muni","BICS_LEVEL_2_INDUSTRY_GROUP_NAME")</f>
        <v>#NAME?</v>
      </c>
      <c r="K1378" t="e">
        <f ca="1">BDP("88035RM6 Muni","SELF_REPRTD_GREEN_INSTR_INDCTR")</f>
        <v>#NAME?</v>
      </c>
      <c r="L1378" t="e">
        <f ca="1">BDP("88035RM6 Muni","GB_MANAGEMENT_PROCEEDS")</f>
        <v>#NAME?</v>
      </c>
      <c r="M1378" t="e">
        <f ca="1">BDP("88035RM6 Muni","GB_REPORTING")</f>
        <v>#NAME?</v>
      </c>
      <c r="N1378" t="e">
        <f ca="1">BDP("88035RM6 Muni","GB_ASSURANCE_PROVIDERS")</f>
        <v>#NAME?</v>
      </c>
      <c r="O1378" t="e">
        <f ca="1">BDP("88035RM6 Muni","GB_PROJECT_SELECTION_PROCESS")</f>
        <v>#NAME?</v>
      </c>
      <c r="P1378" t="e">
        <f ca="1">BDP("88035RM6 Muni","ESG_FRAMEWORK_INDICATOR")</f>
        <v>#NAME?</v>
      </c>
      <c r="Q1378" t="e">
        <f ca="1">BDP("88035RM6 Muni","BLOOMBERG_SECTOR_CODE")</f>
        <v>#NAME?</v>
      </c>
      <c r="R1378" t="e">
        <f ca="1">BDP("88035RM6 Muni","ISSUER_TYPE")</f>
        <v>#NAME?</v>
      </c>
      <c r="S1378" t="e">
        <f ca="1">BDS("88035RM6 Muni","ESG_PROJECT_CATEGORY", "aggregate=y")</f>
        <v>#NAME?</v>
      </c>
      <c r="T1378" t="e">
        <f ca="1">BDS("88035RM6 Muni","ESG_PROJECT_SUBCATEGORY", "aggregate=y")</f>
        <v>#NAME?</v>
      </c>
    </row>
    <row r="1379" spans="1:20" x14ac:dyDescent="0.25">
      <c r="A1379" t="e">
        <f ca="1">BDP("88035RRQ Muni","ID_CUSIP")</f>
        <v>#NAME?</v>
      </c>
      <c r="B1379" t="e">
        <f ca="1">BDP("88035RRQ Muni","STATE_CODE")</f>
        <v>#NAME?</v>
      </c>
      <c r="C1379" t="s">
        <v>25</v>
      </c>
      <c r="D1379" t="e">
        <f ca="1">BDP("88035RRQ Muni","YIELD_ON_ISSUE_DATE")</f>
        <v>#NAME?</v>
      </c>
      <c r="E1379">
        <v>1885000</v>
      </c>
      <c r="F1379" t="e">
        <f ca="1">BDP("88035RRQ Muni","ISSUE_DT")</f>
        <v>#NAME?</v>
      </c>
      <c r="G1379" t="e">
        <f ca="1">BDP("88035RRQ Muni","MATURITY")</f>
        <v>#NAME?</v>
      </c>
      <c r="H1379" t="e">
        <f ca="1">BDP("88035RRQ Muni","MUNI_TAX_PROV")</f>
        <v>#NAME?</v>
      </c>
      <c r="I1379" t="e">
        <f ca="1">BDP("88035RRQ Muni","FINANCING_TYPE")</f>
        <v>#NAME?</v>
      </c>
      <c r="J1379" t="e">
        <f ca="1">BDP("88035RRQ Muni","BICS_LEVEL_2_INDUSTRY_GROUP_NAME")</f>
        <v>#NAME?</v>
      </c>
      <c r="K1379" t="e">
        <f ca="1">BDP("88035RRQ Muni","SELF_REPRTD_GREEN_INSTR_INDCTR")</f>
        <v>#NAME?</v>
      </c>
      <c r="L1379" t="e">
        <f ca="1">BDP("88035RRQ Muni","GB_MANAGEMENT_PROCEEDS")</f>
        <v>#NAME?</v>
      </c>
      <c r="M1379" t="e">
        <f ca="1">BDP("88035RRQ Muni","GB_REPORTING")</f>
        <v>#NAME?</v>
      </c>
      <c r="N1379" t="e">
        <f ca="1">BDP("88035RRQ Muni","GB_ASSURANCE_PROVIDERS")</f>
        <v>#NAME?</v>
      </c>
      <c r="O1379" t="e">
        <f ca="1">BDP("88035RRQ Muni","GB_PROJECT_SELECTION_PROCESS")</f>
        <v>#NAME?</v>
      </c>
      <c r="P1379" t="e">
        <f ca="1">BDP("88035RRQ Muni","ESG_FRAMEWORK_INDICATOR")</f>
        <v>#NAME?</v>
      </c>
      <c r="Q1379" t="e">
        <f ca="1">BDP("88035RRQ Muni","BLOOMBERG_SECTOR_CODE")</f>
        <v>#NAME?</v>
      </c>
      <c r="R1379" t="e">
        <f ca="1">BDP("88035RRQ Muni","ISSUER_TYPE")</f>
        <v>#NAME?</v>
      </c>
      <c r="S1379" t="e">
        <f ca="1">BDS("88035RRQ Muni","ESG_PROJECT_CATEGORY", "aggregate=y")</f>
        <v>#NAME?</v>
      </c>
      <c r="T1379" t="e">
        <f ca="1">BDS("88035RRQ Muni","ESG_PROJECT_SUBCATEGORY", "aggregate=y")</f>
        <v>#NAME?</v>
      </c>
    </row>
    <row r="1380" spans="1:20" x14ac:dyDescent="0.25">
      <c r="A1380" t="e">
        <f ca="1">BDP("88035TDT Muni","ID_CUSIP")</f>
        <v>#NAME?</v>
      </c>
      <c r="B1380" t="e">
        <f ca="1">BDP("88035TDT Muni","STATE_CODE")</f>
        <v>#NAME?</v>
      </c>
      <c r="C1380" t="s">
        <v>25</v>
      </c>
      <c r="D1380" t="e">
        <f ca="1">BDP("88035TDT Muni","YIELD_ON_ISSUE_DATE")</f>
        <v>#NAME?</v>
      </c>
      <c r="E1380">
        <v>14465000</v>
      </c>
      <c r="F1380" t="e">
        <f ca="1">BDP("88035TDT Muni","ISSUE_DT")</f>
        <v>#NAME?</v>
      </c>
      <c r="G1380" t="e">
        <f ca="1">BDP("88035TDT Muni","MATURITY")</f>
        <v>#NAME?</v>
      </c>
      <c r="H1380" t="e">
        <f ca="1">BDP("88035TDT Muni","MUNI_TAX_PROV")</f>
        <v>#NAME?</v>
      </c>
      <c r="I1380" t="e">
        <f ca="1">BDP("88035TDT Muni","FINANCING_TYPE")</f>
        <v>#NAME?</v>
      </c>
      <c r="J1380" t="e">
        <f ca="1">BDP("88035TDT Muni","BICS_LEVEL_2_INDUSTRY_GROUP_NAME")</f>
        <v>#NAME?</v>
      </c>
      <c r="K1380" t="e">
        <f ca="1">BDP("88035TDT Muni","SELF_REPRTD_GREEN_INSTR_INDCTR")</f>
        <v>#NAME?</v>
      </c>
      <c r="L1380" t="e">
        <f ca="1">BDP("88035TDT Muni","GB_MANAGEMENT_PROCEEDS")</f>
        <v>#NAME?</v>
      </c>
      <c r="M1380" t="e">
        <f ca="1">BDP("88035TDT Muni","GB_REPORTING")</f>
        <v>#NAME?</v>
      </c>
      <c r="N1380" t="e">
        <f ca="1">BDP("88035TDT Muni","GB_ASSURANCE_PROVIDERS")</f>
        <v>#NAME?</v>
      </c>
      <c r="O1380" t="e">
        <f ca="1">BDP("88035TDT Muni","GB_PROJECT_SELECTION_PROCESS")</f>
        <v>#NAME?</v>
      </c>
      <c r="P1380" t="e">
        <f ca="1">BDP("88035TDT Muni","ESG_FRAMEWORK_INDICATOR")</f>
        <v>#NAME?</v>
      </c>
      <c r="Q1380" t="e">
        <f ca="1">BDP("88035TDT Muni","BLOOMBERG_SECTOR_CODE")</f>
        <v>#NAME?</v>
      </c>
      <c r="R1380" t="e">
        <f ca="1">BDP("88035TDT Muni","ISSUER_TYPE")</f>
        <v>#NAME?</v>
      </c>
      <c r="S1380" t="e">
        <f ca="1">BDS("88035TDT Muni","ESG_PROJECT_CATEGORY", "aggregate=y")</f>
        <v>#NAME?</v>
      </c>
      <c r="T1380" t="e">
        <f ca="1">BDS("88035TDT Muni","ESG_PROJECT_SUBCATEGORY", "aggregate=y")</f>
        <v>#NAME?</v>
      </c>
    </row>
    <row r="1381" spans="1:20" x14ac:dyDescent="0.25">
      <c r="A1381" t="e">
        <f ca="1">BDP("88035TDU Muni","ID_CUSIP")</f>
        <v>#NAME?</v>
      </c>
      <c r="B1381" t="e">
        <f ca="1">BDP("88035TDU Muni","STATE_CODE")</f>
        <v>#NAME?</v>
      </c>
      <c r="C1381" t="s">
        <v>25</v>
      </c>
      <c r="D1381" t="e">
        <f ca="1">BDP("88035TDU Muni","YIELD_ON_ISSUE_DATE")</f>
        <v>#NAME?</v>
      </c>
      <c r="E1381">
        <v>4825000</v>
      </c>
      <c r="F1381" t="e">
        <f ca="1">BDP("88035TDU Muni","ISSUE_DT")</f>
        <v>#NAME?</v>
      </c>
      <c r="G1381" t="e">
        <f ca="1">BDP("88035TDU Muni","MATURITY")</f>
        <v>#NAME?</v>
      </c>
      <c r="H1381" t="e">
        <f ca="1">BDP("88035TDU Muni","MUNI_TAX_PROV")</f>
        <v>#NAME?</v>
      </c>
      <c r="I1381" t="e">
        <f ca="1">BDP("88035TDU Muni","FINANCING_TYPE")</f>
        <v>#NAME?</v>
      </c>
      <c r="J1381" t="e">
        <f ca="1">BDP("88035TDU Muni","BICS_LEVEL_2_INDUSTRY_GROUP_NAME")</f>
        <v>#NAME?</v>
      </c>
      <c r="K1381" t="e">
        <f ca="1">BDP("88035TDU Muni","SELF_REPRTD_GREEN_INSTR_INDCTR")</f>
        <v>#NAME?</v>
      </c>
      <c r="L1381" t="e">
        <f ca="1">BDP("88035TDU Muni","GB_MANAGEMENT_PROCEEDS")</f>
        <v>#NAME?</v>
      </c>
      <c r="M1381" t="e">
        <f ca="1">BDP("88035TDU Muni","GB_REPORTING")</f>
        <v>#NAME?</v>
      </c>
      <c r="N1381" t="e">
        <f ca="1">BDP("88035TDU Muni","GB_ASSURANCE_PROVIDERS")</f>
        <v>#NAME?</v>
      </c>
      <c r="O1381" t="e">
        <f ca="1">BDP("88035TDU Muni","GB_PROJECT_SELECTION_PROCESS")</f>
        <v>#NAME?</v>
      </c>
      <c r="P1381" t="e">
        <f ca="1">BDP("88035TDU Muni","ESG_FRAMEWORK_INDICATOR")</f>
        <v>#NAME?</v>
      </c>
      <c r="Q1381" t="e">
        <f ca="1">BDP("88035TDU Muni","BLOOMBERG_SECTOR_CODE")</f>
        <v>#NAME?</v>
      </c>
      <c r="R1381" t="e">
        <f ca="1">BDP("88035TDU Muni","ISSUER_TYPE")</f>
        <v>#NAME?</v>
      </c>
      <c r="S1381" t="e">
        <f ca="1">BDS("88035TDU Muni","ESG_PROJECT_CATEGORY", "aggregate=y")</f>
        <v>#NAME?</v>
      </c>
      <c r="T1381" t="e">
        <f ca="1">BDS("88035TDU Muni","ESG_PROJECT_SUBCATEGORY", "aggregate=y")</f>
        <v>#NAME?</v>
      </c>
    </row>
    <row r="1382" spans="1:20" x14ac:dyDescent="0.25">
      <c r="A1382" t="e">
        <f ca="1">BDP("916091JL Muni","ID_CUSIP")</f>
        <v>#NAME?</v>
      </c>
      <c r="B1382" t="e">
        <f ca="1">BDP("916091JL Muni","STATE_CODE")</f>
        <v>#NAME?</v>
      </c>
      <c r="C1382" t="s">
        <v>86</v>
      </c>
      <c r="D1382" t="e">
        <f ca="1">BDP("916091JL Muni","YIELD_ON_ISSUE_DATE")</f>
        <v>#NAME?</v>
      </c>
      <c r="E1382">
        <v>145000</v>
      </c>
      <c r="F1382" t="e">
        <f ca="1">BDP("916091JL Muni","ISSUE_DT")</f>
        <v>#NAME?</v>
      </c>
      <c r="G1382" t="e">
        <f ca="1">BDP("916091JL Muni","MATURITY")</f>
        <v>#NAME?</v>
      </c>
      <c r="H1382" t="e">
        <f ca="1">BDP("916091JL Muni","MUNI_TAX_PROV")</f>
        <v>#NAME?</v>
      </c>
      <c r="I1382" t="e">
        <f ca="1">BDP("916091JL Muni","FINANCING_TYPE")</f>
        <v>#NAME?</v>
      </c>
      <c r="J1382" t="e">
        <f ca="1">BDP("916091JL Muni","BICS_LEVEL_2_INDUSTRY_GROUP_NAME")</f>
        <v>#NAME?</v>
      </c>
      <c r="K1382" t="e">
        <f ca="1">BDP("916091JL Muni","SELF_REPRTD_GREEN_INSTR_INDCTR")</f>
        <v>#NAME?</v>
      </c>
      <c r="L1382" t="e">
        <f ca="1">BDP("916091JL Muni","GB_MANAGEMENT_PROCEEDS")</f>
        <v>#NAME?</v>
      </c>
      <c r="M1382" t="e">
        <f ca="1">BDP("916091JL Muni","GB_REPORTING")</f>
        <v>#NAME?</v>
      </c>
      <c r="N1382" t="e">
        <f ca="1">BDP("916091JL Muni","GB_ASSURANCE_PROVIDERS")</f>
        <v>#NAME?</v>
      </c>
      <c r="O1382" t="e">
        <f ca="1">BDP("916091JL Muni","GB_PROJECT_SELECTION_PROCESS")</f>
        <v>#NAME?</v>
      </c>
      <c r="P1382" t="e">
        <f ca="1">BDP("916091JL Muni","ESG_FRAMEWORK_INDICATOR")</f>
        <v>#NAME?</v>
      </c>
      <c r="Q1382" t="e">
        <f ca="1">BDP("916091JL Muni","BLOOMBERG_SECTOR_CODE")</f>
        <v>#NAME?</v>
      </c>
      <c r="R1382" t="e">
        <f ca="1">BDP("916091JL Muni","ISSUER_TYPE")</f>
        <v>#NAME?</v>
      </c>
      <c r="S1382" t="e">
        <f ca="1">BDS("916091JL Muni","ESG_PROJECT_CATEGORY", "aggregate=y")</f>
        <v>#NAME?</v>
      </c>
      <c r="T1382" t="e">
        <f ca="1">BDS("916091JL Muni","ESG_PROJECT_SUBCATEGORY", "aggregate=y")</f>
        <v>#NAME?</v>
      </c>
    </row>
    <row r="1383" spans="1:20" x14ac:dyDescent="0.25">
      <c r="A1383" t="e">
        <f ca="1">BDP("916091JN Muni","ID_CUSIP")</f>
        <v>#NAME?</v>
      </c>
      <c r="B1383" t="e">
        <f ca="1">BDP("916091JN Muni","STATE_CODE")</f>
        <v>#NAME?</v>
      </c>
      <c r="C1383" t="s">
        <v>86</v>
      </c>
      <c r="D1383" t="e">
        <f ca="1">BDP("916091JN Muni","YIELD_ON_ISSUE_DATE")</f>
        <v>#NAME?</v>
      </c>
      <c r="E1383">
        <v>160000</v>
      </c>
      <c r="F1383" t="e">
        <f ca="1">BDP("916091JN Muni","ISSUE_DT")</f>
        <v>#NAME?</v>
      </c>
      <c r="G1383" t="e">
        <f ca="1">BDP("916091JN Muni","MATURITY")</f>
        <v>#NAME?</v>
      </c>
      <c r="H1383" t="e">
        <f ca="1">BDP("916091JN Muni","MUNI_TAX_PROV")</f>
        <v>#NAME?</v>
      </c>
      <c r="I1383" t="e">
        <f ca="1">BDP("916091JN Muni","FINANCING_TYPE")</f>
        <v>#NAME?</v>
      </c>
      <c r="J1383" t="e">
        <f ca="1">BDP("916091JN Muni","BICS_LEVEL_2_INDUSTRY_GROUP_NAME")</f>
        <v>#NAME?</v>
      </c>
      <c r="K1383" t="e">
        <f ca="1">BDP("916091JN Muni","SELF_REPRTD_GREEN_INSTR_INDCTR")</f>
        <v>#NAME?</v>
      </c>
      <c r="L1383" t="e">
        <f ca="1">BDP("916091JN Muni","GB_MANAGEMENT_PROCEEDS")</f>
        <v>#NAME?</v>
      </c>
      <c r="M1383" t="e">
        <f ca="1">BDP("916091JN Muni","GB_REPORTING")</f>
        <v>#NAME?</v>
      </c>
      <c r="N1383" t="e">
        <f ca="1">BDP("916091JN Muni","GB_ASSURANCE_PROVIDERS")</f>
        <v>#NAME?</v>
      </c>
      <c r="O1383" t="e">
        <f ca="1">BDP("916091JN Muni","GB_PROJECT_SELECTION_PROCESS")</f>
        <v>#NAME?</v>
      </c>
      <c r="P1383" t="e">
        <f ca="1">BDP("916091JN Muni","ESG_FRAMEWORK_INDICATOR")</f>
        <v>#NAME?</v>
      </c>
      <c r="Q1383" t="e">
        <f ca="1">BDP("916091JN Muni","BLOOMBERG_SECTOR_CODE")</f>
        <v>#NAME?</v>
      </c>
      <c r="R1383" t="e">
        <f ca="1">BDP("916091JN Muni","ISSUER_TYPE")</f>
        <v>#NAME?</v>
      </c>
      <c r="S1383" t="e">
        <f ca="1">BDS("916091JN Muni","ESG_PROJECT_CATEGORY", "aggregate=y")</f>
        <v>#NAME?</v>
      </c>
      <c r="T1383" t="e">
        <f ca="1">BDS("916091JN Muni","ESG_PROJECT_SUBCATEGORY", "aggregate=y")</f>
        <v>#NAME?</v>
      </c>
    </row>
    <row r="1384" spans="1:20" x14ac:dyDescent="0.25">
      <c r="A1384" t="e">
        <f ca="1">BDP("916091JR Muni","ID_CUSIP")</f>
        <v>#NAME?</v>
      </c>
      <c r="B1384" t="e">
        <f ca="1">BDP("916091JR Muni","STATE_CODE")</f>
        <v>#NAME?</v>
      </c>
      <c r="C1384" t="s">
        <v>86</v>
      </c>
      <c r="D1384" t="e">
        <f ca="1">BDP("916091JR Muni","YIELD_ON_ISSUE_DATE")</f>
        <v>#NAME?</v>
      </c>
      <c r="E1384">
        <v>175000</v>
      </c>
      <c r="F1384" t="e">
        <f ca="1">BDP("916091JR Muni","ISSUE_DT")</f>
        <v>#NAME?</v>
      </c>
      <c r="G1384" t="e">
        <f ca="1">BDP("916091JR Muni","MATURITY")</f>
        <v>#NAME?</v>
      </c>
      <c r="H1384" t="e">
        <f ca="1">BDP("916091JR Muni","MUNI_TAX_PROV")</f>
        <v>#NAME?</v>
      </c>
      <c r="I1384" t="e">
        <f ca="1">BDP("916091JR Muni","FINANCING_TYPE")</f>
        <v>#NAME?</v>
      </c>
      <c r="J1384" t="e">
        <f ca="1">BDP("916091JR Muni","BICS_LEVEL_2_INDUSTRY_GROUP_NAME")</f>
        <v>#NAME?</v>
      </c>
      <c r="K1384" t="e">
        <f ca="1">BDP("916091JR Muni","SELF_REPRTD_GREEN_INSTR_INDCTR")</f>
        <v>#NAME?</v>
      </c>
      <c r="L1384" t="e">
        <f ca="1">BDP("916091JR Muni","GB_MANAGEMENT_PROCEEDS")</f>
        <v>#NAME?</v>
      </c>
      <c r="M1384" t="e">
        <f ca="1">BDP("916091JR Muni","GB_REPORTING")</f>
        <v>#NAME?</v>
      </c>
      <c r="N1384" t="e">
        <f ca="1">BDP("916091JR Muni","GB_ASSURANCE_PROVIDERS")</f>
        <v>#NAME?</v>
      </c>
      <c r="O1384" t="e">
        <f ca="1">BDP("916091JR Muni","GB_PROJECT_SELECTION_PROCESS")</f>
        <v>#NAME?</v>
      </c>
      <c r="P1384" t="e">
        <f ca="1">BDP("916091JR Muni","ESG_FRAMEWORK_INDICATOR")</f>
        <v>#NAME?</v>
      </c>
      <c r="Q1384" t="e">
        <f ca="1">BDP("916091JR Muni","BLOOMBERG_SECTOR_CODE")</f>
        <v>#NAME?</v>
      </c>
      <c r="R1384" t="e">
        <f ca="1">BDP("916091JR Muni","ISSUER_TYPE")</f>
        <v>#NAME?</v>
      </c>
      <c r="S1384" t="e">
        <f ca="1">BDS("916091JR Muni","ESG_PROJECT_CATEGORY", "aggregate=y")</f>
        <v>#NAME?</v>
      </c>
      <c r="T1384" t="e">
        <f ca="1">BDS("916091JR Muni","ESG_PROJECT_SUBCATEGORY", "aggregate=y")</f>
        <v>#NAME?</v>
      </c>
    </row>
    <row r="1385" spans="1:20" x14ac:dyDescent="0.25">
      <c r="A1385" t="e">
        <f ca="1">BDP("916091JT Muni","ID_CUSIP")</f>
        <v>#NAME?</v>
      </c>
      <c r="B1385" t="e">
        <f ca="1">BDP("916091JT Muni","STATE_CODE")</f>
        <v>#NAME?</v>
      </c>
      <c r="C1385" t="s">
        <v>86</v>
      </c>
      <c r="D1385" t="e">
        <f ca="1">BDP("916091JT Muni","YIELD_ON_ISSUE_DATE")</f>
        <v>#NAME?</v>
      </c>
      <c r="E1385">
        <v>190000</v>
      </c>
      <c r="F1385" t="e">
        <f ca="1">BDP("916091JT Muni","ISSUE_DT")</f>
        <v>#NAME?</v>
      </c>
      <c r="G1385" t="e">
        <f ca="1">BDP("916091JT Muni","MATURITY")</f>
        <v>#NAME?</v>
      </c>
      <c r="H1385" t="e">
        <f ca="1">BDP("916091JT Muni","MUNI_TAX_PROV")</f>
        <v>#NAME?</v>
      </c>
      <c r="I1385" t="e">
        <f ca="1">BDP("916091JT Muni","FINANCING_TYPE")</f>
        <v>#NAME?</v>
      </c>
      <c r="J1385" t="e">
        <f ca="1">BDP("916091JT Muni","BICS_LEVEL_2_INDUSTRY_GROUP_NAME")</f>
        <v>#NAME?</v>
      </c>
      <c r="K1385" t="e">
        <f ca="1">BDP("916091JT Muni","SELF_REPRTD_GREEN_INSTR_INDCTR")</f>
        <v>#NAME?</v>
      </c>
      <c r="L1385" t="e">
        <f ca="1">BDP("916091JT Muni","GB_MANAGEMENT_PROCEEDS")</f>
        <v>#NAME?</v>
      </c>
      <c r="M1385" t="e">
        <f ca="1">BDP("916091JT Muni","GB_REPORTING")</f>
        <v>#NAME?</v>
      </c>
      <c r="N1385" t="e">
        <f ca="1">BDP("916091JT Muni","GB_ASSURANCE_PROVIDERS")</f>
        <v>#NAME?</v>
      </c>
      <c r="O1385" t="e">
        <f ca="1">BDP("916091JT Muni","GB_PROJECT_SELECTION_PROCESS")</f>
        <v>#NAME?</v>
      </c>
      <c r="P1385" t="e">
        <f ca="1">BDP("916091JT Muni","ESG_FRAMEWORK_INDICATOR")</f>
        <v>#NAME?</v>
      </c>
      <c r="Q1385" t="e">
        <f ca="1">BDP("916091JT Muni","BLOOMBERG_SECTOR_CODE")</f>
        <v>#NAME?</v>
      </c>
      <c r="R1385" t="e">
        <f ca="1">BDP("916091JT Muni","ISSUER_TYPE")</f>
        <v>#NAME?</v>
      </c>
      <c r="S1385" t="e">
        <f ca="1">BDS("916091JT Muni","ESG_PROJECT_CATEGORY", "aggregate=y")</f>
        <v>#NAME?</v>
      </c>
      <c r="T1385" t="e">
        <f ca="1">BDS("916091JT Muni","ESG_PROJECT_SUBCATEGORY", "aggregate=y")</f>
        <v>#NAME?</v>
      </c>
    </row>
    <row r="1386" spans="1:20" x14ac:dyDescent="0.25">
      <c r="A1386" t="e">
        <f ca="1">BDP("916091JU Muni","ID_CUSIP")</f>
        <v>#NAME?</v>
      </c>
      <c r="B1386" t="e">
        <f ca="1">BDP("916091JU Muni","STATE_CODE")</f>
        <v>#NAME?</v>
      </c>
      <c r="C1386" t="s">
        <v>86</v>
      </c>
      <c r="D1386" t="e">
        <f ca="1">BDP("916091JU Muni","YIELD_ON_ISSUE_DATE")</f>
        <v>#NAME?</v>
      </c>
      <c r="E1386">
        <v>535000</v>
      </c>
      <c r="F1386" t="e">
        <f ca="1">BDP("916091JU Muni","ISSUE_DT")</f>
        <v>#NAME?</v>
      </c>
      <c r="G1386" t="e">
        <f ca="1">BDP("916091JU Muni","MATURITY")</f>
        <v>#NAME?</v>
      </c>
      <c r="H1386" t="e">
        <f ca="1">BDP("916091JU Muni","MUNI_TAX_PROV")</f>
        <v>#NAME?</v>
      </c>
      <c r="I1386" t="e">
        <f ca="1">BDP("916091JU Muni","FINANCING_TYPE")</f>
        <v>#NAME?</v>
      </c>
      <c r="J1386" t="e">
        <f ca="1">BDP("916091JU Muni","BICS_LEVEL_2_INDUSTRY_GROUP_NAME")</f>
        <v>#NAME?</v>
      </c>
      <c r="K1386" t="e">
        <f ca="1">BDP("916091JU Muni","SELF_REPRTD_GREEN_INSTR_INDCTR")</f>
        <v>#NAME?</v>
      </c>
      <c r="L1386" t="e">
        <f ca="1">BDP("916091JU Muni","GB_MANAGEMENT_PROCEEDS")</f>
        <v>#NAME?</v>
      </c>
      <c r="M1386" t="e">
        <f ca="1">BDP("916091JU Muni","GB_REPORTING")</f>
        <v>#NAME?</v>
      </c>
      <c r="N1386" t="e">
        <f ca="1">BDP("916091JU Muni","GB_ASSURANCE_PROVIDERS")</f>
        <v>#NAME?</v>
      </c>
      <c r="O1386" t="e">
        <f ca="1">BDP("916091JU Muni","GB_PROJECT_SELECTION_PROCESS")</f>
        <v>#NAME?</v>
      </c>
      <c r="P1386" t="e">
        <f ca="1">BDP("916091JU Muni","ESG_FRAMEWORK_INDICATOR")</f>
        <v>#NAME?</v>
      </c>
      <c r="Q1386" t="e">
        <f ca="1">BDP("916091JU Muni","BLOOMBERG_SECTOR_CODE")</f>
        <v>#NAME?</v>
      </c>
      <c r="R1386" t="e">
        <f ca="1">BDP("916091JU Muni","ISSUER_TYPE")</f>
        <v>#NAME?</v>
      </c>
      <c r="S1386" t="e">
        <f ca="1">BDS("916091JU Muni","ESG_PROJECT_CATEGORY", "aggregate=y")</f>
        <v>#NAME?</v>
      </c>
      <c r="T1386" t="e">
        <f ca="1">BDS("916091JU Muni","ESG_PROJECT_SUBCATEGORY", "aggregate=y")</f>
        <v>#NAME?</v>
      </c>
    </row>
    <row r="1387" spans="1:20" x14ac:dyDescent="0.25">
      <c r="A1387" t="e">
        <f ca="1">BDP("916091JV Muni","ID_CUSIP")</f>
        <v>#NAME?</v>
      </c>
      <c r="B1387" t="e">
        <f ca="1">BDP("916091JV Muni","STATE_CODE")</f>
        <v>#NAME?</v>
      </c>
      <c r="C1387" t="s">
        <v>86</v>
      </c>
      <c r="D1387" t="e">
        <f ca="1">BDP("916091JV Muni","YIELD_ON_ISSUE_DATE")</f>
        <v>#NAME?</v>
      </c>
      <c r="E1387">
        <v>560000</v>
      </c>
      <c r="F1387" t="e">
        <f ca="1">BDP("916091JV Muni","ISSUE_DT")</f>
        <v>#NAME?</v>
      </c>
      <c r="G1387" t="e">
        <f ca="1">BDP("916091JV Muni","MATURITY")</f>
        <v>#NAME?</v>
      </c>
      <c r="H1387" t="e">
        <f ca="1">BDP("916091JV Muni","MUNI_TAX_PROV")</f>
        <v>#NAME?</v>
      </c>
      <c r="I1387" t="e">
        <f ca="1">BDP("916091JV Muni","FINANCING_TYPE")</f>
        <v>#NAME?</v>
      </c>
      <c r="J1387" t="e">
        <f ca="1">BDP("916091JV Muni","BICS_LEVEL_2_INDUSTRY_GROUP_NAME")</f>
        <v>#NAME?</v>
      </c>
      <c r="K1387" t="e">
        <f ca="1">BDP("916091JV Muni","SELF_REPRTD_GREEN_INSTR_INDCTR")</f>
        <v>#NAME?</v>
      </c>
      <c r="L1387" t="e">
        <f ca="1">BDP("916091JV Muni","GB_MANAGEMENT_PROCEEDS")</f>
        <v>#NAME?</v>
      </c>
      <c r="M1387" t="e">
        <f ca="1">BDP("916091JV Muni","GB_REPORTING")</f>
        <v>#NAME?</v>
      </c>
      <c r="N1387" t="e">
        <f ca="1">BDP("916091JV Muni","GB_ASSURANCE_PROVIDERS")</f>
        <v>#NAME?</v>
      </c>
      <c r="O1387" t="e">
        <f ca="1">BDP("916091JV Muni","GB_PROJECT_SELECTION_PROCESS")</f>
        <v>#NAME?</v>
      </c>
      <c r="P1387" t="e">
        <f ca="1">BDP("916091JV Muni","ESG_FRAMEWORK_INDICATOR")</f>
        <v>#NAME?</v>
      </c>
      <c r="Q1387" t="e">
        <f ca="1">BDP("916091JV Muni","BLOOMBERG_SECTOR_CODE")</f>
        <v>#NAME?</v>
      </c>
      <c r="R1387" t="e">
        <f ca="1">BDP("916091JV Muni","ISSUER_TYPE")</f>
        <v>#NAME?</v>
      </c>
      <c r="S1387" t="e">
        <f ca="1">BDS("916091JV Muni","ESG_PROJECT_CATEGORY", "aggregate=y")</f>
        <v>#NAME?</v>
      </c>
      <c r="T1387" t="e">
        <f ca="1">BDS("916091JV Muni","ESG_PROJECT_SUBCATEGORY", "aggregate=y")</f>
        <v>#NAME?</v>
      </c>
    </row>
    <row r="1388" spans="1:20" x14ac:dyDescent="0.25">
      <c r="A1388" t="e">
        <f ca="1">BDP("916091JW Muni","ID_CUSIP")</f>
        <v>#NAME?</v>
      </c>
      <c r="B1388" t="e">
        <f ca="1">BDP("916091JW Muni","STATE_CODE")</f>
        <v>#NAME?</v>
      </c>
      <c r="C1388" t="s">
        <v>86</v>
      </c>
      <c r="D1388" t="e">
        <f ca="1">BDP("916091JW Muni","YIELD_ON_ISSUE_DATE")</f>
        <v>#NAME?</v>
      </c>
      <c r="E1388">
        <v>590000</v>
      </c>
      <c r="F1388" t="e">
        <f ca="1">BDP("916091JW Muni","ISSUE_DT")</f>
        <v>#NAME?</v>
      </c>
      <c r="G1388" t="e">
        <f ca="1">BDP("916091JW Muni","MATURITY")</f>
        <v>#NAME?</v>
      </c>
      <c r="H1388" t="e">
        <f ca="1">BDP("916091JW Muni","MUNI_TAX_PROV")</f>
        <v>#NAME?</v>
      </c>
      <c r="I1388" t="e">
        <f ca="1">BDP("916091JW Muni","FINANCING_TYPE")</f>
        <v>#NAME?</v>
      </c>
      <c r="J1388" t="e">
        <f ca="1">BDP("916091JW Muni","BICS_LEVEL_2_INDUSTRY_GROUP_NAME")</f>
        <v>#NAME?</v>
      </c>
      <c r="K1388" t="e">
        <f ca="1">BDP("916091JW Muni","SELF_REPRTD_GREEN_INSTR_INDCTR")</f>
        <v>#NAME?</v>
      </c>
      <c r="L1388" t="e">
        <f ca="1">BDP("916091JW Muni","GB_MANAGEMENT_PROCEEDS")</f>
        <v>#NAME?</v>
      </c>
      <c r="M1388" t="e">
        <f ca="1">BDP("916091JW Muni","GB_REPORTING")</f>
        <v>#NAME?</v>
      </c>
      <c r="N1388" t="e">
        <f ca="1">BDP("916091JW Muni","GB_ASSURANCE_PROVIDERS")</f>
        <v>#NAME?</v>
      </c>
      <c r="O1388" t="e">
        <f ca="1">BDP("916091JW Muni","GB_PROJECT_SELECTION_PROCESS")</f>
        <v>#NAME?</v>
      </c>
      <c r="P1388" t="e">
        <f ca="1">BDP("916091JW Muni","ESG_FRAMEWORK_INDICATOR")</f>
        <v>#NAME?</v>
      </c>
      <c r="Q1388" t="e">
        <f ca="1">BDP("916091JW Muni","BLOOMBERG_SECTOR_CODE")</f>
        <v>#NAME?</v>
      </c>
      <c r="R1388" t="e">
        <f ca="1">BDP("916091JW Muni","ISSUER_TYPE")</f>
        <v>#NAME?</v>
      </c>
      <c r="S1388" t="e">
        <f ca="1">BDS("916091JW Muni","ESG_PROJECT_CATEGORY", "aggregate=y")</f>
        <v>#NAME?</v>
      </c>
      <c r="T1388" t="e">
        <f ca="1">BDS("916091JW Muni","ESG_PROJECT_SUBCATEGORY", "aggregate=y")</f>
        <v>#NAME?</v>
      </c>
    </row>
    <row r="1389" spans="1:20" x14ac:dyDescent="0.25">
      <c r="A1389" t="e">
        <f ca="1">BDP("916091JX Muni","ID_CUSIP")</f>
        <v>#NAME?</v>
      </c>
      <c r="B1389" t="e">
        <f ca="1">BDP("916091JX Muni","STATE_CODE")</f>
        <v>#NAME?</v>
      </c>
      <c r="C1389" t="s">
        <v>86</v>
      </c>
      <c r="D1389" t="e">
        <f ca="1">BDP("916091JX Muni","YIELD_ON_ISSUE_DATE")</f>
        <v>#NAME?</v>
      </c>
      <c r="E1389">
        <v>620000</v>
      </c>
      <c r="F1389" t="e">
        <f ca="1">BDP("916091JX Muni","ISSUE_DT")</f>
        <v>#NAME?</v>
      </c>
      <c r="G1389" t="e">
        <f ca="1">BDP("916091JX Muni","MATURITY")</f>
        <v>#NAME?</v>
      </c>
      <c r="H1389" t="e">
        <f ca="1">BDP("916091JX Muni","MUNI_TAX_PROV")</f>
        <v>#NAME?</v>
      </c>
      <c r="I1389" t="e">
        <f ca="1">BDP("916091JX Muni","FINANCING_TYPE")</f>
        <v>#NAME?</v>
      </c>
      <c r="J1389" t="e">
        <f ca="1">BDP("916091JX Muni","BICS_LEVEL_2_INDUSTRY_GROUP_NAME")</f>
        <v>#NAME?</v>
      </c>
      <c r="K1389" t="e">
        <f ca="1">BDP("916091JX Muni","SELF_REPRTD_GREEN_INSTR_INDCTR")</f>
        <v>#NAME?</v>
      </c>
      <c r="L1389" t="e">
        <f ca="1">BDP("916091JX Muni","GB_MANAGEMENT_PROCEEDS")</f>
        <v>#NAME?</v>
      </c>
      <c r="M1389" t="e">
        <f ca="1">BDP("916091JX Muni","GB_REPORTING")</f>
        <v>#NAME?</v>
      </c>
      <c r="N1389" t="e">
        <f ca="1">BDP("916091JX Muni","GB_ASSURANCE_PROVIDERS")</f>
        <v>#NAME?</v>
      </c>
      <c r="O1389" t="e">
        <f ca="1">BDP("916091JX Muni","GB_PROJECT_SELECTION_PROCESS")</f>
        <v>#NAME?</v>
      </c>
      <c r="P1389" t="e">
        <f ca="1">BDP("916091JX Muni","ESG_FRAMEWORK_INDICATOR")</f>
        <v>#NAME?</v>
      </c>
      <c r="Q1389" t="e">
        <f ca="1">BDP("916091JX Muni","BLOOMBERG_SECTOR_CODE")</f>
        <v>#NAME?</v>
      </c>
      <c r="R1389" t="e">
        <f ca="1">BDP("916091JX Muni","ISSUER_TYPE")</f>
        <v>#NAME?</v>
      </c>
      <c r="S1389" t="e">
        <f ca="1">BDS("916091JX Muni","ESG_PROJECT_CATEGORY", "aggregate=y")</f>
        <v>#NAME?</v>
      </c>
      <c r="T1389" t="e">
        <f ca="1">BDS("916091JX Muni","ESG_PROJECT_SUBCATEGORY", "aggregate=y")</f>
        <v>#NAME?</v>
      </c>
    </row>
    <row r="1390" spans="1:20" x14ac:dyDescent="0.25">
      <c r="A1390" t="e">
        <f ca="1">BDP("916091JY Muni","ID_CUSIP")</f>
        <v>#NAME?</v>
      </c>
      <c r="B1390" t="e">
        <f ca="1">BDP("916091JY Muni","STATE_CODE")</f>
        <v>#NAME?</v>
      </c>
      <c r="C1390" t="s">
        <v>86</v>
      </c>
      <c r="D1390" t="e">
        <f ca="1">BDP("916091JY Muni","YIELD_ON_ISSUE_DATE")</f>
        <v>#NAME?</v>
      </c>
      <c r="E1390">
        <v>650000</v>
      </c>
      <c r="F1390" t="e">
        <f ca="1">BDP("916091JY Muni","ISSUE_DT")</f>
        <v>#NAME?</v>
      </c>
      <c r="G1390" t="e">
        <f ca="1">BDP("916091JY Muni","MATURITY")</f>
        <v>#NAME?</v>
      </c>
      <c r="H1390" t="e">
        <f ca="1">BDP("916091JY Muni","MUNI_TAX_PROV")</f>
        <v>#NAME?</v>
      </c>
      <c r="I1390" t="e">
        <f ca="1">BDP("916091JY Muni","FINANCING_TYPE")</f>
        <v>#NAME?</v>
      </c>
      <c r="J1390" t="e">
        <f ca="1">BDP("916091JY Muni","BICS_LEVEL_2_INDUSTRY_GROUP_NAME")</f>
        <v>#NAME?</v>
      </c>
      <c r="K1390" t="e">
        <f ca="1">BDP("916091JY Muni","SELF_REPRTD_GREEN_INSTR_INDCTR")</f>
        <v>#NAME?</v>
      </c>
      <c r="L1390" t="e">
        <f ca="1">BDP("916091JY Muni","GB_MANAGEMENT_PROCEEDS")</f>
        <v>#NAME?</v>
      </c>
      <c r="M1390" t="e">
        <f ca="1">BDP("916091JY Muni","GB_REPORTING")</f>
        <v>#NAME?</v>
      </c>
      <c r="N1390" t="e">
        <f ca="1">BDP("916091JY Muni","GB_ASSURANCE_PROVIDERS")</f>
        <v>#NAME?</v>
      </c>
      <c r="O1390" t="e">
        <f ca="1">BDP("916091JY Muni","GB_PROJECT_SELECTION_PROCESS")</f>
        <v>#NAME?</v>
      </c>
      <c r="P1390" t="e">
        <f ca="1">BDP("916091JY Muni","ESG_FRAMEWORK_INDICATOR")</f>
        <v>#NAME?</v>
      </c>
      <c r="Q1390" t="e">
        <f ca="1">BDP("916091JY Muni","BLOOMBERG_SECTOR_CODE")</f>
        <v>#NAME?</v>
      </c>
      <c r="R1390" t="e">
        <f ca="1">BDP("916091JY Muni","ISSUER_TYPE")</f>
        <v>#NAME?</v>
      </c>
      <c r="S1390" t="e">
        <f ca="1">BDS("916091JY Muni","ESG_PROJECT_CATEGORY", "aggregate=y")</f>
        <v>#NAME?</v>
      </c>
      <c r="T1390" t="e">
        <f ca="1">BDS("916091JY Muni","ESG_PROJECT_SUBCATEGORY", "aggregate=y")</f>
        <v>#NAME?</v>
      </c>
    </row>
    <row r="1391" spans="1:20" x14ac:dyDescent="0.25">
      <c r="A1391" t="e">
        <f ca="1">BDP("916091JZ Muni","ID_CUSIP")</f>
        <v>#NAME?</v>
      </c>
      <c r="B1391" t="e">
        <f ca="1">BDP("916091JZ Muni","STATE_CODE")</f>
        <v>#NAME?</v>
      </c>
      <c r="C1391" t="s">
        <v>86</v>
      </c>
      <c r="D1391" t="e">
        <f ca="1">BDP("916091JZ Muni","YIELD_ON_ISSUE_DATE")</f>
        <v>#NAME?</v>
      </c>
      <c r="E1391">
        <v>685000</v>
      </c>
      <c r="F1391" t="e">
        <f ca="1">BDP("916091JZ Muni","ISSUE_DT")</f>
        <v>#NAME?</v>
      </c>
      <c r="G1391" t="e">
        <f ca="1">BDP("916091JZ Muni","MATURITY")</f>
        <v>#NAME?</v>
      </c>
      <c r="H1391" t="e">
        <f ca="1">BDP("916091JZ Muni","MUNI_TAX_PROV")</f>
        <v>#NAME?</v>
      </c>
      <c r="I1391" t="e">
        <f ca="1">BDP("916091JZ Muni","FINANCING_TYPE")</f>
        <v>#NAME?</v>
      </c>
      <c r="J1391" t="e">
        <f ca="1">BDP("916091JZ Muni","BICS_LEVEL_2_INDUSTRY_GROUP_NAME")</f>
        <v>#NAME?</v>
      </c>
      <c r="K1391" t="e">
        <f ca="1">BDP("916091JZ Muni","SELF_REPRTD_GREEN_INSTR_INDCTR")</f>
        <v>#NAME?</v>
      </c>
      <c r="L1391" t="e">
        <f ca="1">BDP("916091JZ Muni","GB_MANAGEMENT_PROCEEDS")</f>
        <v>#NAME?</v>
      </c>
      <c r="M1391" t="e">
        <f ca="1">BDP("916091JZ Muni","GB_REPORTING")</f>
        <v>#NAME?</v>
      </c>
      <c r="N1391" t="e">
        <f ca="1">BDP("916091JZ Muni","GB_ASSURANCE_PROVIDERS")</f>
        <v>#NAME?</v>
      </c>
      <c r="O1391" t="e">
        <f ca="1">BDP("916091JZ Muni","GB_PROJECT_SELECTION_PROCESS")</f>
        <v>#NAME?</v>
      </c>
      <c r="P1391" t="e">
        <f ca="1">BDP("916091JZ Muni","ESG_FRAMEWORK_INDICATOR")</f>
        <v>#NAME?</v>
      </c>
      <c r="Q1391" t="e">
        <f ca="1">BDP("916091JZ Muni","BLOOMBERG_SECTOR_CODE")</f>
        <v>#NAME?</v>
      </c>
      <c r="R1391" t="e">
        <f ca="1">BDP("916091JZ Muni","ISSUER_TYPE")</f>
        <v>#NAME?</v>
      </c>
      <c r="S1391" t="e">
        <f ca="1">BDS("916091JZ Muni","ESG_PROJECT_CATEGORY", "aggregate=y")</f>
        <v>#NAME?</v>
      </c>
      <c r="T1391" t="e">
        <f ca="1">BDS("916091JZ Muni","ESG_PROJECT_SUBCATEGORY", "aggregate=y")</f>
        <v>#NAME?</v>
      </c>
    </row>
    <row r="1392" spans="1:20" x14ac:dyDescent="0.25">
      <c r="A1392" t="e">
        <f ca="1">BDP("916091KA Muni","ID_CUSIP")</f>
        <v>#NAME?</v>
      </c>
      <c r="B1392" t="e">
        <f ca="1">BDP("916091KA Muni","STATE_CODE")</f>
        <v>#NAME?</v>
      </c>
      <c r="C1392" t="s">
        <v>86</v>
      </c>
      <c r="D1392" t="e">
        <f ca="1">BDP("916091KA Muni","YIELD_ON_ISSUE_DATE")</f>
        <v>#NAME?</v>
      </c>
      <c r="E1392">
        <v>720000</v>
      </c>
      <c r="F1392" t="e">
        <f ca="1">BDP("916091KA Muni","ISSUE_DT")</f>
        <v>#NAME?</v>
      </c>
      <c r="G1392" t="e">
        <f ca="1">BDP("916091KA Muni","MATURITY")</f>
        <v>#NAME?</v>
      </c>
      <c r="H1392" t="e">
        <f ca="1">BDP("916091KA Muni","MUNI_TAX_PROV")</f>
        <v>#NAME?</v>
      </c>
      <c r="I1392" t="e">
        <f ca="1">BDP("916091KA Muni","FINANCING_TYPE")</f>
        <v>#NAME?</v>
      </c>
      <c r="J1392" t="e">
        <f ca="1">BDP("916091KA Muni","BICS_LEVEL_2_INDUSTRY_GROUP_NAME")</f>
        <v>#NAME?</v>
      </c>
      <c r="K1392" t="e">
        <f ca="1">BDP("916091KA Muni","SELF_REPRTD_GREEN_INSTR_INDCTR")</f>
        <v>#NAME?</v>
      </c>
      <c r="L1392" t="e">
        <f ca="1">BDP("916091KA Muni","GB_MANAGEMENT_PROCEEDS")</f>
        <v>#NAME?</v>
      </c>
      <c r="M1392" t="e">
        <f ca="1">BDP("916091KA Muni","GB_REPORTING")</f>
        <v>#NAME?</v>
      </c>
      <c r="N1392" t="e">
        <f ca="1">BDP("916091KA Muni","GB_ASSURANCE_PROVIDERS")</f>
        <v>#NAME?</v>
      </c>
      <c r="O1392" t="e">
        <f ca="1">BDP("916091KA Muni","GB_PROJECT_SELECTION_PROCESS")</f>
        <v>#NAME?</v>
      </c>
      <c r="P1392" t="e">
        <f ca="1">BDP("916091KA Muni","ESG_FRAMEWORK_INDICATOR")</f>
        <v>#NAME?</v>
      </c>
      <c r="Q1392" t="e">
        <f ca="1">BDP("916091KA Muni","BLOOMBERG_SECTOR_CODE")</f>
        <v>#NAME?</v>
      </c>
      <c r="R1392" t="e">
        <f ca="1">BDP("916091KA Muni","ISSUER_TYPE")</f>
        <v>#NAME?</v>
      </c>
      <c r="S1392" t="e">
        <f ca="1">BDS("916091KA Muni","ESG_PROJECT_CATEGORY", "aggregate=y")</f>
        <v>#NAME?</v>
      </c>
      <c r="T1392" t="e">
        <f ca="1">BDS("916091KA Muni","ESG_PROJECT_SUBCATEGORY", "aggregate=y")</f>
        <v>#NAME?</v>
      </c>
    </row>
    <row r="1393" spans="1:20" x14ac:dyDescent="0.25">
      <c r="A1393" t="e">
        <f ca="1">BDP("916091KB Muni","ID_CUSIP")</f>
        <v>#NAME?</v>
      </c>
      <c r="B1393" t="e">
        <f ca="1">BDP("916091KB Muni","STATE_CODE")</f>
        <v>#NAME?</v>
      </c>
      <c r="C1393" t="s">
        <v>86</v>
      </c>
      <c r="D1393" t="e">
        <f ca="1">BDP("916091KB Muni","YIELD_ON_ISSUE_DATE")</f>
        <v>#NAME?</v>
      </c>
      <c r="E1393">
        <v>755000</v>
      </c>
      <c r="F1393" t="e">
        <f ca="1">BDP("916091KB Muni","ISSUE_DT")</f>
        <v>#NAME?</v>
      </c>
      <c r="G1393" t="e">
        <f ca="1">BDP("916091KB Muni","MATURITY")</f>
        <v>#NAME?</v>
      </c>
      <c r="H1393" t="e">
        <f ca="1">BDP("916091KB Muni","MUNI_TAX_PROV")</f>
        <v>#NAME?</v>
      </c>
      <c r="I1393" t="e">
        <f ca="1">BDP("916091KB Muni","FINANCING_TYPE")</f>
        <v>#NAME?</v>
      </c>
      <c r="J1393" t="e">
        <f ca="1">BDP("916091KB Muni","BICS_LEVEL_2_INDUSTRY_GROUP_NAME")</f>
        <v>#NAME?</v>
      </c>
      <c r="K1393" t="e">
        <f ca="1">BDP("916091KB Muni","SELF_REPRTD_GREEN_INSTR_INDCTR")</f>
        <v>#NAME?</v>
      </c>
      <c r="L1393" t="e">
        <f ca="1">BDP("916091KB Muni","GB_MANAGEMENT_PROCEEDS")</f>
        <v>#NAME?</v>
      </c>
      <c r="M1393" t="e">
        <f ca="1">BDP("916091KB Muni","GB_REPORTING")</f>
        <v>#NAME?</v>
      </c>
      <c r="N1393" t="e">
        <f ca="1">BDP("916091KB Muni","GB_ASSURANCE_PROVIDERS")</f>
        <v>#NAME?</v>
      </c>
      <c r="O1393" t="e">
        <f ca="1">BDP("916091KB Muni","GB_PROJECT_SELECTION_PROCESS")</f>
        <v>#NAME?</v>
      </c>
      <c r="P1393" t="e">
        <f ca="1">BDP("916091KB Muni","ESG_FRAMEWORK_INDICATOR")</f>
        <v>#NAME?</v>
      </c>
      <c r="Q1393" t="e">
        <f ca="1">BDP("916091KB Muni","BLOOMBERG_SECTOR_CODE")</f>
        <v>#NAME?</v>
      </c>
      <c r="R1393" t="e">
        <f ca="1">BDP("916091KB Muni","ISSUER_TYPE")</f>
        <v>#NAME?</v>
      </c>
      <c r="S1393" t="e">
        <f ca="1">BDS("916091KB Muni","ESG_PROJECT_CATEGORY", "aggregate=y")</f>
        <v>#NAME?</v>
      </c>
      <c r="T1393" t="e">
        <f ca="1">BDS("916091KB Muni","ESG_PROJECT_SUBCATEGORY", "aggregate=y")</f>
        <v>#NAME?</v>
      </c>
    </row>
    <row r="1394" spans="1:20" x14ac:dyDescent="0.25">
      <c r="A1394" t="e">
        <f ca="1">BDP("916091KC Muni","ID_CUSIP")</f>
        <v>#NAME?</v>
      </c>
      <c r="B1394" t="e">
        <f ca="1">BDP("916091KC Muni","STATE_CODE")</f>
        <v>#NAME?</v>
      </c>
      <c r="C1394" t="s">
        <v>86</v>
      </c>
      <c r="D1394" t="e">
        <f ca="1">BDP("916091KC Muni","YIELD_ON_ISSUE_DATE")</f>
        <v>#NAME?</v>
      </c>
      <c r="E1394">
        <v>790000</v>
      </c>
      <c r="F1394" t="e">
        <f ca="1">BDP("916091KC Muni","ISSUE_DT")</f>
        <v>#NAME?</v>
      </c>
      <c r="G1394" t="e">
        <f ca="1">BDP("916091KC Muni","MATURITY")</f>
        <v>#NAME?</v>
      </c>
      <c r="H1394" t="e">
        <f ca="1">BDP("916091KC Muni","MUNI_TAX_PROV")</f>
        <v>#NAME?</v>
      </c>
      <c r="I1394" t="e">
        <f ca="1">BDP("916091KC Muni","FINANCING_TYPE")</f>
        <v>#NAME?</v>
      </c>
      <c r="J1394" t="e">
        <f ca="1">BDP("916091KC Muni","BICS_LEVEL_2_INDUSTRY_GROUP_NAME")</f>
        <v>#NAME?</v>
      </c>
      <c r="K1394" t="e">
        <f ca="1">BDP("916091KC Muni","SELF_REPRTD_GREEN_INSTR_INDCTR")</f>
        <v>#NAME?</v>
      </c>
      <c r="L1394" t="e">
        <f ca="1">BDP("916091KC Muni","GB_MANAGEMENT_PROCEEDS")</f>
        <v>#NAME?</v>
      </c>
      <c r="M1394" t="e">
        <f ca="1">BDP("916091KC Muni","GB_REPORTING")</f>
        <v>#NAME?</v>
      </c>
      <c r="N1394" t="e">
        <f ca="1">BDP("916091KC Muni","GB_ASSURANCE_PROVIDERS")</f>
        <v>#NAME?</v>
      </c>
      <c r="O1394" t="e">
        <f ca="1">BDP("916091KC Muni","GB_PROJECT_SELECTION_PROCESS")</f>
        <v>#NAME?</v>
      </c>
      <c r="P1394" t="e">
        <f ca="1">BDP("916091KC Muni","ESG_FRAMEWORK_INDICATOR")</f>
        <v>#NAME?</v>
      </c>
      <c r="Q1394" t="e">
        <f ca="1">BDP("916091KC Muni","BLOOMBERG_SECTOR_CODE")</f>
        <v>#NAME?</v>
      </c>
      <c r="R1394" t="e">
        <f ca="1">BDP("916091KC Muni","ISSUER_TYPE")</f>
        <v>#NAME?</v>
      </c>
      <c r="S1394" t="e">
        <f ca="1">BDS("916091KC Muni","ESG_PROJECT_CATEGORY", "aggregate=y")</f>
        <v>#NAME?</v>
      </c>
      <c r="T1394" t="e">
        <f ca="1">BDS("916091KC Muni","ESG_PROJECT_SUBCATEGORY", "aggregate=y")</f>
        <v>#NAME?</v>
      </c>
    </row>
    <row r="1395" spans="1:20" x14ac:dyDescent="0.25">
      <c r="A1395" t="e">
        <f ca="1">BDP("916091KF Muni","ID_CUSIP")</f>
        <v>#NAME?</v>
      </c>
      <c r="B1395" t="e">
        <f ca="1">BDP("916091KF Muni","STATE_CODE")</f>
        <v>#NAME?</v>
      </c>
      <c r="C1395" t="s">
        <v>86</v>
      </c>
      <c r="D1395" t="e">
        <f ca="1">BDP("916091KF Muni","YIELD_ON_ISSUE_DATE")</f>
        <v>#NAME?</v>
      </c>
      <c r="E1395">
        <v>895000</v>
      </c>
      <c r="F1395" t="e">
        <f ca="1">BDP("916091KF Muni","ISSUE_DT")</f>
        <v>#NAME?</v>
      </c>
      <c r="G1395" t="e">
        <f ca="1">BDP("916091KF Muni","MATURITY")</f>
        <v>#NAME?</v>
      </c>
      <c r="H1395" t="e">
        <f ca="1">BDP("916091KF Muni","MUNI_TAX_PROV")</f>
        <v>#NAME?</v>
      </c>
      <c r="I1395" t="e">
        <f ca="1">BDP("916091KF Muni","FINANCING_TYPE")</f>
        <v>#NAME?</v>
      </c>
      <c r="J1395" t="e">
        <f ca="1">BDP("916091KF Muni","BICS_LEVEL_2_INDUSTRY_GROUP_NAME")</f>
        <v>#NAME?</v>
      </c>
      <c r="K1395" t="e">
        <f ca="1">BDP("916091KF Muni","SELF_REPRTD_GREEN_INSTR_INDCTR")</f>
        <v>#NAME?</v>
      </c>
      <c r="L1395" t="e">
        <f ca="1">BDP("916091KF Muni","GB_MANAGEMENT_PROCEEDS")</f>
        <v>#NAME?</v>
      </c>
      <c r="M1395" t="e">
        <f ca="1">BDP("916091KF Muni","GB_REPORTING")</f>
        <v>#NAME?</v>
      </c>
      <c r="N1395" t="e">
        <f ca="1">BDP("916091KF Muni","GB_ASSURANCE_PROVIDERS")</f>
        <v>#NAME?</v>
      </c>
      <c r="O1395" t="e">
        <f ca="1">BDP("916091KF Muni","GB_PROJECT_SELECTION_PROCESS")</f>
        <v>#NAME?</v>
      </c>
      <c r="P1395" t="e">
        <f ca="1">BDP("916091KF Muni","ESG_FRAMEWORK_INDICATOR")</f>
        <v>#NAME?</v>
      </c>
      <c r="Q1395" t="e">
        <f ca="1">BDP("916091KF Muni","BLOOMBERG_SECTOR_CODE")</f>
        <v>#NAME?</v>
      </c>
      <c r="R1395" t="e">
        <f ca="1">BDP("916091KF Muni","ISSUER_TYPE")</f>
        <v>#NAME?</v>
      </c>
      <c r="S1395" t="e">
        <f ca="1">BDS("916091KF Muni","ESG_PROJECT_CATEGORY", "aggregate=y")</f>
        <v>#NAME?</v>
      </c>
      <c r="T1395" t="e">
        <f ca="1">BDS("916091KF Muni","ESG_PROJECT_SUBCATEGORY", "aggregate=y")</f>
        <v>#NAME?</v>
      </c>
    </row>
    <row r="1396" spans="1:20" x14ac:dyDescent="0.25">
      <c r="A1396" t="e">
        <f ca="1">BDP("916091KG Muni","ID_CUSIP")</f>
        <v>#NAME?</v>
      </c>
      <c r="B1396" t="e">
        <f ca="1">BDP("916091KG Muni","STATE_CODE")</f>
        <v>#NAME?</v>
      </c>
      <c r="C1396" t="s">
        <v>86</v>
      </c>
      <c r="D1396" t="e">
        <f ca="1">BDP("916091KG Muni","YIELD_ON_ISSUE_DATE")</f>
        <v>#NAME?</v>
      </c>
      <c r="E1396">
        <v>2915000</v>
      </c>
      <c r="F1396" t="e">
        <f ca="1">BDP("916091KG Muni","ISSUE_DT")</f>
        <v>#NAME?</v>
      </c>
      <c r="G1396" t="e">
        <f ca="1">BDP("916091KG Muni","MATURITY")</f>
        <v>#NAME?</v>
      </c>
      <c r="H1396" t="e">
        <f ca="1">BDP("916091KG Muni","MUNI_TAX_PROV")</f>
        <v>#NAME?</v>
      </c>
      <c r="I1396" t="e">
        <f ca="1">BDP("916091KG Muni","FINANCING_TYPE")</f>
        <v>#NAME?</v>
      </c>
      <c r="J1396" t="e">
        <f ca="1">BDP("916091KG Muni","BICS_LEVEL_2_INDUSTRY_GROUP_NAME")</f>
        <v>#NAME?</v>
      </c>
      <c r="K1396" t="e">
        <f ca="1">BDP("916091KG Muni","SELF_REPRTD_GREEN_INSTR_INDCTR")</f>
        <v>#NAME?</v>
      </c>
      <c r="L1396" t="e">
        <f ca="1">BDP("916091KG Muni","GB_MANAGEMENT_PROCEEDS")</f>
        <v>#NAME?</v>
      </c>
      <c r="M1396" t="e">
        <f ca="1">BDP("916091KG Muni","GB_REPORTING")</f>
        <v>#NAME?</v>
      </c>
      <c r="N1396" t="e">
        <f ca="1">BDP("916091KG Muni","GB_ASSURANCE_PROVIDERS")</f>
        <v>#NAME?</v>
      </c>
      <c r="O1396" t="e">
        <f ca="1">BDP("916091KG Muni","GB_PROJECT_SELECTION_PROCESS")</f>
        <v>#NAME?</v>
      </c>
      <c r="P1396" t="e">
        <f ca="1">BDP("916091KG Muni","ESG_FRAMEWORK_INDICATOR")</f>
        <v>#NAME?</v>
      </c>
      <c r="Q1396" t="e">
        <f ca="1">BDP("916091KG Muni","BLOOMBERG_SECTOR_CODE")</f>
        <v>#NAME?</v>
      </c>
      <c r="R1396" t="e">
        <f ca="1">BDP("916091KG Muni","ISSUER_TYPE")</f>
        <v>#NAME?</v>
      </c>
      <c r="S1396" t="e">
        <f ca="1">BDS("916091KG Muni","ESG_PROJECT_CATEGORY", "aggregate=y")</f>
        <v>#NAME?</v>
      </c>
      <c r="T1396" t="e">
        <f ca="1">BDS("916091KG Muni","ESG_PROJECT_SUBCATEGORY", "aggregate=y")</f>
        <v>#NAME?</v>
      </c>
    </row>
    <row r="1397" spans="1:20" x14ac:dyDescent="0.25">
      <c r="A1397" t="e">
        <f ca="1">BDP("91802RJJ Muni","ID_CUSIP")</f>
        <v>#NAME?</v>
      </c>
      <c r="B1397" t="e">
        <f ca="1">BDP("91802RJJ Muni","STATE_CODE")</f>
        <v>#NAME?</v>
      </c>
      <c r="C1397" t="s">
        <v>87</v>
      </c>
      <c r="D1397" t="e">
        <f ca="1">BDP("91802RJJ Muni","YIELD_ON_ISSUE_DATE")</f>
        <v>#NAME?</v>
      </c>
      <c r="E1397">
        <v>17130000</v>
      </c>
      <c r="F1397" t="e">
        <f ca="1">BDP("91802RJJ Muni","ISSUE_DT")</f>
        <v>#NAME?</v>
      </c>
      <c r="G1397" t="e">
        <f ca="1">BDP("91802RJJ Muni","MATURITY")</f>
        <v>#NAME?</v>
      </c>
      <c r="H1397" t="e">
        <f ca="1">BDP("91802RJJ Muni","MUNI_TAX_PROV")</f>
        <v>#NAME?</v>
      </c>
      <c r="I1397" t="e">
        <f ca="1">BDP("91802RJJ Muni","FINANCING_TYPE")</f>
        <v>#NAME?</v>
      </c>
      <c r="J1397" t="e">
        <f ca="1">BDP("91802RJJ Muni","BICS_LEVEL_2_INDUSTRY_GROUP_NAME")</f>
        <v>#NAME?</v>
      </c>
      <c r="K1397" t="e">
        <f ca="1">BDP("91802RJJ Muni","SELF_REPRTD_GREEN_INSTR_INDCTR")</f>
        <v>#NAME?</v>
      </c>
      <c r="L1397" t="e">
        <f ca="1">BDP("91802RJJ Muni","GB_MANAGEMENT_PROCEEDS")</f>
        <v>#NAME?</v>
      </c>
      <c r="M1397" t="e">
        <f ca="1">BDP("91802RJJ Muni","GB_REPORTING")</f>
        <v>#NAME?</v>
      </c>
      <c r="N1397" t="e">
        <f ca="1">BDP("91802RJJ Muni","GB_ASSURANCE_PROVIDERS")</f>
        <v>#NAME?</v>
      </c>
      <c r="O1397" t="e">
        <f ca="1">BDP("91802RJJ Muni","GB_PROJECT_SELECTION_PROCESS")</f>
        <v>#NAME?</v>
      </c>
      <c r="P1397" t="e">
        <f ca="1">BDP("91802RJJ Muni","ESG_FRAMEWORK_INDICATOR")</f>
        <v>#NAME?</v>
      </c>
      <c r="Q1397" t="e">
        <f ca="1">BDP("91802RJJ Muni","BLOOMBERG_SECTOR_CODE")</f>
        <v>#NAME?</v>
      </c>
      <c r="R1397" t="e">
        <f ca="1">BDP("91802RJJ Muni","ISSUER_TYPE")</f>
        <v>#NAME?</v>
      </c>
      <c r="S1397" t="e">
        <f ca="1">BDS("91802RJJ Muni","ESG_PROJECT_CATEGORY", "aggregate=y")</f>
        <v>#NAME?</v>
      </c>
      <c r="T1397" t="e">
        <f ca="1">BDS("91802RJJ Muni","ESG_PROJECT_SUBCATEGORY", "aggregate=y")</f>
        <v>#NAME?</v>
      </c>
    </row>
    <row r="1398" spans="1:20" x14ac:dyDescent="0.25">
      <c r="A1398" t="e">
        <f ca="1">BDP("91802RJL Muni","ID_CUSIP")</f>
        <v>#NAME?</v>
      </c>
      <c r="B1398" t="e">
        <f ca="1">BDP("91802RJL Muni","STATE_CODE")</f>
        <v>#NAME?</v>
      </c>
      <c r="C1398" t="s">
        <v>87</v>
      </c>
      <c r="D1398" t="e">
        <f ca="1">BDP("91802RJL Muni","YIELD_ON_ISSUE_DATE")</f>
        <v>#NAME?</v>
      </c>
      <c r="E1398">
        <v>18695000</v>
      </c>
      <c r="F1398" t="e">
        <f ca="1">BDP("91802RJL Muni","ISSUE_DT")</f>
        <v>#NAME?</v>
      </c>
      <c r="G1398" t="e">
        <f ca="1">BDP("91802RJL Muni","MATURITY")</f>
        <v>#NAME?</v>
      </c>
      <c r="H1398" t="e">
        <f ca="1">BDP("91802RJL Muni","MUNI_TAX_PROV")</f>
        <v>#NAME?</v>
      </c>
      <c r="I1398" t="e">
        <f ca="1">BDP("91802RJL Muni","FINANCING_TYPE")</f>
        <v>#NAME?</v>
      </c>
      <c r="J1398" t="e">
        <f ca="1">BDP("91802RJL Muni","BICS_LEVEL_2_INDUSTRY_GROUP_NAME")</f>
        <v>#NAME?</v>
      </c>
      <c r="K1398" t="e">
        <f ca="1">BDP("91802RJL Muni","SELF_REPRTD_GREEN_INSTR_INDCTR")</f>
        <v>#NAME?</v>
      </c>
      <c r="L1398" t="e">
        <f ca="1">BDP("91802RJL Muni","GB_MANAGEMENT_PROCEEDS")</f>
        <v>#NAME?</v>
      </c>
      <c r="M1398" t="e">
        <f ca="1">BDP("91802RJL Muni","GB_REPORTING")</f>
        <v>#NAME?</v>
      </c>
      <c r="N1398" t="e">
        <f ca="1">BDP("91802RJL Muni","GB_ASSURANCE_PROVIDERS")</f>
        <v>#NAME?</v>
      </c>
      <c r="O1398" t="e">
        <f ca="1">BDP("91802RJL Muni","GB_PROJECT_SELECTION_PROCESS")</f>
        <v>#NAME?</v>
      </c>
      <c r="P1398" t="e">
        <f ca="1">BDP("91802RJL Muni","ESG_FRAMEWORK_INDICATOR")</f>
        <v>#NAME?</v>
      </c>
      <c r="Q1398" t="e">
        <f ca="1">BDP("91802RJL Muni","BLOOMBERG_SECTOR_CODE")</f>
        <v>#NAME?</v>
      </c>
      <c r="R1398" t="e">
        <f ca="1">BDP("91802RJL Muni","ISSUER_TYPE")</f>
        <v>#NAME?</v>
      </c>
      <c r="S1398" t="e">
        <f ca="1">BDS("91802RJL Muni","ESG_PROJECT_CATEGORY", "aggregate=y")</f>
        <v>#NAME?</v>
      </c>
      <c r="T1398" t="e">
        <f ca="1">BDS("91802RJL Muni","ESG_PROJECT_SUBCATEGORY", "aggregate=y")</f>
        <v>#NAME?</v>
      </c>
    </row>
    <row r="1399" spans="1:20" x14ac:dyDescent="0.25">
      <c r="A1399" t="e">
        <f ca="1">BDP("88035RM5 Muni","ID_CUSIP")</f>
        <v>#NAME?</v>
      </c>
      <c r="B1399" t="e">
        <f ca="1">BDP("88035RM5 Muni","STATE_CODE")</f>
        <v>#NAME?</v>
      </c>
      <c r="C1399" t="s">
        <v>25</v>
      </c>
      <c r="D1399" t="e">
        <f ca="1">BDP("88035RM5 Muni","YIELD_ON_ISSUE_DATE")</f>
        <v>#NAME?</v>
      </c>
      <c r="E1399">
        <v>3525000</v>
      </c>
      <c r="F1399" t="e">
        <f ca="1">BDP("88035RM5 Muni","ISSUE_DT")</f>
        <v>#NAME?</v>
      </c>
      <c r="G1399" t="e">
        <f ca="1">BDP("88035RM5 Muni","MATURITY")</f>
        <v>#NAME?</v>
      </c>
      <c r="H1399" t="e">
        <f ca="1">BDP("88035RM5 Muni","MUNI_TAX_PROV")</f>
        <v>#NAME?</v>
      </c>
      <c r="I1399" t="e">
        <f ca="1">BDP("88035RM5 Muni","FINANCING_TYPE")</f>
        <v>#NAME?</v>
      </c>
      <c r="J1399" t="e">
        <f ca="1">BDP("88035RM5 Muni","BICS_LEVEL_2_INDUSTRY_GROUP_NAME")</f>
        <v>#NAME?</v>
      </c>
      <c r="K1399" t="e">
        <f ca="1">BDP("88035RM5 Muni","SELF_REPRTD_GREEN_INSTR_INDCTR")</f>
        <v>#NAME?</v>
      </c>
      <c r="L1399" t="e">
        <f ca="1">BDP("88035RM5 Muni","GB_MANAGEMENT_PROCEEDS")</f>
        <v>#NAME?</v>
      </c>
      <c r="M1399" t="e">
        <f ca="1">BDP("88035RM5 Muni","GB_REPORTING")</f>
        <v>#NAME?</v>
      </c>
      <c r="N1399" t="e">
        <f ca="1">BDP("88035RM5 Muni","GB_ASSURANCE_PROVIDERS")</f>
        <v>#NAME?</v>
      </c>
      <c r="O1399" t="e">
        <f ca="1">BDP("88035RM5 Muni","GB_PROJECT_SELECTION_PROCESS")</f>
        <v>#NAME?</v>
      </c>
      <c r="P1399" t="e">
        <f ca="1">BDP("88035RM5 Muni","ESG_FRAMEWORK_INDICATOR")</f>
        <v>#NAME?</v>
      </c>
      <c r="Q1399" t="e">
        <f ca="1">BDP("88035RM5 Muni","BLOOMBERG_SECTOR_CODE")</f>
        <v>#NAME?</v>
      </c>
      <c r="R1399" t="e">
        <f ca="1">BDP("88035RM5 Muni","ISSUER_TYPE")</f>
        <v>#NAME?</v>
      </c>
      <c r="S1399" t="e">
        <f ca="1">BDS("88035RM5 Muni","ESG_PROJECT_CATEGORY", "aggregate=y")</f>
        <v>#NAME?</v>
      </c>
      <c r="T1399" t="e">
        <f ca="1">BDS("88035RM5 Muni","ESG_PROJECT_SUBCATEGORY", "aggregate=y")</f>
        <v>#NAME?</v>
      </c>
    </row>
    <row r="1400" spans="1:20" x14ac:dyDescent="0.25">
      <c r="A1400" t="e">
        <f ca="1">BDP("916091JM Muni","ID_CUSIP")</f>
        <v>#NAME?</v>
      </c>
      <c r="B1400" t="e">
        <f ca="1">BDP("916091JM Muni","STATE_CODE")</f>
        <v>#NAME?</v>
      </c>
      <c r="C1400" t="s">
        <v>86</v>
      </c>
      <c r="D1400" t="e">
        <f ca="1">BDP("916091JM Muni","YIELD_ON_ISSUE_DATE")</f>
        <v>#NAME?</v>
      </c>
      <c r="E1400">
        <v>160000</v>
      </c>
      <c r="F1400" t="e">
        <f ca="1">BDP("916091JM Muni","ISSUE_DT")</f>
        <v>#NAME?</v>
      </c>
      <c r="G1400" t="e">
        <f ca="1">BDP("916091JM Muni","MATURITY")</f>
        <v>#NAME?</v>
      </c>
      <c r="H1400" t="e">
        <f ca="1">BDP("916091JM Muni","MUNI_TAX_PROV")</f>
        <v>#NAME?</v>
      </c>
      <c r="I1400" t="e">
        <f ca="1">BDP("916091JM Muni","FINANCING_TYPE")</f>
        <v>#NAME?</v>
      </c>
      <c r="J1400" t="e">
        <f ca="1">BDP("916091JM Muni","BICS_LEVEL_2_INDUSTRY_GROUP_NAME")</f>
        <v>#NAME?</v>
      </c>
      <c r="K1400" t="e">
        <f ca="1">BDP("916091JM Muni","SELF_REPRTD_GREEN_INSTR_INDCTR")</f>
        <v>#NAME?</v>
      </c>
      <c r="L1400" t="e">
        <f ca="1">BDP("916091JM Muni","GB_MANAGEMENT_PROCEEDS")</f>
        <v>#NAME?</v>
      </c>
      <c r="M1400" t="e">
        <f ca="1">BDP("916091JM Muni","GB_REPORTING")</f>
        <v>#NAME?</v>
      </c>
      <c r="N1400" t="e">
        <f ca="1">BDP("916091JM Muni","GB_ASSURANCE_PROVIDERS")</f>
        <v>#NAME?</v>
      </c>
      <c r="O1400" t="e">
        <f ca="1">BDP("916091JM Muni","GB_PROJECT_SELECTION_PROCESS")</f>
        <v>#NAME?</v>
      </c>
      <c r="P1400" t="e">
        <f ca="1">BDP("916091JM Muni","ESG_FRAMEWORK_INDICATOR")</f>
        <v>#NAME?</v>
      </c>
      <c r="Q1400" t="e">
        <f ca="1">BDP("916091JM Muni","BLOOMBERG_SECTOR_CODE")</f>
        <v>#NAME?</v>
      </c>
      <c r="R1400" t="e">
        <f ca="1">BDP("916091JM Muni","ISSUER_TYPE")</f>
        <v>#NAME?</v>
      </c>
      <c r="S1400" t="e">
        <f ca="1">BDS("916091JM Muni","ESG_PROJECT_CATEGORY", "aggregate=y")</f>
        <v>#NAME?</v>
      </c>
      <c r="T1400" t="e">
        <f ca="1">BDS("916091JM Muni","ESG_PROJECT_SUBCATEGORY", "aggregate=y")</f>
        <v>#NAME?</v>
      </c>
    </row>
    <row r="1401" spans="1:20" x14ac:dyDescent="0.25">
      <c r="A1401" t="e">
        <f ca="1">BDP("916091JP Muni","ID_CUSIP")</f>
        <v>#NAME?</v>
      </c>
      <c r="B1401" t="e">
        <f ca="1">BDP("916091JP Muni","STATE_CODE")</f>
        <v>#NAME?</v>
      </c>
      <c r="C1401" t="s">
        <v>86</v>
      </c>
      <c r="D1401" t="e">
        <f ca="1">BDP("916091JP Muni","YIELD_ON_ISSUE_DATE")</f>
        <v>#NAME?</v>
      </c>
      <c r="E1401">
        <v>160000</v>
      </c>
      <c r="F1401" t="e">
        <f ca="1">BDP("916091JP Muni","ISSUE_DT")</f>
        <v>#NAME?</v>
      </c>
      <c r="G1401" t="e">
        <f ca="1">BDP("916091JP Muni","MATURITY")</f>
        <v>#NAME?</v>
      </c>
      <c r="H1401" t="e">
        <f ca="1">BDP("916091JP Muni","MUNI_TAX_PROV")</f>
        <v>#NAME?</v>
      </c>
      <c r="I1401" t="e">
        <f ca="1">BDP("916091JP Muni","FINANCING_TYPE")</f>
        <v>#NAME?</v>
      </c>
      <c r="J1401" t="e">
        <f ca="1">BDP("916091JP Muni","BICS_LEVEL_2_INDUSTRY_GROUP_NAME")</f>
        <v>#NAME?</v>
      </c>
      <c r="K1401" t="e">
        <f ca="1">BDP("916091JP Muni","SELF_REPRTD_GREEN_INSTR_INDCTR")</f>
        <v>#NAME?</v>
      </c>
      <c r="L1401" t="e">
        <f ca="1">BDP("916091JP Muni","GB_MANAGEMENT_PROCEEDS")</f>
        <v>#NAME?</v>
      </c>
      <c r="M1401" t="e">
        <f ca="1">BDP("916091JP Muni","GB_REPORTING")</f>
        <v>#NAME?</v>
      </c>
      <c r="N1401" t="e">
        <f ca="1">BDP("916091JP Muni","GB_ASSURANCE_PROVIDERS")</f>
        <v>#NAME?</v>
      </c>
      <c r="O1401" t="e">
        <f ca="1">BDP("916091JP Muni","GB_PROJECT_SELECTION_PROCESS")</f>
        <v>#NAME?</v>
      </c>
      <c r="P1401" t="e">
        <f ca="1">BDP("916091JP Muni","ESG_FRAMEWORK_INDICATOR")</f>
        <v>#NAME?</v>
      </c>
      <c r="Q1401" t="e">
        <f ca="1">BDP("916091JP Muni","BLOOMBERG_SECTOR_CODE")</f>
        <v>#NAME?</v>
      </c>
      <c r="R1401" t="e">
        <f ca="1">BDP("916091JP Muni","ISSUER_TYPE")</f>
        <v>#NAME?</v>
      </c>
      <c r="S1401" t="e">
        <f ca="1">BDS("916091JP Muni","ESG_PROJECT_CATEGORY", "aggregate=y")</f>
        <v>#NAME?</v>
      </c>
      <c r="T1401" t="e">
        <f ca="1">BDS("916091JP Muni","ESG_PROJECT_SUBCATEGORY", "aggregate=y")</f>
        <v>#NAME?</v>
      </c>
    </row>
    <row r="1402" spans="1:20" x14ac:dyDescent="0.25">
      <c r="A1402" t="e">
        <f ca="1">BDP("916091JS Muni","ID_CUSIP")</f>
        <v>#NAME?</v>
      </c>
      <c r="B1402" t="e">
        <f ca="1">BDP("916091JS Muni","STATE_CODE")</f>
        <v>#NAME?</v>
      </c>
      <c r="C1402" t="s">
        <v>86</v>
      </c>
      <c r="D1402" t="e">
        <f ca="1">BDP("916091JS Muni","YIELD_ON_ISSUE_DATE")</f>
        <v>#NAME?</v>
      </c>
      <c r="E1402">
        <v>190000</v>
      </c>
      <c r="F1402" t="e">
        <f ca="1">BDP("916091JS Muni","ISSUE_DT")</f>
        <v>#NAME?</v>
      </c>
      <c r="G1402" t="e">
        <f ca="1">BDP("916091JS Muni","MATURITY")</f>
        <v>#NAME?</v>
      </c>
      <c r="H1402" t="e">
        <f ca="1">BDP("916091JS Muni","MUNI_TAX_PROV")</f>
        <v>#NAME?</v>
      </c>
      <c r="I1402" t="e">
        <f ca="1">BDP("916091JS Muni","FINANCING_TYPE")</f>
        <v>#NAME?</v>
      </c>
      <c r="J1402" t="e">
        <f ca="1">BDP("916091JS Muni","BICS_LEVEL_2_INDUSTRY_GROUP_NAME")</f>
        <v>#NAME?</v>
      </c>
      <c r="K1402" t="e">
        <f ca="1">BDP("916091JS Muni","SELF_REPRTD_GREEN_INSTR_INDCTR")</f>
        <v>#NAME?</v>
      </c>
      <c r="L1402" t="e">
        <f ca="1">BDP("916091JS Muni","GB_MANAGEMENT_PROCEEDS")</f>
        <v>#NAME?</v>
      </c>
      <c r="M1402" t="e">
        <f ca="1">BDP("916091JS Muni","GB_REPORTING")</f>
        <v>#NAME?</v>
      </c>
      <c r="N1402" t="e">
        <f ca="1">BDP("916091JS Muni","GB_ASSURANCE_PROVIDERS")</f>
        <v>#NAME?</v>
      </c>
      <c r="O1402" t="e">
        <f ca="1">BDP("916091JS Muni","GB_PROJECT_SELECTION_PROCESS")</f>
        <v>#NAME?</v>
      </c>
      <c r="P1402" t="e">
        <f ca="1">BDP("916091JS Muni","ESG_FRAMEWORK_INDICATOR")</f>
        <v>#NAME?</v>
      </c>
      <c r="Q1402" t="e">
        <f ca="1">BDP("916091JS Muni","BLOOMBERG_SECTOR_CODE")</f>
        <v>#NAME?</v>
      </c>
      <c r="R1402" t="e">
        <f ca="1">BDP("916091JS Muni","ISSUER_TYPE")</f>
        <v>#NAME?</v>
      </c>
      <c r="S1402" t="e">
        <f ca="1">BDS("916091JS Muni","ESG_PROJECT_CATEGORY", "aggregate=y")</f>
        <v>#NAME?</v>
      </c>
      <c r="T1402" t="e">
        <f ca="1">BDS("916091JS Muni","ESG_PROJECT_SUBCATEGORY", "aggregate=y")</f>
        <v>#NAME?</v>
      </c>
    </row>
    <row r="1403" spans="1:20" x14ac:dyDescent="0.25">
      <c r="A1403" t="e">
        <f ca="1">BDP("274767JB Muni","ID_CUSIP")</f>
        <v>#NAME?</v>
      </c>
      <c r="B1403" t="e">
        <f ca="1">BDP("274767JB Muni","STATE_CODE")</f>
        <v>#NAME?</v>
      </c>
      <c r="C1403" t="s">
        <v>88</v>
      </c>
      <c r="D1403" t="e">
        <f ca="1">BDP("274767JB Muni","YIELD_ON_ISSUE_DATE")</f>
        <v>#NAME?</v>
      </c>
      <c r="E1403">
        <v>210000</v>
      </c>
      <c r="F1403" t="e">
        <f ca="1">BDP("274767JB Muni","ISSUE_DT")</f>
        <v>#NAME?</v>
      </c>
      <c r="G1403" t="e">
        <f ca="1">BDP("274767JB Muni","MATURITY")</f>
        <v>#NAME?</v>
      </c>
      <c r="H1403" t="e">
        <f ca="1">BDP("274767JB Muni","MUNI_TAX_PROV")</f>
        <v>#NAME?</v>
      </c>
      <c r="I1403" t="e">
        <f ca="1">BDP("274767JB Muni","FINANCING_TYPE")</f>
        <v>#NAME?</v>
      </c>
      <c r="J1403" t="e">
        <f ca="1">BDP("274767JB Muni","BICS_LEVEL_2_INDUSTRY_GROUP_NAME")</f>
        <v>#NAME?</v>
      </c>
      <c r="K1403" t="e">
        <f ca="1">BDP("274767JB Muni","SELF_REPRTD_GREEN_INSTR_INDCTR")</f>
        <v>#NAME?</v>
      </c>
      <c r="L1403" t="e">
        <f ca="1">BDP("274767JB Muni","GB_MANAGEMENT_PROCEEDS")</f>
        <v>#NAME?</v>
      </c>
      <c r="M1403" t="e">
        <f ca="1">BDP("274767JB Muni","GB_REPORTING")</f>
        <v>#NAME?</v>
      </c>
      <c r="N1403" t="e">
        <f ca="1">BDP("274767JB Muni","GB_ASSURANCE_PROVIDERS")</f>
        <v>#NAME?</v>
      </c>
      <c r="O1403" t="e">
        <f ca="1">BDP("274767JB Muni","GB_PROJECT_SELECTION_PROCESS")</f>
        <v>#NAME?</v>
      </c>
      <c r="P1403" t="e">
        <f ca="1">BDP("274767JB Muni","ESG_FRAMEWORK_INDICATOR")</f>
        <v>#NAME?</v>
      </c>
      <c r="Q1403" t="e">
        <f ca="1">BDP("274767JB Muni","BLOOMBERG_SECTOR_CODE")</f>
        <v>#NAME?</v>
      </c>
      <c r="R1403" t="e">
        <f ca="1">BDP("274767JB Muni","ISSUER_TYPE")</f>
        <v>#NAME?</v>
      </c>
      <c r="S1403" t="e">
        <f ca="1">BDS("274767JB Muni","ESG_PROJECT_CATEGORY", "aggregate=y")</f>
        <v>#NAME?</v>
      </c>
      <c r="T1403" t="e">
        <f ca="1">BDS("274767JB Muni","ESG_PROJECT_SUBCATEGORY", "aggregate=y")</f>
        <v>#NAME?</v>
      </c>
    </row>
    <row r="1404" spans="1:20" x14ac:dyDescent="0.25">
      <c r="A1404" t="e">
        <f ca="1">BDP("274767JD Muni","ID_CUSIP")</f>
        <v>#NAME?</v>
      </c>
      <c r="B1404" t="e">
        <f ca="1">BDP("274767JD Muni","STATE_CODE")</f>
        <v>#NAME?</v>
      </c>
      <c r="C1404" t="s">
        <v>88</v>
      </c>
      <c r="D1404" t="e">
        <f ca="1">BDP("274767JD Muni","YIELD_ON_ISSUE_DATE")</f>
        <v>#NAME?</v>
      </c>
      <c r="E1404">
        <v>220000</v>
      </c>
      <c r="F1404" t="e">
        <f ca="1">BDP("274767JD Muni","ISSUE_DT")</f>
        <v>#NAME?</v>
      </c>
      <c r="G1404" t="e">
        <f ca="1">BDP("274767JD Muni","MATURITY")</f>
        <v>#NAME?</v>
      </c>
      <c r="H1404" t="e">
        <f ca="1">BDP("274767JD Muni","MUNI_TAX_PROV")</f>
        <v>#NAME?</v>
      </c>
      <c r="I1404" t="e">
        <f ca="1">BDP("274767JD Muni","FINANCING_TYPE")</f>
        <v>#NAME?</v>
      </c>
      <c r="J1404" t="e">
        <f ca="1">BDP("274767JD Muni","BICS_LEVEL_2_INDUSTRY_GROUP_NAME")</f>
        <v>#NAME?</v>
      </c>
      <c r="K1404" t="e">
        <f ca="1">BDP("274767JD Muni","SELF_REPRTD_GREEN_INSTR_INDCTR")</f>
        <v>#NAME?</v>
      </c>
      <c r="L1404" t="e">
        <f ca="1">BDP("274767JD Muni","GB_MANAGEMENT_PROCEEDS")</f>
        <v>#NAME?</v>
      </c>
      <c r="M1404" t="e">
        <f ca="1">BDP("274767JD Muni","GB_REPORTING")</f>
        <v>#NAME?</v>
      </c>
      <c r="N1404" t="e">
        <f ca="1">BDP("274767JD Muni","GB_ASSURANCE_PROVIDERS")</f>
        <v>#NAME?</v>
      </c>
      <c r="O1404" t="e">
        <f ca="1">BDP("274767JD Muni","GB_PROJECT_SELECTION_PROCESS")</f>
        <v>#NAME?</v>
      </c>
      <c r="P1404" t="e">
        <f ca="1">BDP("274767JD Muni","ESG_FRAMEWORK_INDICATOR")</f>
        <v>#NAME?</v>
      </c>
      <c r="Q1404" t="e">
        <f ca="1">BDP("274767JD Muni","BLOOMBERG_SECTOR_CODE")</f>
        <v>#NAME?</v>
      </c>
      <c r="R1404" t="e">
        <f ca="1">BDP("274767JD Muni","ISSUER_TYPE")</f>
        <v>#NAME?</v>
      </c>
      <c r="S1404" t="e">
        <f ca="1">BDS("274767JD Muni","ESG_PROJECT_CATEGORY", "aggregate=y")</f>
        <v>#NAME?</v>
      </c>
      <c r="T1404" t="e">
        <f ca="1">BDS("274767JD Muni","ESG_PROJECT_SUBCATEGORY", "aggregate=y")</f>
        <v>#NAME?</v>
      </c>
    </row>
    <row r="1405" spans="1:20" x14ac:dyDescent="0.25">
      <c r="A1405" t="e">
        <f ca="1">BDP("274767JE Muni","ID_CUSIP")</f>
        <v>#NAME?</v>
      </c>
      <c r="B1405" t="e">
        <f ca="1">BDP("274767JE Muni","STATE_CODE")</f>
        <v>#NAME?</v>
      </c>
      <c r="C1405" t="s">
        <v>88</v>
      </c>
      <c r="D1405" t="e">
        <f ca="1">BDP("274767JE Muni","YIELD_ON_ISSUE_DATE")</f>
        <v>#NAME?</v>
      </c>
      <c r="E1405">
        <v>230000</v>
      </c>
      <c r="F1405" t="e">
        <f ca="1">BDP("274767JE Muni","ISSUE_DT")</f>
        <v>#NAME?</v>
      </c>
      <c r="G1405" t="e">
        <f ca="1">BDP("274767JE Muni","MATURITY")</f>
        <v>#NAME?</v>
      </c>
      <c r="H1405" t="e">
        <f ca="1">BDP("274767JE Muni","MUNI_TAX_PROV")</f>
        <v>#NAME?</v>
      </c>
      <c r="I1405" t="e">
        <f ca="1">BDP("274767JE Muni","FINANCING_TYPE")</f>
        <v>#NAME?</v>
      </c>
      <c r="J1405" t="e">
        <f ca="1">BDP("274767JE Muni","BICS_LEVEL_2_INDUSTRY_GROUP_NAME")</f>
        <v>#NAME?</v>
      </c>
      <c r="K1405" t="e">
        <f ca="1">BDP("274767JE Muni","SELF_REPRTD_GREEN_INSTR_INDCTR")</f>
        <v>#NAME?</v>
      </c>
      <c r="L1405" t="e">
        <f ca="1">BDP("274767JE Muni","GB_MANAGEMENT_PROCEEDS")</f>
        <v>#NAME?</v>
      </c>
      <c r="M1405" t="e">
        <f ca="1">BDP("274767JE Muni","GB_REPORTING")</f>
        <v>#NAME?</v>
      </c>
      <c r="N1405" t="e">
        <f ca="1">BDP("274767JE Muni","GB_ASSURANCE_PROVIDERS")</f>
        <v>#NAME?</v>
      </c>
      <c r="O1405" t="e">
        <f ca="1">BDP("274767JE Muni","GB_PROJECT_SELECTION_PROCESS")</f>
        <v>#NAME?</v>
      </c>
      <c r="P1405" t="e">
        <f ca="1">BDP("274767JE Muni","ESG_FRAMEWORK_INDICATOR")</f>
        <v>#NAME?</v>
      </c>
      <c r="Q1405" t="e">
        <f ca="1">BDP("274767JE Muni","BLOOMBERG_SECTOR_CODE")</f>
        <v>#NAME?</v>
      </c>
      <c r="R1405" t="e">
        <f ca="1">BDP("274767JE Muni","ISSUER_TYPE")</f>
        <v>#NAME?</v>
      </c>
      <c r="S1405" t="e">
        <f ca="1">BDS("274767JE Muni","ESG_PROJECT_CATEGORY", "aggregate=y")</f>
        <v>#NAME?</v>
      </c>
      <c r="T1405" t="e">
        <f ca="1">BDS("274767JE Muni","ESG_PROJECT_SUBCATEGORY", "aggregate=y")</f>
        <v>#NAME?</v>
      </c>
    </row>
    <row r="1406" spans="1:20" x14ac:dyDescent="0.25">
      <c r="A1406" t="e">
        <f ca="1">BDP("274767JF Muni","ID_CUSIP")</f>
        <v>#NAME?</v>
      </c>
      <c r="B1406" t="e">
        <f ca="1">BDP("274767JF Muni","STATE_CODE")</f>
        <v>#NAME?</v>
      </c>
      <c r="C1406" t="s">
        <v>88</v>
      </c>
      <c r="D1406" t="e">
        <f ca="1">BDP("274767JF Muni","YIELD_ON_ISSUE_DATE")</f>
        <v>#NAME?</v>
      </c>
      <c r="E1406">
        <v>235000</v>
      </c>
      <c r="F1406" t="e">
        <f ca="1">BDP("274767JF Muni","ISSUE_DT")</f>
        <v>#NAME?</v>
      </c>
      <c r="G1406" t="e">
        <f ca="1">BDP("274767JF Muni","MATURITY")</f>
        <v>#NAME?</v>
      </c>
      <c r="H1406" t="e">
        <f ca="1">BDP("274767JF Muni","MUNI_TAX_PROV")</f>
        <v>#NAME?</v>
      </c>
      <c r="I1406" t="e">
        <f ca="1">BDP("274767JF Muni","FINANCING_TYPE")</f>
        <v>#NAME?</v>
      </c>
      <c r="J1406" t="e">
        <f ca="1">BDP("274767JF Muni","BICS_LEVEL_2_INDUSTRY_GROUP_NAME")</f>
        <v>#NAME?</v>
      </c>
      <c r="K1406" t="e">
        <f ca="1">BDP("274767JF Muni","SELF_REPRTD_GREEN_INSTR_INDCTR")</f>
        <v>#NAME?</v>
      </c>
      <c r="L1406" t="e">
        <f ca="1">BDP("274767JF Muni","GB_MANAGEMENT_PROCEEDS")</f>
        <v>#NAME?</v>
      </c>
      <c r="M1406" t="e">
        <f ca="1">BDP("274767JF Muni","GB_REPORTING")</f>
        <v>#NAME?</v>
      </c>
      <c r="N1406" t="e">
        <f ca="1">BDP("274767JF Muni","GB_ASSURANCE_PROVIDERS")</f>
        <v>#NAME?</v>
      </c>
      <c r="O1406" t="e">
        <f ca="1">BDP("274767JF Muni","GB_PROJECT_SELECTION_PROCESS")</f>
        <v>#NAME?</v>
      </c>
      <c r="P1406" t="e">
        <f ca="1">BDP("274767JF Muni","ESG_FRAMEWORK_INDICATOR")</f>
        <v>#NAME?</v>
      </c>
      <c r="Q1406" t="e">
        <f ca="1">BDP("274767JF Muni","BLOOMBERG_SECTOR_CODE")</f>
        <v>#NAME?</v>
      </c>
      <c r="R1406" t="e">
        <f ca="1">BDP("274767JF Muni","ISSUER_TYPE")</f>
        <v>#NAME?</v>
      </c>
      <c r="S1406" t="e">
        <f ca="1">BDS("274767JF Muni","ESG_PROJECT_CATEGORY", "aggregate=y")</f>
        <v>#NAME?</v>
      </c>
      <c r="T1406" t="e">
        <f ca="1">BDS("274767JF Muni","ESG_PROJECT_SUBCATEGORY", "aggregate=y")</f>
        <v>#NAME?</v>
      </c>
    </row>
    <row r="1407" spans="1:20" x14ac:dyDescent="0.25">
      <c r="A1407" t="e">
        <f ca="1">BDP("274767JG Muni","ID_CUSIP")</f>
        <v>#NAME?</v>
      </c>
      <c r="B1407" t="e">
        <f ca="1">BDP("274767JG Muni","STATE_CODE")</f>
        <v>#NAME?</v>
      </c>
      <c r="C1407" t="s">
        <v>88</v>
      </c>
      <c r="D1407" t="e">
        <f ca="1">BDP("274767JG Muni","YIELD_ON_ISSUE_DATE")</f>
        <v>#NAME?</v>
      </c>
      <c r="E1407">
        <v>245000</v>
      </c>
      <c r="F1407" t="e">
        <f ca="1">BDP("274767JG Muni","ISSUE_DT")</f>
        <v>#NAME?</v>
      </c>
      <c r="G1407" t="e">
        <f ca="1">BDP("274767JG Muni","MATURITY")</f>
        <v>#NAME?</v>
      </c>
      <c r="H1407" t="e">
        <f ca="1">BDP("274767JG Muni","MUNI_TAX_PROV")</f>
        <v>#NAME?</v>
      </c>
      <c r="I1407" t="e">
        <f ca="1">BDP("274767JG Muni","FINANCING_TYPE")</f>
        <v>#NAME?</v>
      </c>
      <c r="J1407" t="e">
        <f ca="1">BDP("274767JG Muni","BICS_LEVEL_2_INDUSTRY_GROUP_NAME")</f>
        <v>#NAME?</v>
      </c>
      <c r="K1407" t="e">
        <f ca="1">BDP("274767JG Muni","SELF_REPRTD_GREEN_INSTR_INDCTR")</f>
        <v>#NAME?</v>
      </c>
      <c r="L1407" t="e">
        <f ca="1">BDP("274767JG Muni","GB_MANAGEMENT_PROCEEDS")</f>
        <v>#NAME?</v>
      </c>
      <c r="M1407" t="e">
        <f ca="1">BDP("274767JG Muni","GB_REPORTING")</f>
        <v>#NAME?</v>
      </c>
      <c r="N1407" t="e">
        <f ca="1">BDP("274767JG Muni","GB_ASSURANCE_PROVIDERS")</f>
        <v>#NAME?</v>
      </c>
      <c r="O1407" t="e">
        <f ca="1">BDP("274767JG Muni","GB_PROJECT_SELECTION_PROCESS")</f>
        <v>#NAME?</v>
      </c>
      <c r="P1407" t="e">
        <f ca="1">BDP("274767JG Muni","ESG_FRAMEWORK_INDICATOR")</f>
        <v>#NAME?</v>
      </c>
      <c r="Q1407" t="e">
        <f ca="1">BDP("274767JG Muni","BLOOMBERG_SECTOR_CODE")</f>
        <v>#NAME?</v>
      </c>
      <c r="R1407" t="e">
        <f ca="1">BDP("274767JG Muni","ISSUER_TYPE")</f>
        <v>#NAME?</v>
      </c>
      <c r="S1407" t="e">
        <f ca="1">BDS("274767JG Muni","ESG_PROJECT_CATEGORY", "aggregate=y")</f>
        <v>#NAME?</v>
      </c>
      <c r="T1407" t="e">
        <f ca="1">BDS("274767JG Muni","ESG_PROJECT_SUBCATEGORY", "aggregate=y")</f>
        <v>#NAME?</v>
      </c>
    </row>
    <row r="1408" spans="1:20" x14ac:dyDescent="0.25">
      <c r="A1408" t="e">
        <f ca="1">BDP("274767JH Muni","ID_CUSIP")</f>
        <v>#NAME?</v>
      </c>
      <c r="B1408" t="e">
        <f ca="1">BDP("274767JH Muni","STATE_CODE")</f>
        <v>#NAME?</v>
      </c>
      <c r="C1408" t="s">
        <v>88</v>
      </c>
      <c r="D1408" t="e">
        <f ca="1">BDP("274767JH Muni","YIELD_ON_ISSUE_DATE")</f>
        <v>#NAME?</v>
      </c>
      <c r="E1408">
        <v>255000</v>
      </c>
      <c r="F1408" t="e">
        <f ca="1">BDP("274767JH Muni","ISSUE_DT")</f>
        <v>#NAME?</v>
      </c>
      <c r="G1408" t="e">
        <f ca="1">BDP("274767JH Muni","MATURITY")</f>
        <v>#NAME?</v>
      </c>
      <c r="H1408" t="e">
        <f ca="1">BDP("274767JH Muni","MUNI_TAX_PROV")</f>
        <v>#NAME?</v>
      </c>
      <c r="I1408" t="e">
        <f ca="1">BDP("274767JH Muni","FINANCING_TYPE")</f>
        <v>#NAME?</v>
      </c>
      <c r="J1408" t="e">
        <f ca="1">BDP("274767JH Muni","BICS_LEVEL_2_INDUSTRY_GROUP_NAME")</f>
        <v>#NAME?</v>
      </c>
      <c r="K1408" t="e">
        <f ca="1">BDP("274767JH Muni","SELF_REPRTD_GREEN_INSTR_INDCTR")</f>
        <v>#NAME?</v>
      </c>
      <c r="L1408" t="e">
        <f ca="1">BDP("274767JH Muni","GB_MANAGEMENT_PROCEEDS")</f>
        <v>#NAME?</v>
      </c>
      <c r="M1408" t="e">
        <f ca="1">BDP("274767JH Muni","GB_REPORTING")</f>
        <v>#NAME?</v>
      </c>
      <c r="N1408" t="e">
        <f ca="1">BDP("274767JH Muni","GB_ASSURANCE_PROVIDERS")</f>
        <v>#NAME?</v>
      </c>
      <c r="O1408" t="e">
        <f ca="1">BDP("274767JH Muni","GB_PROJECT_SELECTION_PROCESS")</f>
        <v>#NAME?</v>
      </c>
      <c r="P1408" t="e">
        <f ca="1">BDP("274767JH Muni","ESG_FRAMEWORK_INDICATOR")</f>
        <v>#NAME?</v>
      </c>
      <c r="Q1408" t="e">
        <f ca="1">BDP("274767JH Muni","BLOOMBERG_SECTOR_CODE")</f>
        <v>#NAME?</v>
      </c>
      <c r="R1408" t="e">
        <f ca="1">BDP("274767JH Muni","ISSUER_TYPE")</f>
        <v>#NAME?</v>
      </c>
      <c r="S1408" t="e">
        <f ca="1">BDS("274767JH Muni","ESG_PROJECT_CATEGORY", "aggregate=y")</f>
        <v>#NAME?</v>
      </c>
      <c r="T1408" t="e">
        <f ca="1">BDS("274767JH Muni","ESG_PROJECT_SUBCATEGORY", "aggregate=y")</f>
        <v>#NAME?</v>
      </c>
    </row>
    <row r="1409" spans="1:20" x14ac:dyDescent="0.25">
      <c r="A1409" t="e">
        <f ca="1">BDP("274767JJ Muni","ID_CUSIP")</f>
        <v>#NAME?</v>
      </c>
      <c r="B1409" t="e">
        <f ca="1">BDP("274767JJ Muni","STATE_CODE")</f>
        <v>#NAME?</v>
      </c>
      <c r="C1409" t="s">
        <v>88</v>
      </c>
      <c r="D1409" t="e">
        <f ca="1">BDP("274767JJ Muni","YIELD_ON_ISSUE_DATE")</f>
        <v>#NAME?</v>
      </c>
      <c r="E1409">
        <v>265000</v>
      </c>
      <c r="F1409" t="e">
        <f ca="1">BDP("274767JJ Muni","ISSUE_DT")</f>
        <v>#NAME?</v>
      </c>
      <c r="G1409" t="e">
        <f ca="1">BDP("274767JJ Muni","MATURITY")</f>
        <v>#NAME?</v>
      </c>
      <c r="H1409" t="e">
        <f ca="1">BDP("274767JJ Muni","MUNI_TAX_PROV")</f>
        <v>#NAME?</v>
      </c>
      <c r="I1409" t="e">
        <f ca="1">BDP("274767JJ Muni","FINANCING_TYPE")</f>
        <v>#NAME?</v>
      </c>
      <c r="J1409" t="e">
        <f ca="1">BDP("274767JJ Muni","BICS_LEVEL_2_INDUSTRY_GROUP_NAME")</f>
        <v>#NAME?</v>
      </c>
      <c r="K1409" t="e">
        <f ca="1">BDP("274767JJ Muni","SELF_REPRTD_GREEN_INSTR_INDCTR")</f>
        <v>#NAME?</v>
      </c>
      <c r="L1409" t="e">
        <f ca="1">BDP("274767JJ Muni","GB_MANAGEMENT_PROCEEDS")</f>
        <v>#NAME?</v>
      </c>
      <c r="M1409" t="e">
        <f ca="1">BDP("274767JJ Muni","GB_REPORTING")</f>
        <v>#NAME?</v>
      </c>
      <c r="N1409" t="e">
        <f ca="1">BDP("274767JJ Muni","GB_ASSURANCE_PROVIDERS")</f>
        <v>#NAME?</v>
      </c>
      <c r="O1409" t="e">
        <f ca="1">BDP("274767JJ Muni","GB_PROJECT_SELECTION_PROCESS")</f>
        <v>#NAME?</v>
      </c>
      <c r="P1409" t="e">
        <f ca="1">BDP("274767JJ Muni","ESG_FRAMEWORK_INDICATOR")</f>
        <v>#NAME?</v>
      </c>
      <c r="Q1409" t="e">
        <f ca="1">BDP("274767JJ Muni","BLOOMBERG_SECTOR_CODE")</f>
        <v>#NAME?</v>
      </c>
      <c r="R1409" t="e">
        <f ca="1">BDP("274767JJ Muni","ISSUER_TYPE")</f>
        <v>#NAME?</v>
      </c>
      <c r="S1409" t="e">
        <f ca="1">BDS("274767JJ Muni","ESG_PROJECT_CATEGORY", "aggregate=y")</f>
        <v>#NAME?</v>
      </c>
      <c r="T1409" t="e">
        <f ca="1">BDS("274767JJ Muni","ESG_PROJECT_SUBCATEGORY", "aggregate=y")</f>
        <v>#NAME?</v>
      </c>
    </row>
    <row r="1410" spans="1:20" x14ac:dyDescent="0.25">
      <c r="A1410" t="e">
        <f ca="1">BDP("46640KR8 Muni","ID_CUSIP")</f>
        <v>#NAME?</v>
      </c>
      <c r="B1410" t="e">
        <f ca="1">BDP("46640KR8 Muni","STATE_CODE")</f>
        <v>#NAME?</v>
      </c>
      <c r="C1410" t="s">
        <v>46</v>
      </c>
      <c r="D1410" t="e">
        <f ca="1">BDP("46640KR8 Muni","YIELD_ON_ISSUE_DATE")</f>
        <v>#NAME?</v>
      </c>
      <c r="E1410">
        <v>100000</v>
      </c>
      <c r="F1410" t="e">
        <f ca="1">BDP("46640KR8 Muni","ISSUE_DT")</f>
        <v>#NAME?</v>
      </c>
      <c r="G1410" t="e">
        <f ca="1">BDP("46640KR8 Muni","MATURITY")</f>
        <v>#NAME?</v>
      </c>
      <c r="H1410" t="e">
        <f ca="1">BDP("46640KR8 Muni","MUNI_TAX_PROV")</f>
        <v>#NAME?</v>
      </c>
      <c r="I1410" t="e">
        <f ca="1">BDP("46640KR8 Muni","FINANCING_TYPE")</f>
        <v>#NAME?</v>
      </c>
      <c r="J1410" t="e">
        <f ca="1">BDP("46640KR8 Muni","BICS_LEVEL_2_INDUSTRY_GROUP_NAME")</f>
        <v>#NAME?</v>
      </c>
      <c r="K1410" t="e">
        <f ca="1">BDP("46640KR8 Muni","SELF_REPRTD_GREEN_INSTR_INDCTR")</f>
        <v>#NAME?</v>
      </c>
      <c r="L1410" t="e">
        <f ca="1">BDP("46640KR8 Muni","GB_MANAGEMENT_PROCEEDS")</f>
        <v>#NAME?</v>
      </c>
      <c r="M1410" t="e">
        <f ca="1">BDP("46640KR8 Muni","GB_REPORTING")</f>
        <v>#NAME?</v>
      </c>
      <c r="N1410" t="e">
        <f ca="1">BDP("46640KR8 Muni","GB_ASSURANCE_PROVIDERS")</f>
        <v>#NAME?</v>
      </c>
      <c r="O1410" t="e">
        <f ca="1">BDP("46640KR8 Muni","GB_PROJECT_SELECTION_PROCESS")</f>
        <v>#NAME?</v>
      </c>
      <c r="P1410" t="e">
        <f ca="1">BDP("46640KR8 Muni","ESG_FRAMEWORK_INDICATOR")</f>
        <v>#NAME?</v>
      </c>
      <c r="Q1410" t="e">
        <f ca="1">BDP("46640KR8 Muni","BLOOMBERG_SECTOR_CODE")</f>
        <v>#NAME?</v>
      </c>
      <c r="R1410" t="e">
        <f ca="1">BDP("46640KR8 Muni","ISSUER_TYPE")</f>
        <v>#NAME?</v>
      </c>
      <c r="S1410" t="e">
        <f ca="1">BDS("46640KR8 Muni","ESG_PROJECT_CATEGORY", "aggregate=y")</f>
        <v>#NAME?</v>
      </c>
      <c r="T1410" t="e">
        <f ca="1">BDS("46640KR8 Muni","ESG_PROJECT_SUBCATEGORY", "aggregate=y")</f>
        <v>#NAME?</v>
      </c>
    </row>
    <row r="1411" spans="1:20" x14ac:dyDescent="0.25">
      <c r="A1411" t="e">
        <f ca="1">BDP("59261A4K Muni","ID_CUSIP")</f>
        <v>#NAME?</v>
      </c>
      <c r="B1411" t="e">
        <f ca="1">BDP("59261A4K Muni","STATE_CODE")</f>
        <v>#NAME?</v>
      </c>
      <c r="C1411" t="s">
        <v>89</v>
      </c>
      <c r="D1411" t="e">
        <f ca="1">BDP("59261A4K Muni","YIELD_ON_ISSUE_DATE")</f>
        <v>#NAME?</v>
      </c>
      <c r="E1411">
        <v>3000000</v>
      </c>
      <c r="F1411" t="e">
        <f ca="1">BDP("59261A4K Muni","ISSUE_DT")</f>
        <v>#NAME?</v>
      </c>
      <c r="G1411" t="e">
        <f ca="1">BDP("59261A4K Muni","MATURITY")</f>
        <v>#NAME?</v>
      </c>
      <c r="H1411" t="e">
        <f ca="1">BDP("59261A4K Muni","MUNI_TAX_PROV")</f>
        <v>#NAME?</v>
      </c>
      <c r="I1411" t="e">
        <f ca="1">BDP("59261A4K Muni","FINANCING_TYPE")</f>
        <v>#NAME?</v>
      </c>
      <c r="J1411" t="e">
        <f ca="1">BDP("59261A4K Muni","BICS_LEVEL_2_INDUSTRY_GROUP_NAME")</f>
        <v>#NAME?</v>
      </c>
      <c r="K1411" t="e">
        <f ca="1">BDP("59261A4K Muni","SELF_REPRTD_GREEN_INSTR_INDCTR")</f>
        <v>#NAME?</v>
      </c>
      <c r="L1411" t="e">
        <f ca="1">BDP("59261A4K Muni","GB_MANAGEMENT_PROCEEDS")</f>
        <v>#NAME?</v>
      </c>
      <c r="M1411" t="e">
        <f ca="1">BDP("59261A4K Muni","GB_REPORTING")</f>
        <v>#NAME?</v>
      </c>
      <c r="N1411" t="e">
        <f ca="1">BDP("59261A4K Muni","GB_ASSURANCE_PROVIDERS")</f>
        <v>#NAME?</v>
      </c>
      <c r="O1411" t="e">
        <f ca="1">BDP("59261A4K Muni","GB_PROJECT_SELECTION_PROCESS")</f>
        <v>#NAME?</v>
      </c>
      <c r="P1411" t="e">
        <f ca="1">BDP("59261A4K Muni","ESG_FRAMEWORK_INDICATOR")</f>
        <v>#NAME?</v>
      </c>
      <c r="Q1411" t="e">
        <f ca="1">BDP("59261A4K Muni","BLOOMBERG_SECTOR_CODE")</f>
        <v>#NAME?</v>
      </c>
      <c r="R1411" t="e">
        <f ca="1">BDP("59261A4K Muni","ISSUER_TYPE")</f>
        <v>#NAME?</v>
      </c>
      <c r="S1411" t="e">
        <f ca="1">BDS("59261A4K Muni","ESG_PROJECT_CATEGORY", "aggregate=y")</f>
        <v>#NAME?</v>
      </c>
      <c r="T1411" t="e">
        <f ca="1">BDS("59261A4K Muni","ESG_PROJECT_SUBCATEGORY", "aggregate=y")</f>
        <v>#NAME?</v>
      </c>
    </row>
    <row r="1412" spans="1:20" x14ac:dyDescent="0.25">
      <c r="A1412" t="e">
        <f ca="1">BDP("59261A4L Muni","ID_CUSIP")</f>
        <v>#NAME?</v>
      </c>
      <c r="B1412" t="e">
        <f ca="1">BDP("59261A4L Muni","STATE_CODE")</f>
        <v>#NAME?</v>
      </c>
      <c r="C1412" t="s">
        <v>89</v>
      </c>
      <c r="D1412" t="e">
        <f ca="1">BDP("59261A4L Muni","YIELD_ON_ISSUE_DATE")</f>
        <v>#NAME?</v>
      </c>
      <c r="E1412">
        <v>5295000</v>
      </c>
      <c r="F1412" t="e">
        <f ca="1">BDP("59261A4L Muni","ISSUE_DT")</f>
        <v>#NAME?</v>
      </c>
      <c r="G1412" t="e">
        <f ca="1">BDP("59261A4L Muni","MATURITY")</f>
        <v>#NAME?</v>
      </c>
      <c r="H1412" t="e">
        <f ca="1">BDP("59261A4L Muni","MUNI_TAX_PROV")</f>
        <v>#NAME?</v>
      </c>
      <c r="I1412" t="e">
        <f ca="1">BDP("59261A4L Muni","FINANCING_TYPE")</f>
        <v>#NAME?</v>
      </c>
      <c r="J1412" t="e">
        <f ca="1">BDP("59261A4L Muni","BICS_LEVEL_2_INDUSTRY_GROUP_NAME")</f>
        <v>#NAME?</v>
      </c>
      <c r="K1412" t="e">
        <f ca="1">BDP("59261A4L Muni","SELF_REPRTD_GREEN_INSTR_INDCTR")</f>
        <v>#NAME?</v>
      </c>
      <c r="L1412" t="e">
        <f ca="1">BDP("59261A4L Muni","GB_MANAGEMENT_PROCEEDS")</f>
        <v>#NAME?</v>
      </c>
      <c r="M1412" t="e">
        <f ca="1">BDP("59261A4L Muni","GB_REPORTING")</f>
        <v>#NAME?</v>
      </c>
      <c r="N1412" t="e">
        <f ca="1">BDP("59261A4L Muni","GB_ASSURANCE_PROVIDERS")</f>
        <v>#NAME?</v>
      </c>
      <c r="O1412" t="e">
        <f ca="1">BDP("59261A4L Muni","GB_PROJECT_SELECTION_PROCESS")</f>
        <v>#NAME?</v>
      </c>
      <c r="P1412" t="e">
        <f ca="1">BDP("59261A4L Muni","ESG_FRAMEWORK_INDICATOR")</f>
        <v>#NAME?</v>
      </c>
      <c r="Q1412" t="e">
        <f ca="1">BDP("59261A4L Muni","BLOOMBERG_SECTOR_CODE")</f>
        <v>#NAME?</v>
      </c>
      <c r="R1412" t="e">
        <f ca="1">BDP("59261A4L Muni","ISSUER_TYPE")</f>
        <v>#NAME?</v>
      </c>
      <c r="S1412" t="e">
        <f ca="1">BDS("59261A4L Muni","ESG_PROJECT_CATEGORY", "aggregate=y")</f>
        <v>#NAME?</v>
      </c>
      <c r="T1412" t="e">
        <f ca="1">BDS("59261A4L Muni","ESG_PROJECT_SUBCATEGORY", "aggregate=y")</f>
        <v>#NAME?</v>
      </c>
    </row>
    <row r="1413" spans="1:20" x14ac:dyDescent="0.25">
      <c r="A1413" t="e">
        <f ca="1">BDP("59261A4M Muni","ID_CUSIP")</f>
        <v>#NAME?</v>
      </c>
      <c r="B1413" t="e">
        <f ca="1">BDP("59261A4M Muni","STATE_CODE")</f>
        <v>#NAME?</v>
      </c>
      <c r="C1413" t="s">
        <v>89</v>
      </c>
      <c r="D1413" t="e">
        <f ca="1">BDP("59261A4M Muni","YIELD_ON_ISSUE_DATE")</f>
        <v>#NAME?</v>
      </c>
      <c r="E1413">
        <v>4580000</v>
      </c>
      <c r="F1413" t="e">
        <f ca="1">BDP("59261A4M Muni","ISSUE_DT")</f>
        <v>#NAME?</v>
      </c>
      <c r="G1413" t="e">
        <f ca="1">BDP("59261A4M Muni","MATURITY")</f>
        <v>#NAME?</v>
      </c>
      <c r="H1413" t="e">
        <f ca="1">BDP("59261A4M Muni","MUNI_TAX_PROV")</f>
        <v>#NAME?</v>
      </c>
      <c r="I1413" t="e">
        <f ca="1">BDP("59261A4M Muni","FINANCING_TYPE")</f>
        <v>#NAME?</v>
      </c>
      <c r="J1413" t="e">
        <f ca="1">BDP("59261A4M Muni","BICS_LEVEL_2_INDUSTRY_GROUP_NAME")</f>
        <v>#NAME?</v>
      </c>
      <c r="K1413" t="e">
        <f ca="1">BDP("59261A4M Muni","SELF_REPRTD_GREEN_INSTR_INDCTR")</f>
        <v>#NAME?</v>
      </c>
      <c r="L1413" t="e">
        <f ca="1">BDP("59261A4M Muni","GB_MANAGEMENT_PROCEEDS")</f>
        <v>#NAME?</v>
      </c>
      <c r="M1413" t="e">
        <f ca="1">BDP("59261A4M Muni","GB_REPORTING")</f>
        <v>#NAME?</v>
      </c>
      <c r="N1413" t="e">
        <f ca="1">BDP("59261A4M Muni","GB_ASSURANCE_PROVIDERS")</f>
        <v>#NAME?</v>
      </c>
      <c r="O1413" t="e">
        <f ca="1">BDP("59261A4M Muni","GB_PROJECT_SELECTION_PROCESS")</f>
        <v>#NAME?</v>
      </c>
      <c r="P1413" t="e">
        <f ca="1">BDP("59261A4M Muni","ESG_FRAMEWORK_INDICATOR")</f>
        <v>#NAME?</v>
      </c>
      <c r="Q1413" t="e">
        <f ca="1">BDP("59261A4M Muni","BLOOMBERG_SECTOR_CODE")</f>
        <v>#NAME?</v>
      </c>
      <c r="R1413" t="e">
        <f ca="1">BDP("59261A4M Muni","ISSUER_TYPE")</f>
        <v>#NAME?</v>
      </c>
      <c r="S1413" t="e">
        <f ca="1">BDS("59261A4M Muni","ESG_PROJECT_CATEGORY", "aggregate=y")</f>
        <v>#NAME?</v>
      </c>
      <c r="T1413" t="e">
        <f ca="1">BDS("59261A4M Muni","ESG_PROJECT_SUBCATEGORY", "aggregate=y")</f>
        <v>#NAME?</v>
      </c>
    </row>
    <row r="1414" spans="1:20" x14ac:dyDescent="0.25">
      <c r="A1414" t="e">
        <f ca="1">BDP("59261A4P Muni","ID_CUSIP")</f>
        <v>#NAME?</v>
      </c>
      <c r="B1414" t="e">
        <f ca="1">BDP("59261A4P Muni","STATE_CODE")</f>
        <v>#NAME?</v>
      </c>
      <c r="C1414" t="s">
        <v>89</v>
      </c>
      <c r="D1414" t="e">
        <f ca="1">BDP("59261A4P Muni","YIELD_ON_ISSUE_DATE")</f>
        <v>#NAME?</v>
      </c>
      <c r="E1414">
        <v>52110000</v>
      </c>
      <c r="F1414" t="e">
        <f ca="1">BDP("59261A4P Muni","ISSUE_DT")</f>
        <v>#NAME?</v>
      </c>
      <c r="G1414" t="e">
        <f ca="1">BDP("59261A4P Muni","MATURITY")</f>
        <v>#NAME?</v>
      </c>
      <c r="H1414" t="e">
        <f ca="1">BDP("59261A4P Muni","MUNI_TAX_PROV")</f>
        <v>#NAME?</v>
      </c>
      <c r="I1414" t="e">
        <f ca="1">BDP("59261A4P Muni","FINANCING_TYPE")</f>
        <v>#NAME?</v>
      </c>
      <c r="J1414" t="e">
        <f ca="1">BDP("59261A4P Muni","BICS_LEVEL_2_INDUSTRY_GROUP_NAME")</f>
        <v>#NAME?</v>
      </c>
      <c r="K1414" t="e">
        <f ca="1">BDP("59261A4P Muni","SELF_REPRTD_GREEN_INSTR_INDCTR")</f>
        <v>#NAME?</v>
      </c>
      <c r="L1414" t="e">
        <f ca="1">BDP("59261A4P Muni","GB_MANAGEMENT_PROCEEDS")</f>
        <v>#NAME?</v>
      </c>
      <c r="M1414" t="e">
        <f ca="1">BDP("59261A4P Muni","GB_REPORTING")</f>
        <v>#NAME?</v>
      </c>
      <c r="N1414" t="e">
        <f ca="1">BDP("59261A4P Muni","GB_ASSURANCE_PROVIDERS")</f>
        <v>#NAME?</v>
      </c>
      <c r="O1414" t="e">
        <f ca="1">BDP("59261A4P Muni","GB_PROJECT_SELECTION_PROCESS")</f>
        <v>#NAME?</v>
      </c>
      <c r="P1414" t="e">
        <f ca="1">BDP("59261A4P Muni","ESG_FRAMEWORK_INDICATOR")</f>
        <v>#NAME?</v>
      </c>
      <c r="Q1414" t="e">
        <f ca="1">BDP("59261A4P Muni","BLOOMBERG_SECTOR_CODE")</f>
        <v>#NAME?</v>
      </c>
      <c r="R1414" t="e">
        <f ca="1">BDP("59261A4P Muni","ISSUER_TYPE")</f>
        <v>#NAME?</v>
      </c>
      <c r="S1414" t="e">
        <f ca="1">BDS("59261A4P Muni","ESG_PROJECT_CATEGORY", "aggregate=y")</f>
        <v>#NAME?</v>
      </c>
      <c r="T1414" t="e">
        <f ca="1">BDS("59261A4P Muni","ESG_PROJECT_SUBCATEGORY", "aggregate=y")</f>
        <v>#NAME?</v>
      </c>
    </row>
    <row r="1415" spans="1:20" x14ac:dyDescent="0.25">
      <c r="A1415" t="e">
        <f ca="1">BDP("59261A4V Muni","ID_CUSIP")</f>
        <v>#NAME?</v>
      </c>
      <c r="B1415" t="e">
        <f ca="1">BDP("59261A4V Muni","STATE_CODE")</f>
        <v>#NAME?</v>
      </c>
      <c r="C1415" t="s">
        <v>89</v>
      </c>
      <c r="D1415" t="e">
        <f ca="1">BDP("59261A4V Muni","YIELD_ON_ISSUE_DATE")</f>
        <v>#NAME?</v>
      </c>
      <c r="E1415">
        <v>33440000</v>
      </c>
      <c r="F1415" t="e">
        <f ca="1">BDP("59261A4V Muni","ISSUE_DT")</f>
        <v>#NAME?</v>
      </c>
      <c r="G1415" t="e">
        <f ca="1">BDP("59261A4V Muni","MATURITY")</f>
        <v>#NAME?</v>
      </c>
      <c r="H1415" t="e">
        <f ca="1">BDP("59261A4V Muni","MUNI_TAX_PROV")</f>
        <v>#NAME?</v>
      </c>
      <c r="I1415" t="e">
        <f ca="1">BDP("59261A4V Muni","FINANCING_TYPE")</f>
        <v>#NAME?</v>
      </c>
      <c r="J1415" t="e">
        <f ca="1">BDP("59261A4V Muni","BICS_LEVEL_2_INDUSTRY_GROUP_NAME")</f>
        <v>#NAME?</v>
      </c>
      <c r="K1415" t="e">
        <f ca="1">BDP("59261A4V Muni","SELF_REPRTD_GREEN_INSTR_INDCTR")</f>
        <v>#NAME?</v>
      </c>
      <c r="L1415" t="e">
        <f ca="1">BDP("59261A4V Muni","GB_MANAGEMENT_PROCEEDS")</f>
        <v>#NAME?</v>
      </c>
      <c r="M1415" t="e">
        <f ca="1">BDP("59261A4V Muni","GB_REPORTING")</f>
        <v>#NAME?</v>
      </c>
      <c r="N1415" t="e">
        <f ca="1">BDP("59261A4V Muni","GB_ASSURANCE_PROVIDERS")</f>
        <v>#NAME?</v>
      </c>
      <c r="O1415" t="e">
        <f ca="1">BDP("59261A4V Muni","GB_PROJECT_SELECTION_PROCESS")</f>
        <v>#NAME?</v>
      </c>
      <c r="P1415" t="e">
        <f ca="1">BDP("59261A4V Muni","ESG_FRAMEWORK_INDICATOR")</f>
        <v>#NAME?</v>
      </c>
      <c r="Q1415" t="e">
        <f ca="1">BDP("59261A4V Muni","BLOOMBERG_SECTOR_CODE")</f>
        <v>#NAME?</v>
      </c>
      <c r="R1415" t="e">
        <f ca="1">BDP("59261A4V Muni","ISSUER_TYPE")</f>
        <v>#NAME?</v>
      </c>
      <c r="S1415" t="e">
        <f ca="1">BDS("59261A4V Muni","ESG_PROJECT_CATEGORY", "aggregate=y")</f>
        <v>#NAME?</v>
      </c>
      <c r="T1415" t="e">
        <f ca="1">BDS("59261A4V Muni","ESG_PROJECT_SUBCATEGORY", "aggregate=y")</f>
        <v>#NAME?</v>
      </c>
    </row>
    <row r="1416" spans="1:20" x14ac:dyDescent="0.25">
      <c r="A1416" t="e">
        <f ca="1">BDP("59261A4W Muni","ID_CUSIP")</f>
        <v>#NAME?</v>
      </c>
      <c r="B1416" t="e">
        <f ca="1">BDP("59261A4W Muni","STATE_CODE")</f>
        <v>#NAME?</v>
      </c>
      <c r="C1416" t="s">
        <v>89</v>
      </c>
      <c r="D1416" t="e">
        <f ca="1">BDP("59261A4W Muni","YIELD_ON_ISSUE_DATE")</f>
        <v>#NAME?</v>
      </c>
      <c r="E1416">
        <v>35050000</v>
      </c>
      <c r="F1416" t="e">
        <f ca="1">BDP("59261A4W Muni","ISSUE_DT")</f>
        <v>#NAME?</v>
      </c>
      <c r="G1416" t="e">
        <f ca="1">BDP("59261A4W Muni","MATURITY")</f>
        <v>#NAME?</v>
      </c>
      <c r="H1416" t="e">
        <f ca="1">BDP("59261A4W Muni","MUNI_TAX_PROV")</f>
        <v>#NAME?</v>
      </c>
      <c r="I1416" t="e">
        <f ca="1">BDP("59261A4W Muni","FINANCING_TYPE")</f>
        <v>#NAME?</v>
      </c>
      <c r="J1416" t="e">
        <f ca="1">BDP("59261A4W Muni","BICS_LEVEL_2_INDUSTRY_GROUP_NAME")</f>
        <v>#NAME?</v>
      </c>
      <c r="K1416" t="e">
        <f ca="1">BDP("59261A4W Muni","SELF_REPRTD_GREEN_INSTR_INDCTR")</f>
        <v>#NAME?</v>
      </c>
      <c r="L1416" t="e">
        <f ca="1">BDP("59261A4W Muni","GB_MANAGEMENT_PROCEEDS")</f>
        <v>#NAME?</v>
      </c>
      <c r="M1416" t="e">
        <f ca="1">BDP("59261A4W Muni","GB_REPORTING")</f>
        <v>#NAME?</v>
      </c>
      <c r="N1416" t="e">
        <f ca="1">BDP("59261A4W Muni","GB_ASSURANCE_PROVIDERS")</f>
        <v>#NAME?</v>
      </c>
      <c r="O1416" t="e">
        <f ca="1">BDP("59261A4W Muni","GB_PROJECT_SELECTION_PROCESS")</f>
        <v>#NAME?</v>
      </c>
      <c r="P1416" t="e">
        <f ca="1">BDP("59261A4W Muni","ESG_FRAMEWORK_INDICATOR")</f>
        <v>#NAME?</v>
      </c>
      <c r="Q1416" t="e">
        <f ca="1">BDP("59261A4W Muni","BLOOMBERG_SECTOR_CODE")</f>
        <v>#NAME?</v>
      </c>
      <c r="R1416" t="e">
        <f ca="1">BDP("59261A4W Muni","ISSUER_TYPE")</f>
        <v>#NAME?</v>
      </c>
      <c r="S1416" t="e">
        <f ca="1">BDS("59261A4W Muni","ESG_PROJECT_CATEGORY", "aggregate=y")</f>
        <v>#NAME?</v>
      </c>
      <c r="T1416" t="e">
        <f ca="1">BDS("59261A4W Muni","ESG_PROJECT_SUBCATEGORY", "aggregate=y")</f>
        <v>#NAME?</v>
      </c>
    </row>
    <row r="1417" spans="1:20" x14ac:dyDescent="0.25">
      <c r="A1417" t="e">
        <f ca="1">BDP("59261A5A Muni","ID_CUSIP")</f>
        <v>#NAME?</v>
      </c>
      <c r="B1417" t="e">
        <f ca="1">BDP("59261A5A Muni","STATE_CODE")</f>
        <v>#NAME?</v>
      </c>
      <c r="C1417" t="s">
        <v>89</v>
      </c>
      <c r="D1417" t="e">
        <f ca="1">BDP("59261A5A Muni","YIELD_ON_ISSUE_DATE")</f>
        <v>#NAME?</v>
      </c>
      <c r="E1417">
        <v>43850000</v>
      </c>
      <c r="F1417" t="e">
        <f ca="1">BDP("59261A5A Muni","ISSUE_DT")</f>
        <v>#NAME?</v>
      </c>
      <c r="G1417" t="e">
        <f ca="1">BDP("59261A5A Muni","MATURITY")</f>
        <v>#NAME?</v>
      </c>
      <c r="H1417" t="e">
        <f ca="1">BDP("59261A5A Muni","MUNI_TAX_PROV")</f>
        <v>#NAME?</v>
      </c>
      <c r="I1417" t="e">
        <f ca="1">BDP("59261A5A Muni","FINANCING_TYPE")</f>
        <v>#NAME?</v>
      </c>
      <c r="J1417" t="e">
        <f ca="1">BDP("59261A5A Muni","BICS_LEVEL_2_INDUSTRY_GROUP_NAME")</f>
        <v>#NAME?</v>
      </c>
      <c r="K1417" t="e">
        <f ca="1">BDP("59261A5A Muni","SELF_REPRTD_GREEN_INSTR_INDCTR")</f>
        <v>#NAME?</v>
      </c>
      <c r="L1417" t="e">
        <f ca="1">BDP("59261A5A Muni","GB_MANAGEMENT_PROCEEDS")</f>
        <v>#NAME?</v>
      </c>
      <c r="M1417" t="e">
        <f ca="1">BDP("59261A5A Muni","GB_REPORTING")</f>
        <v>#NAME?</v>
      </c>
      <c r="N1417" t="e">
        <f ca="1">BDP("59261A5A Muni","GB_ASSURANCE_PROVIDERS")</f>
        <v>#NAME?</v>
      </c>
      <c r="O1417" t="e">
        <f ca="1">BDP("59261A5A Muni","GB_PROJECT_SELECTION_PROCESS")</f>
        <v>#NAME?</v>
      </c>
      <c r="P1417" t="e">
        <f ca="1">BDP("59261A5A Muni","ESG_FRAMEWORK_INDICATOR")</f>
        <v>#NAME?</v>
      </c>
      <c r="Q1417" t="e">
        <f ca="1">BDP("59261A5A Muni","BLOOMBERG_SECTOR_CODE")</f>
        <v>#NAME?</v>
      </c>
      <c r="R1417" t="e">
        <f ca="1">BDP("59261A5A Muni","ISSUER_TYPE")</f>
        <v>#NAME?</v>
      </c>
      <c r="S1417" t="e">
        <f ca="1">BDS("59261A5A Muni","ESG_PROJECT_CATEGORY", "aggregate=y")</f>
        <v>#NAME?</v>
      </c>
      <c r="T1417" t="e">
        <f ca="1">BDS("59261A5A Muni","ESG_PROJECT_SUBCATEGORY", "aggregate=y")</f>
        <v>#NAME?</v>
      </c>
    </row>
    <row r="1418" spans="1:20" x14ac:dyDescent="0.25">
      <c r="A1418" t="e">
        <f ca="1">BDP("59261A5D Muni","ID_CUSIP")</f>
        <v>#NAME?</v>
      </c>
      <c r="B1418" t="e">
        <f ca="1">BDP("59261A5D Muni","STATE_CODE")</f>
        <v>#NAME?</v>
      </c>
      <c r="C1418" t="s">
        <v>89</v>
      </c>
      <c r="D1418" t="e">
        <f ca="1">BDP("59261A5D Muni","YIELD_ON_ISSUE_DATE")</f>
        <v>#NAME?</v>
      </c>
      <c r="E1418">
        <v>9635000</v>
      </c>
      <c r="F1418" t="e">
        <f ca="1">BDP("59261A5D Muni","ISSUE_DT")</f>
        <v>#NAME?</v>
      </c>
      <c r="G1418" t="e">
        <f ca="1">BDP("59261A5D Muni","MATURITY")</f>
        <v>#NAME?</v>
      </c>
      <c r="H1418" t="e">
        <f ca="1">BDP("59261A5D Muni","MUNI_TAX_PROV")</f>
        <v>#NAME?</v>
      </c>
      <c r="I1418" t="e">
        <f ca="1">BDP("59261A5D Muni","FINANCING_TYPE")</f>
        <v>#NAME?</v>
      </c>
      <c r="J1418" t="e">
        <f ca="1">BDP("59261A5D Muni","BICS_LEVEL_2_INDUSTRY_GROUP_NAME")</f>
        <v>#NAME?</v>
      </c>
      <c r="K1418" t="e">
        <f ca="1">BDP("59261A5D Muni","SELF_REPRTD_GREEN_INSTR_INDCTR")</f>
        <v>#NAME?</v>
      </c>
      <c r="L1418" t="e">
        <f ca="1">BDP("59261A5D Muni","GB_MANAGEMENT_PROCEEDS")</f>
        <v>#NAME?</v>
      </c>
      <c r="M1418" t="e">
        <f ca="1">BDP("59261A5D Muni","GB_REPORTING")</f>
        <v>#NAME?</v>
      </c>
      <c r="N1418" t="e">
        <f ca="1">BDP("59261A5D Muni","GB_ASSURANCE_PROVIDERS")</f>
        <v>#NAME?</v>
      </c>
      <c r="O1418" t="e">
        <f ca="1">BDP("59261A5D Muni","GB_PROJECT_SELECTION_PROCESS")</f>
        <v>#NAME?</v>
      </c>
      <c r="P1418" t="e">
        <f ca="1">BDP("59261A5D Muni","ESG_FRAMEWORK_INDICATOR")</f>
        <v>#NAME?</v>
      </c>
      <c r="Q1418" t="e">
        <f ca="1">BDP("59261A5D Muni","BLOOMBERG_SECTOR_CODE")</f>
        <v>#NAME?</v>
      </c>
      <c r="R1418" t="e">
        <f ca="1">BDP("59261A5D Muni","ISSUER_TYPE")</f>
        <v>#NAME?</v>
      </c>
      <c r="S1418" t="e">
        <f ca="1">BDS("59261A5D Muni","ESG_PROJECT_CATEGORY", "aggregate=y")</f>
        <v>#NAME?</v>
      </c>
      <c r="T1418" t="e">
        <f ca="1">BDS("59261A5D Muni","ESG_PROJECT_SUBCATEGORY", "aggregate=y")</f>
        <v>#NAME?</v>
      </c>
    </row>
    <row r="1419" spans="1:20" x14ac:dyDescent="0.25">
      <c r="A1419" t="e">
        <f ca="1">BDP("59261A5S Muni","ID_CUSIP")</f>
        <v>#NAME?</v>
      </c>
      <c r="B1419" t="e">
        <f ca="1">BDP("59261A5S Muni","STATE_CODE")</f>
        <v>#NAME?</v>
      </c>
      <c r="C1419" t="s">
        <v>89</v>
      </c>
      <c r="D1419" t="e">
        <f ca="1">BDP("59261A5S Muni","YIELD_ON_ISSUE_DATE")</f>
        <v>#NAME?</v>
      </c>
      <c r="E1419">
        <v>83730000</v>
      </c>
      <c r="F1419" t="e">
        <f ca="1">BDP("59261A5S Muni","ISSUE_DT")</f>
        <v>#NAME?</v>
      </c>
      <c r="G1419" t="e">
        <f ca="1">BDP("59261A5S Muni","MATURITY")</f>
        <v>#NAME?</v>
      </c>
      <c r="H1419" t="e">
        <f ca="1">BDP("59261A5S Muni","MUNI_TAX_PROV")</f>
        <v>#NAME?</v>
      </c>
      <c r="I1419" t="e">
        <f ca="1">BDP("59261A5S Muni","FINANCING_TYPE")</f>
        <v>#NAME?</v>
      </c>
      <c r="J1419" t="e">
        <f ca="1">BDP("59261A5S Muni","BICS_LEVEL_2_INDUSTRY_GROUP_NAME")</f>
        <v>#NAME?</v>
      </c>
      <c r="K1419" t="e">
        <f ca="1">BDP("59261A5S Muni","SELF_REPRTD_GREEN_INSTR_INDCTR")</f>
        <v>#NAME?</v>
      </c>
      <c r="L1419" t="e">
        <f ca="1">BDP("59261A5S Muni","GB_MANAGEMENT_PROCEEDS")</f>
        <v>#NAME?</v>
      </c>
      <c r="M1419" t="e">
        <f ca="1">BDP("59261A5S Muni","GB_REPORTING")</f>
        <v>#NAME?</v>
      </c>
      <c r="N1419" t="e">
        <f ca="1">BDP("59261A5S Muni","GB_ASSURANCE_PROVIDERS")</f>
        <v>#NAME?</v>
      </c>
      <c r="O1419" t="e">
        <f ca="1">BDP("59261A5S Muni","GB_PROJECT_SELECTION_PROCESS")</f>
        <v>#NAME?</v>
      </c>
      <c r="P1419" t="e">
        <f ca="1">BDP("59261A5S Muni","ESG_FRAMEWORK_INDICATOR")</f>
        <v>#NAME?</v>
      </c>
      <c r="Q1419" t="e">
        <f ca="1">BDP("59261A5S Muni","BLOOMBERG_SECTOR_CODE")</f>
        <v>#NAME?</v>
      </c>
      <c r="R1419" t="e">
        <f ca="1">BDP("59261A5S Muni","ISSUER_TYPE")</f>
        <v>#NAME?</v>
      </c>
      <c r="S1419" t="e">
        <f ca="1">BDS("59261A5S Muni","ESG_PROJECT_CATEGORY", "aggregate=y")</f>
        <v>#NAME?</v>
      </c>
      <c r="T1419" t="e">
        <f ca="1">BDS("59261A5S Muni","ESG_PROJECT_SUBCATEGORY", "aggregate=y")</f>
        <v>#NAME?</v>
      </c>
    </row>
    <row r="1420" spans="1:20" x14ac:dyDescent="0.25">
      <c r="A1420" t="e">
        <f ca="1">BDP("59261A6B Muni","ID_CUSIP")</f>
        <v>#NAME?</v>
      </c>
      <c r="B1420" t="e">
        <f ca="1">BDP("59261A6B Muni","STATE_CODE")</f>
        <v>#NAME?</v>
      </c>
      <c r="C1420" t="s">
        <v>89</v>
      </c>
      <c r="D1420" t="e">
        <f ca="1">BDP("59261A6B Muni","YIELD_ON_ISSUE_DATE")</f>
        <v>#NAME?</v>
      </c>
      <c r="E1420">
        <v>23630000</v>
      </c>
      <c r="F1420" t="e">
        <f ca="1">BDP("59261A6B Muni","ISSUE_DT")</f>
        <v>#NAME?</v>
      </c>
      <c r="G1420" t="e">
        <f ca="1">BDP("59261A6B Muni","MATURITY")</f>
        <v>#NAME?</v>
      </c>
      <c r="H1420" t="e">
        <f ca="1">BDP("59261A6B Muni","MUNI_TAX_PROV")</f>
        <v>#NAME?</v>
      </c>
      <c r="I1420" t="e">
        <f ca="1">BDP("59261A6B Muni","FINANCING_TYPE")</f>
        <v>#NAME?</v>
      </c>
      <c r="J1420" t="e">
        <f ca="1">BDP("59261A6B Muni","BICS_LEVEL_2_INDUSTRY_GROUP_NAME")</f>
        <v>#NAME?</v>
      </c>
      <c r="K1420" t="e">
        <f ca="1">BDP("59261A6B Muni","SELF_REPRTD_GREEN_INSTR_INDCTR")</f>
        <v>#NAME?</v>
      </c>
      <c r="L1420" t="e">
        <f ca="1">BDP("59261A6B Muni","GB_MANAGEMENT_PROCEEDS")</f>
        <v>#NAME?</v>
      </c>
      <c r="M1420" t="e">
        <f ca="1">BDP("59261A6B Muni","GB_REPORTING")</f>
        <v>#NAME?</v>
      </c>
      <c r="N1420" t="e">
        <f ca="1">BDP("59261A6B Muni","GB_ASSURANCE_PROVIDERS")</f>
        <v>#NAME?</v>
      </c>
      <c r="O1420" t="e">
        <f ca="1">BDP("59261A6B Muni","GB_PROJECT_SELECTION_PROCESS")</f>
        <v>#NAME?</v>
      </c>
      <c r="P1420" t="e">
        <f ca="1">BDP("59261A6B Muni","ESG_FRAMEWORK_INDICATOR")</f>
        <v>#NAME?</v>
      </c>
      <c r="Q1420" t="e">
        <f ca="1">BDP("59261A6B Muni","BLOOMBERG_SECTOR_CODE")</f>
        <v>#NAME?</v>
      </c>
      <c r="R1420" t="e">
        <f ca="1">BDP("59261A6B Muni","ISSUER_TYPE")</f>
        <v>#NAME?</v>
      </c>
      <c r="S1420" t="e">
        <f ca="1">BDS("59261A6B Muni","ESG_PROJECT_CATEGORY", "aggregate=y")</f>
        <v>#NAME?</v>
      </c>
      <c r="T1420" t="e">
        <f ca="1">BDS("59261A6B Muni","ESG_PROJECT_SUBCATEGORY", "aggregate=y")</f>
        <v>#NAME?</v>
      </c>
    </row>
    <row r="1421" spans="1:20" x14ac:dyDescent="0.25">
      <c r="A1421" t="e">
        <f ca="1">BDP("64985H3N Muni","ID_CUSIP")</f>
        <v>#NAME?</v>
      </c>
      <c r="B1421" t="e">
        <f ca="1">BDP("64985H3N Muni","STATE_CODE")</f>
        <v>#NAME?</v>
      </c>
      <c r="C1421" t="s">
        <v>90</v>
      </c>
      <c r="D1421" t="e">
        <f ca="1">BDP("64985H3N Muni","YIELD_ON_ISSUE_DATE")</f>
        <v>#NAME?</v>
      </c>
      <c r="E1421">
        <v>3630000</v>
      </c>
      <c r="F1421" t="e">
        <f ca="1">BDP("64985H3N Muni","ISSUE_DT")</f>
        <v>#NAME?</v>
      </c>
      <c r="G1421" t="e">
        <f ca="1">BDP("64985H3N Muni","MATURITY")</f>
        <v>#NAME?</v>
      </c>
      <c r="H1421" t="e">
        <f ca="1">BDP("64985H3N Muni","MUNI_TAX_PROV")</f>
        <v>#NAME?</v>
      </c>
      <c r="I1421" t="e">
        <f ca="1">BDP("64985H3N Muni","FINANCING_TYPE")</f>
        <v>#NAME?</v>
      </c>
      <c r="J1421" t="e">
        <f ca="1">BDP("64985H3N Muni","BICS_LEVEL_2_INDUSTRY_GROUP_NAME")</f>
        <v>#NAME?</v>
      </c>
      <c r="K1421" t="e">
        <f ca="1">BDP("64985H3N Muni","SELF_REPRTD_GREEN_INSTR_INDCTR")</f>
        <v>#NAME?</v>
      </c>
      <c r="L1421" t="e">
        <f ca="1">BDP("64985H3N Muni","GB_MANAGEMENT_PROCEEDS")</f>
        <v>#NAME?</v>
      </c>
      <c r="M1421" t="e">
        <f ca="1">BDP("64985H3N Muni","GB_REPORTING")</f>
        <v>#NAME?</v>
      </c>
      <c r="N1421" t="e">
        <f ca="1">BDP("64985H3N Muni","GB_ASSURANCE_PROVIDERS")</f>
        <v>#NAME?</v>
      </c>
      <c r="O1421" t="e">
        <f ca="1">BDP("64985H3N Muni","GB_PROJECT_SELECTION_PROCESS")</f>
        <v>#NAME?</v>
      </c>
      <c r="P1421" t="e">
        <f ca="1">BDP("64985H3N Muni","ESG_FRAMEWORK_INDICATOR")</f>
        <v>#NAME?</v>
      </c>
      <c r="Q1421" t="e">
        <f ca="1">BDP("64985H3N Muni","BLOOMBERG_SECTOR_CODE")</f>
        <v>#NAME?</v>
      </c>
      <c r="R1421" t="e">
        <f ca="1">BDP("64985H3N Muni","ISSUER_TYPE")</f>
        <v>#NAME?</v>
      </c>
      <c r="S1421" t="e">
        <f ca="1">BDS("64985H3N Muni","ESG_PROJECT_CATEGORY", "aggregate=y")</f>
        <v>#NAME?</v>
      </c>
      <c r="T1421" t="e">
        <f ca="1">BDS("64985H3N Muni","ESG_PROJECT_SUBCATEGORY", "aggregate=y")</f>
        <v>#NAME?</v>
      </c>
    </row>
    <row r="1422" spans="1:20" x14ac:dyDescent="0.25">
      <c r="A1422" t="e">
        <f ca="1">BDP("64985H3P Muni","ID_CUSIP")</f>
        <v>#NAME?</v>
      </c>
      <c r="B1422" t="e">
        <f ca="1">BDP("64985H3P Muni","STATE_CODE")</f>
        <v>#NAME?</v>
      </c>
      <c r="C1422" t="s">
        <v>90</v>
      </c>
      <c r="D1422" t="e">
        <f ca="1">BDP("64985H3P Muni","YIELD_ON_ISSUE_DATE")</f>
        <v>#NAME?</v>
      </c>
      <c r="E1422">
        <v>2490000</v>
      </c>
      <c r="F1422" t="e">
        <f ca="1">BDP("64985H3P Muni","ISSUE_DT")</f>
        <v>#NAME?</v>
      </c>
      <c r="G1422" t="e">
        <f ca="1">BDP("64985H3P Muni","MATURITY")</f>
        <v>#NAME?</v>
      </c>
      <c r="H1422" t="e">
        <f ca="1">BDP("64985H3P Muni","MUNI_TAX_PROV")</f>
        <v>#NAME?</v>
      </c>
      <c r="I1422" t="e">
        <f ca="1">BDP("64985H3P Muni","FINANCING_TYPE")</f>
        <v>#NAME?</v>
      </c>
      <c r="J1422" t="e">
        <f ca="1">BDP("64985H3P Muni","BICS_LEVEL_2_INDUSTRY_GROUP_NAME")</f>
        <v>#NAME?</v>
      </c>
      <c r="K1422" t="e">
        <f ca="1">BDP("64985H3P Muni","SELF_REPRTD_GREEN_INSTR_INDCTR")</f>
        <v>#NAME?</v>
      </c>
      <c r="L1422" t="e">
        <f ca="1">BDP("64985H3P Muni","GB_MANAGEMENT_PROCEEDS")</f>
        <v>#NAME?</v>
      </c>
      <c r="M1422" t="e">
        <f ca="1">BDP("64985H3P Muni","GB_REPORTING")</f>
        <v>#NAME?</v>
      </c>
      <c r="N1422" t="e">
        <f ca="1">BDP("64985H3P Muni","GB_ASSURANCE_PROVIDERS")</f>
        <v>#NAME?</v>
      </c>
      <c r="O1422" t="e">
        <f ca="1">BDP("64985H3P Muni","GB_PROJECT_SELECTION_PROCESS")</f>
        <v>#NAME?</v>
      </c>
      <c r="P1422" t="e">
        <f ca="1">BDP("64985H3P Muni","ESG_FRAMEWORK_INDICATOR")</f>
        <v>#NAME?</v>
      </c>
      <c r="Q1422" t="e">
        <f ca="1">BDP("64985H3P Muni","BLOOMBERG_SECTOR_CODE")</f>
        <v>#NAME?</v>
      </c>
      <c r="R1422" t="e">
        <f ca="1">BDP("64985H3P Muni","ISSUER_TYPE")</f>
        <v>#NAME?</v>
      </c>
      <c r="S1422" t="e">
        <f ca="1">BDS("64985H3P Muni","ESG_PROJECT_CATEGORY", "aggregate=y")</f>
        <v>#NAME?</v>
      </c>
      <c r="T1422" t="e">
        <f ca="1">BDS("64985H3P Muni","ESG_PROJECT_SUBCATEGORY", "aggregate=y")</f>
        <v>#NAME?</v>
      </c>
    </row>
    <row r="1423" spans="1:20" x14ac:dyDescent="0.25">
      <c r="A1423" t="e">
        <f ca="1">BDP("64985H3Q Muni","ID_CUSIP")</f>
        <v>#NAME?</v>
      </c>
      <c r="B1423" t="e">
        <f ca="1">BDP("64985H3Q Muni","STATE_CODE")</f>
        <v>#NAME?</v>
      </c>
      <c r="C1423" t="s">
        <v>90</v>
      </c>
      <c r="D1423" t="e">
        <f ca="1">BDP("64985H3Q Muni","YIELD_ON_ISSUE_DATE")</f>
        <v>#NAME?</v>
      </c>
      <c r="E1423">
        <v>2610000</v>
      </c>
      <c r="F1423" t="e">
        <f ca="1">BDP("64985H3Q Muni","ISSUE_DT")</f>
        <v>#NAME?</v>
      </c>
      <c r="G1423" t="e">
        <f ca="1">BDP("64985H3Q Muni","MATURITY")</f>
        <v>#NAME?</v>
      </c>
      <c r="H1423" t="e">
        <f ca="1">BDP("64985H3Q Muni","MUNI_TAX_PROV")</f>
        <v>#NAME?</v>
      </c>
      <c r="I1423" t="e">
        <f ca="1">BDP("64985H3Q Muni","FINANCING_TYPE")</f>
        <v>#NAME?</v>
      </c>
      <c r="J1423" t="e">
        <f ca="1">BDP("64985H3Q Muni","BICS_LEVEL_2_INDUSTRY_GROUP_NAME")</f>
        <v>#NAME?</v>
      </c>
      <c r="K1423" t="e">
        <f ca="1">BDP("64985H3Q Muni","SELF_REPRTD_GREEN_INSTR_INDCTR")</f>
        <v>#NAME?</v>
      </c>
      <c r="L1423" t="e">
        <f ca="1">BDP("64985H3Q Muni","GB_MANAGEMENT_PROCEEDS")</f>
        <v>#NAME?</v>
      </c>
      <c r="M1423" t="e">
        <f ca="1">BDP("64985H3Q Muni","GB_REPORTING")</f>
        <v>#NAME?</v>
      </c>
      <c r="N1423" t="e">
        <f ca="1">BDP("64985H3Q Muni","GB_ASSURANCE_PROVIDERS")</f>
        <v>#NAME?</v>
      </c>
      <c r="O1423" t="e">
        <f ca="1">BDP("64985H3Q Muni","GB_PROJECT_SELECTION_PROCESS")</f>
        <v>#NAME?</v>
      </c>
      <c r="P1423" t="e">
        <f ca="1">BDP("64985H3Q Muni","ESG_FRAMEWORK_INDICATOR")</f>
        <v>#NAME?</v>
      </c>
      <c r="Q1423" t="e">
        <f ca="1">BDP("64985H3Q Muni","BLOOMBERG_SECTOR_CODE")</f>
        <v>#NAME?</v>
      </c>
      <c r="R1423" t="e">
        <f ca="1">BDP("64985H3Q Muni","ISSUER_TYPE")</f>
        <v>#NAME?</v>
      </c>
      <c r="S1423" t="e">
        <f ca="1">BDS("64985H3Q Muni","ESG_PROJECT_CATEGORY", "aggregate=y")</f>
        <v>#NAME?</v>
      </c>
      <c r="T1423" t="e">
        <f ca="1">BDS("64985H3Q Muni","ESG_PROJECT_SUBCATEGORY", "aggregate=y")</f>
        <v>#NAME?</v>
      </c>
    </row>
    <row r="1424" spans="1:20" x14ac:dyDescent="0.25">
      <c r="A1424" t="e">
        <f ca="1">BDP("64985H3T Muni","ID_CUSIP")</f>
        <v>#NAME?</v>
      </c>
      <c r="B1424" t="e">
        <f ca="1">BDP("64985H3T Muni","STATE_CODE")</f>
        <v>#NAME?</v>
      </c>
      <c r="C1424" t="s">
        <v>90</v>
      </c>
      <c r="D1424" t="e">
        <f ca="1">BDP("64985H3T Muni","YIELD_ON_ISSUE_DATE")</f>
        <v>#NAME?</v>
      </c>
      <c r="E1424">
        <v>2920000</v>
      </c>
      <c r="F1424" t="e">
        <f ca="1">BDP("64985H3T Muni","ISSUE_DT")</f>
        <v>#NAME?</v>
      </c>
      <c r="G1424" t="e">
        <f ca="1">BDP("64985H3T Muni","MATURITY")</f>
        <v>#NAME?</v>
      </c>
      <c r="H1424" t="e">
        <f ca="1">BDP("64985H3T Muni","MUNI_TAX_PROV")</f>
        <v>#NAME?</v>
      </c>
      <c r="I1424" t="e">
        <f ca="1">BDP("64985H3T Muni","FINANCING_TYPE")</f>
        <v>#NAME?</v>
      </c>
      <c r="J1424" t="e">
        <f ca="1">BDP("64985H3T Muni","BICS_LEVEL_2_INDUSTRY_GROUP_NAME")</f>
        <v>#NAME?</v>
      </c>
      <c r="K1424" t="e">
        <f ca="1">BDP("64985H3T Muni","SELF_REPRTD_GREEN_INSTR_INDCTR")</f>
        <v>#NAME?</v>
      </c>
      <c r="L1424" t="e">
        <f ca="1">BDP("64985H3T Muni","GB_MANAGEMENT_PROCEEDS")</f>
        <v>#NAME?</v>
      </c>
      <c r="M1424" t="e">
        <f ca="1">BDP("64985H3T Muni","GB_REPORTING")</f>
        <v>#NAME?</v>
      </c>
      <c r="N1424" t="e">
        <f ca="1">BDP("64985H3T Muni","GB_ASSURANCE_PROVIDERS")</f>
        <v>#NAME?</v>
      </c>
      <c r="O1424" t="e">
        <f ca="1">BDP("64985H3T Muni","GB_PROJECT_SELECTION_PROCESS")</f>
        <v>#NAME?</v>
      </c>
      <c r="P1424" t="e">
        <f ca="1">BDP("64985H3T Muni","ESG_FRAMEWORK_INDICATOR")</f>
        <v>#NAME?</v>
      </c>
      <c r="Q1424" t="e">
        <f ca="1">BDP("64985H3T Muni","BLOOMBERG_SECTOR_CODE")</f>
        <v>#NAME?</v>
      </c>
      <c r="R1424" t="e">
        <f ca="1">BDP("64985H3T Muni","ISSUER_TYPE")</f>
        <v>#NAME?</v>
      </c>
      <c r="S1424" t="e">
        <f ca="1">BDS("64985H3T Muni","ESG_PROJECT_CATEGORY", "aggregate=y")</f>
        <v>#NAME?</v>
      </c>
      <c r="T1424" t="e">
        <f ca="1">BDS("64985H3T Muni","ESG_PROJECT_SUBCATEGORY", "aggregate=y")</f>
        <v>#NAME?</v>
      </c>
    </row>
    <row r="1425" spans="1:20" x14ac:dyDescent="0.25">
      <c r="A1425" t="e">
        <f ca="1">BDP("64985H3W Muni","ID_CUSIP")</f>
        <v>#NAME?</v>
      </c>
      <c r="B1425" t="e">
        <f ca="1">BDP("64985H3W Muni","STATE_CODE")</f>
        <v>#NAME?</v>
      </c>
      <c r="C1425" t="s">
        <v>90</v>
      </c>
      <c r="D1425" t="e">
        <f ca="1">BDP("64985H3W Muni","YIELD_ON_ISSUE_DATE")</f>
        <v>#NAME?</v>
      </c>
      <c r="E1425">
        <v>3300000</v>
      </c>
      <c r="F1425" t="e">
        <f ca="1">BDP("64985H3W Muni","ISSUE_DT")</f>
        <v>#NAME?</v>
      </c>
      <c r="G1425" t="e">
        <f ca="1">BDP("64985H3W Muni","MATURITY")</f>
        <v>#NAME?</v>
      </c>
      <c r="H1425" t="e">
        <f ca="1">BDP("64985H3W Muni","MUNI_TAX_PROV")</f>
        <v>#NAME?</v>
      </c>
      <c r="I1425" t="e">
        <f ca="1">BDP("64985H3W Muni","FINANCING_TYPE")</f>
        <v>#NAME?</v>
      </c>
      <c r="J1425" t="e">
        <f ca="1">BDP("64985H3W Muni","BICS_LEVEL_2_INDUSTRY_GROUP_NAME")</f>
        <v>#NAME?</v>
      </c>
      <c r="K1425" t="e">
        <f ca="1">BDP("64985H3W Muni","SELF_REPRTD_GREEN_INSTR_INDCTR")</f>
        <v>#NAME?</v>
      </c>
      <c r="L1425" t="e">
        <f ca="1">BDP("64985H3W Muni","GB_MANAGEMENT_PROCEEDS")</f>
        <v>#NAME?</v>
      </c>
      <c r="M1425" t="e">
        <f ca="1">BDP("64985H3W Muni","GB_REPORTING")</f>
        <v>#NAME?</v>
      </c>
      <c r="N1425" t="e">
        <f ca="1">BDP("64985H3W Muni","GB_ASSURANCE_PROVIDERS")</f>
        <v>#NAME?</v>
      </c>
      <c r="O1425" t="e">
        <f ca="1">BDP("64985H3W Muni","GB_PROJECT_SELECTION_PROCESS")</f>
        <v>#NAME?</v>
      </c>
      <c r="P1425" t="e">
        <f ca="1">BDP("64985H3W Muni","ESG_FRAMEWORK_INDICATOR")</f>
        <v>#NAME?</v>
      </c>
      <c r="Q1425" t="e">
        <f ca="1">BDP("64985H3W Muni","BLOOMBERG_SECTOR_CODE")</f>
        <v>#NAME?</v>
      </c>
      <c r="R1425" t="e">
        <f ca="1">BDP("64985H3W Muni","ISSUER_TYPE")</f>
        <v>#NAME?</v>
      </c>
      <c r="S1425" t="e">
        <f ca="1">BDS("64985H3W Muni","ESG_PROJECT_CATEGORY", "aggregate=y")</f>
        <v>#NAME?</v>
      </c>
      <c r="T1425" t="e">
        <f ca="1">BDS("64985H3W Muni","ESG_PROJECT_SUBCATEGORY", "aggregate=y")</f>
        <v>#NAME?</v>
      </c>
    </row>
    <row r="1426" spans="1:20" x14ac:dyDescent="0.25">
      <c r="A1426" t="e">
        <f ca="1">BDP("64985H3Y Muni","ID_CUSIP")</f>
        <v>#NAME?</v>
      </c>
      <c r="B1426" t="e">
        <f ca="1">BDP("64985H3Y Muni","STATE_CODE")</f>
        <v>#NAME?</v>
      </c>
      <c r="C1426" t="s">
        <v>90</v>
      </c>
      <c r="D1426" t="e">
        <f ca="1">BDP("64985H3Y Muni","YIELD_ON_ISSUE_DATE")</f>
        <v>#NAME?</v>
      </c>
      <c r="E1426">
        <v>3570000</v>
      </c>
      <c r="F1426" t="e">
        <f ca="1">BDP("64985H3Y Muni","ISSUE_DT")</f>
        <v>#NAME?</v>
      </c>
      <c r="G1426" t="e">
        <f ca="1">BDP("64985H3Y Muni","MATURITY")</f>
        <v>#NAME?</v>
      </c>
      <c r="H1426" t="e">
        <f ca="1">BDP("64985H3Y Muni","MUNI_TAX_PROV")</f>
        <v>#NAME?</v>
      </c>
      <c r="I1426" t="e">
        <f ca="1">BDP("64985H3Y Muni","FINANCING_TYPE")</f>
        <v>#NAME?</v>
      </c>
      <c r="J1426" t="e">
        <f ca="1">BDP("64985H3Y Muni","BICS_LEVEL_2_INDUSTRY_GROUP_NAME")</f>
        <v>#NAME?</v>
      </c>
      <c r="K1426" t="e">
        <f ca="1">BDP("64985H3Y Muni","SELF_REPRTD_GREEN_INSTR_INDCTR")</f>
        <v>#NAME?</v>
      </c>
      <c r="L1426" t="e">
        <f ca="1">BDP("64985H3Y Muni","GB_MANAGEMENT_PROCEEDS")</f>
        <v>#NAME?</v>
      </c>
      <c r="M1426" t="e">
        <f ca="1">BDP("64985H3Y Muni","GB_REPORTING")</f>
        <v>#NAME?</v>
      </c>
      <c r="N1426" t="e">
        <f ca="1">BDP("64985H3Y Muni","GB_ASSURANCE_PROVIDERS")</f>
        <v>#NAME?</v>
      </c>
      <c r="O1426" t="e">
        <f ca="1">BDP("64985H3Y Muni","GB_PROJECT_SELECTION_PROCESS")</f>
        <v>#NAME?</v>
      </c>
      <c r="P1426" t="e">
        <f ca="1">BDP("64985H3Y Muni","ESG_FRAMEWORK_INDICATOR")</f>
        <v>#NAME?</v>
      </c>
      <c r="Q1426" t="e">
        <f ca="1">BDP("64985H3Y Muni","BLOOMBERG_SECTOR_CODE")</f>
        <v>#NAME?</v>
      </c>
      <c r="R1426" t="e">
        <f ca="1">BDP("64985H3Y Muni","ISSUER_TYPE")</f>
        <v>#NAME?</v>
      </c>
      <c r="S1426" t="e">
        <f ca="1">BDS("64985H3Y Muni","ESG_PROJECT_CATEGORY", "aggregate=y")</f>
        <v>#NAME?</v>
      </c>
      <c r="T1426" t="e">
        <f ca="1">BDS("64985H3Y Muni","ESG_PROJECT_SUBCATEGORY", "aggregate=y")</f>
        <v>#NAME?</v>
      </c>
    </row>
    <row r="1427" spans="1:20" x14ac:dyDescent="0.25">
      <c r="A1427" t="e">
        <f ca="1">BDP("64985H3Z Muni","ID_CUSIP")</f>
        <v>#NAME?</v>
      </c>
      <c r="B1427" t="e">
        <f ca="1">BDP("64985H3Z Muni","STATE_CODE")</f>
        <v>#NAME?</v>
      </c>
      <c r="C1427" t="s">
        <v>90</v>
      </c>
      <c r="D1427" t="e">
        <f ca="1">BDP("64985H3Z Muni","YIELD_ON_ISSUE_DATE")</f>
        <v>#NAME?</v>
      </c>
      <c r="E1427">
        <v>3715000</v>
      </c>
      <c r="F1427" t="e">
        <f ca="1">BDP("64985H3Z Muni","ISSUE_DT")</f>
        <v>#NAME?</v>
      </c>
      <c r="G1427" t="e">
        <f ca="1">BDP("64985H3Z Muni","MATURITY")</f>
        <v>#NAME?</v>
      </c>
      <c r="H1427" t="e">
        <f ca="1">BDP("64985H3Z Muni","MUNI_TAX_PROV")</f>
        <v>#NAME?</v>
      </c>
      <c r="I1427" t="e">
        <f ca="1">BDP("64985H3Z Muni","FINANCING_TYPE")</f>
        <v>#NAME?</v>
      </c>
      <c r="J1427" t="e">
        <f ca="1">BDP("64985H3Z Muni","BICS_LEVEL_2_INDUSTRY_GROUP_NAME")</f>
        <v>#NAME?</v>
      </c>
      <c r="K1427" t="e">
        <f ca="1">BDP("64985H3Z Muni","SELF_REPRTD_GREEN_INSTR_INDCTR")</f>
        <v>#NAME?</v>
      </c>
      <c r="L1427" t="e">
        <f ca="1">BDP("64985H3Z Muni","GB_MANAGEMENT_PROCEEDS")</f>
        <v>#NAME?</v>
      </c>
      <c r="M1427" t="e">
        <f ca="1">BDP("64985H3Z Muni","GB_REPORTING")</f>
        <v>#NAME?</v>
      </c>
      <c r="N1427" t="e">
        <f ca="1">BDP("64985H3Z Muni","GB_ASSURANCE_PROVIDERS")</f>
        <v>#NAME?</v>
      </c>
      <c r="O1427" t="e">
        <f ca="1">BDP("64985H3Z Muni","GB_PROJECT_SELECTION_PROCESS")</f>
        <v>#NAME?</v>
      </c>
      <c r="P1427" t="e">
        <f ca="1">BDP("64985H3Z Muni","ESG_FRAMEWORK_INDICATOR")</f>
        <v>#NAME?</v>
      </c>
      <c r="Q1427" t="e">
        <f ca="1">BDP("64985H3Z Muni","BLOOMBERG_SECTOR_CODE")</f>
        <v>#NAME?</v>
      </c>
      <c r="R1427" t="e">
        <f ca="1">BDP("64985H3Z Muni","ISSUER_TYPE")</f>
        <v>#NAME?</v>
      </c>
      <c r="S1427" t="e">
        <f ca="1">BDS("64985H3Z Muni","ESG_PROJECT_CATEGORY", "aggregate=y")</f>
        <v>#NAME?</v>
      </c>
      <c r="T1427" t="e">
        <f ca="1">BDS("64985H3Z Muni","ESG_PROJECT_SUBCATEGORY", "aggregate=y")</f>
        <v>#NAME?</v>
      </c>
    </row>
    <row r="1428" spans="1:20" x14ac:dyDescent="0.25">
      <c r="A1428" t="e">
        <f ca="1">BDP("64985H4A Muni","ID_CUSIP")</f>
        <v>#NAME?</v>
      </c>
      <c r="B1428" t="e">
        <f ca="1">BDP("64985H4A Muni","STATE_CODE")</f>
        <v>#NAME?</v>
      </c>
      <c r="C1428" t="s">
        <v>90</v>
      </c>
      <c r="D1428" t="e">
        <f ca="1">BDP("64985H4A Muni","YIELD_ON_ISSUE_DATE")</f>
        <v>#NAME?</v>
      </c>
      <c r="E1428">
        <v>3865000</v>
      </c>
      <c r="F1428" t="e">
        <f ca="1">BDP("64985H4A Muni","ISSUE_DT")</f>
        <v>#NAME?</v>
      </c>
      <c r="G1428" t="e">
        <f ca="1">BDP("64985H4A Muni","MATURITY")</f>
        <v>#NAME?</v>
      </c>
      <c r="H1428" t="e">
        <f ca="1">BDP("64985H4A Muni","MUNI_TAX_PROV")</f>
        <v>#NAME?</v>
      </c>
      <c r="I1428" t="e">
        <f ca="1">BDP("64985H4A Muni","FINANCING_TYPE")</f>
        <v>#NAME?</v>
      </c>
      <c r="J1428" t="e">
        <f ca="1">BDP("64985H4A Muni","BICS_LEVEL_2_INDUSTRY_GROUP_NAME")</f>
        <v>#NAME?</v>
      </c>
      <c r="K1428" t="e">
        <f ca="1">BDP("64985H4A Muni","SELF_REPRTD_GREEN_INSTR_INDCTR")</f>
        <v>#NAME?</v>
      </c>
      <c r="L1428" t="e">
        <f ca="1">BDP("64985H4A Muni","GB_MANAGEMENT_PROCEEDS")</f>
        <v>#NAME?</v>
      </c>
      <c r="M1428" t="e">
        <f ca="1">BDP("64985H4A Muni","GB_REPORTING")</f>
        <v>#NAME?</v>
      </c>
      <c r="N1428" t="e">
        <f ca="1">BDP("64985H4A Muni","GB_ASSURANCE_PROVIDERS")</f>
        <v>#NAME?</v>
      </c>
      <c r="O1428" t="e">
        <f ca="1">BDP("64985H4A Muni","GB_PROJECT_SELECTION_PROCESS")</f>
        <v>#NAME?</v>
      </c>
      <c r="P1428" t="e">
        <f ca="1">BDP("64985H4A Muni","ESG_FRAMEWORK_INDICATOR")</f>
        <v>#NAME?</v>
      </c>
      <c r="Q1428" t="e">
        <f ca="1">BDP("64985H4A Muni","BLOOMBERG_SECTOR_CODE")</f>
        <v>#NAME?</v>
      </c>
      <c r="R1428" t="e">
        <f ca="1">BDP("64985H4A Muni","ISSUER_TYPE")</f>
        <v>#NAME?</v>
      </c>
      <c r="S1428" t="e">
        <f ca="1">BDS("64985H4A Muni","ESG_PROJECT_CATEGORY", "aggregate=y")</f>
        <v>#NAME?</v>
      </c>
      <c r="T1428" t="e">
        <f ca="1">BDS("64985H4A Muni","ESG_PROJECT_SUBCATEGORY", "aggregate=y")</f>
        <v>#NAME?</v>
      </c>
    </row>
    <row r="1429" spans="1:20" x14ac:dyDescent="0.25">
      <c r="A1429" t="e">
        <f ca="1">BDP("64985H4B Muni","ID_CUSIP")</f>
        <v>#NAME?</v>
      </c>
      <c r="B1429" t="e">
        <f ca="1">BDP("64985H4B Muni","STATE_CODE")</f>
        <v>#NAME?</v>
      </c>
      <c r="C1429" t="s">
        <v>90</v>
      </c>
      <c r="D1429" t="e">
        <f ca="1">BDP("64985H4B Muni","YIELD_ON_ISSUE_DATE")</f>
        <v>#NAME?</v>
      </c>
      <c r="E1429">
        <v>4010000</v>
      </c>
      <c r="F1429" t="e">
        <f ca="1">BDP("64985H4B Muni","ISSUE_DT")</f>
        <v>#NAME?</v>
      </c>
      <c r="G1429" t="e">
        <f ca="1">BDP("64985H4B Muni","MATURITY")</f>
        <v>#NAME?</v>
      </c>
      <c r="H1429" t="e">
        <f ca="1">BDP("64985H4B Muni","MUNI_TAX_PROV")</f>
        <v>#NAME?</v>
      </c>
      <c r="I1429" t="e">
        <f ca="1">BDP("64985H4B Muni","FINANCING_TYPE")</f>
        <v>#NAME?</v>
      </c>
      <c r="J1429" t="e">
        <f ca="1">BDP("64985H4B Muni","BICS_LEVEL_2_INDUSTRY_GROUP_NAME")</f>
        <v>#NAME?</v>
      </c>
      <c r="K1429" t="e">
        <f ca="1">BDP("64985H4B Muni","SELF_REPRTD_GREEN_INSTR_INDCTR")</f>
        <v>#NAME?</v>
      </c>
      <c r="L1429" t="e">
        <f ca="1">BDP("64985H4B Muni","GB_MANAGEMENT_PROCEEDS")</f>
        <v>#NAME?</v>
      </c>
      <c r="M1429" t="e">
        <f ca="1">BDP("64985H4B Muni","GB_REPORTING")</f>
        <v>#NAME?</v>
      </c>
      <c r="N1429" t="e">
        <f ca="1">BDP("64985H4B Muni","GB_ASSURANCE_PROVIDERS")</f>
        <v>#NAME?</v>
      </c>
      <c r="O1429" t="e">
        <f ca="1">BDP("64985H4B Muni","GB_PROJECT_SELECTION_PROCESS")</f>
        <v>#NAME?</v>
      </c>
      <c r="P1429" t="e">
        <f ca="1">BDP("64985H4B Muni","ESG_FRAMEWORK_INDICATOR")</f>
        <v>#NAME?</v>
      </c>
      <c r="Q1429" t="e">
        <f ca="1">BDP("64985H4B Muni","BLOOMBERG_SECTOR_CODE")</f>
        <v>#NAME?</v>
      </c>
      <c r="R1429" t="e">
        <f ca="1">BDP("64985H4B Muni","ISSUER_TYPE")</f>
        <v>#NAME?</v>
      </c>
      <c r="S1429" t="e">
        <f ca="1">BDS("64985H4B Muni","ESG_PROJECT_CATEGORY", "aggregate=y")</f>
        <v>#NAME?</v>
      </c>
      <c r="T1429" t="e">
        <f ca="1">BDS("64985H4B Muni","ESG_PROJECT_SUBCATEGORY", "aggregate=y")</f>
        <v>#NAME?</v>
      </c>
    </row>
    <row r="1430" spans="1:20" x14ac:dyDescent="0.25">
      <c r="A1430" t="e">
        <f ca="1">BDP("64985H4C Muni","ID_CUSIP")</f>
        <v>#NAME?</v>
      </c>
      <c r="B1430" t="e">
        <f ca="1">BDP("64985H4C Muni","STATE_CODE")</f>
        <v>#NAME?</v>
      </c>
      <c r="C1430" t="s">
        <v>90</v>
      </c>
      <c r="D1430" t="e">
        <f ca="1">BDP("64985H4C Muni","YIELD_ON_ISSUE_DATE")</f>
        <v>#NAME?</v>
      </c>
      <c r="E1430">
        <v>4170000</v>
      </c>
      <c r="F1430" t="e">
        <f ca="1">BDP("64985H4C Muni","ISSUE_DT")</f>
        <v>#NAME?</v>
      </c>
      <c r="G1430" t="e">
        <f ca="1">BDP("64985H4C Muni","MATURITY")</f>
        <v>#NAME?</v>
      </c>
      <c r="H1430" t="e">
        <f ca="1">BDP("64985H4C Muni","MUNI_TAX_PROV")</f>
        <v>#NAME?</v>
      </c>
      <c r="I1430" t="e">
        <f ca="1">BDP("64985H4C Muni","FINANCING_TYPE")</f>
        <v>#NAME?</v>
      </c>
      <c r="J1430" t="e">
        <f ca="1">BDP("64985H4C Muni","BICS_LEVEL_2_INDUSTRY_GROUP_NAME")</f>
        <v>#NAME?</v>
      </c>
      <c r="K1430" t="e">
        <f ca="1">BDP("64985H4C Muni","SELF_REPRTD_GREEN_INSTR_INDCTR")</f>
        <v>#NAME?</v>
      </c>
      <c r="L1430" t="e">
        <f ca="1">BDP("64985H4C Muni","GB_MANAGEMENT_PROCEEDS")</f>
        <v>#NAME?</v>
      </c>
      <c r="M1430" t="e">
        <f ca="1">BDP("64985H4C Muni","GB_REPORTING")</f>
        <v>#NAME?</v>
      </c>
      <c r="N1430" t="e">
        <f ca="1">BDP("64985H4C Muni","GB_ASSURANCE_PROVIDERS")</f>
        <v>#NAME?</v>
      </c>
      <c r="O1430" t="e">
        <f ca="1">BDP("64985H4C Muni","GB_PROJECT_SELECTION_PROCESS")</f>
        <v>#NAME?</v>
      </c>
      <c r="P1430" t="e">
        <f ca="1">BDP("64985H4C Muni","ESG_FRAMEWORK_INDICATOR")</f>
        <v>#NAME?</v>
      </c>
      <c r="Q1430" t="e">
        <f ca="1">BDP("64985H4C Muni","BLOOMBERG_SECTOR_CODE")</f>
        <v>#NAME?</v>
      </c>
      <c r="R1430" t="e">
        <f ca="1">BDP("64985H4C Muni","ISSUER_TYPE")</f>
        <v>#NAME?</v>
      </c>
      <c r="S1430" t="e">
        <f ca="1">BDS("64985H4C Muni","ESG_PROJECT_CATEGORY", "aggregate=y")</f>
        <v>#NAME?</v>
      </c>
      <c r="T1430" t="e">
        <f ca="1">BDS("64985H4C Muni","ESG_PROJECT_SUBCATEGORY", "aggregate=y")</f>
        <v>#NAME?</v>
      </c>
    </row>
    <row r="1431" spans="1:20" x14ac:dyDescent="0.25">
      <c r="A1431" t="e">
        <f ca="1">BDP("64985H4G Muni","ID_CUSIP")</f>
        <v>#NAME?</v>
      </c>
      <c r="B1431" t="e">
        <f ca="1">BDP("64985H4G Muni","STATE_CODE")</f>
        <v>#NAME?</v>
      </c>
      <c r="C1431" t="s">
        <v>90</v>
      </c>
      <c r="D1431" t="e">
        <f ca="1">BDP("64985H4G Muni","YIELD_ON_ISSUE_DATE")</f>
        <v>#NAME?</v>
      </c>
      <c r="E1431">
        <v>4850000</v>
      </c>
      <c r="F1431" t="e">
        <f ca="1">BDP("64985H4G Muni","ISSUE_DT")</f>
        <v>#NAME?</v>
      </c>
      <c r="G1431" t="e">
        <f ca="1">BDP("64985H4G Muni","MATURITY")</f>
        <v>#NAME?</v>
      </c>
      <c r="H1431" t="e">
        <f ca="1">BDP("64985H4G Muni","MUNI_TAX_PROV")</f>
        <v>#NAME?</v>
      </c>
      <c r="I1431" t="e">
        <f ca="1">BDP("64985H4G Muni","FINANCING_TYPE")</f>
        <v>#NAME?</v>
      </c>
      <c r="J1431" t="e">
        <f ca="1">BDP("64985H4G Muni","BICS_LEVEL_2_INDUSTRY_GROUP_NAME")</f>
        <v>#NAME?</v>
      </c>
      <c r="K1431" t="e">
        <f ca="1">BDP("64985H4G Muni","SELF_REPRTD_GREEN_INSTR_INDCTR")</f>
        <v>#NAME?</v>
      </c>
      <c r="L1431" t="e">
        <f ca="1">BDP("64985H4G Muni","GB_MANAGEMENT_PROCEEDS")</f>
        <v>#NAME?</v>
      </c>
      <c r="M1431" t="e">
        <f ca="1">BDP("64985H4G Muni","GB_REPORTING")</f>
        <v>#NAME?</v>
      </c>
      <c r="N1431" t="e">
        <f ca="1">BDP("64985H4G Muni","GB_ASSURANCE_PROVIDERS")</f>
        <v>#NAME?</v>
      </c>
      <c r="O1431" t="e">
        <f ca="1">BDP("64985H4G Muni","GB_PROJECT_SELECTION_PROCESS")</f>
        <v>#NAME?</v>
      </c>
      <c r="P1431" t="e">
        <f ca="1">BDP("64985H4G Muni","ESG_FRAMEWORK_INDICATOR")</f>
        <v>#NAME?</v>
      </c>
      <c r="Q1431" t="e">
        <f ca="1">BDP("64985H4G Muni","BLOOMBERG_SECTOR_CODE")</f>
        <v>#NAME?</v>
      </c>
      <c r="R1431" t="e">
        <f ca="1">BDP("64985H4G Muni","ISSUER_TYPE")</f>
        <v>#NAME?</v>
      </c>
      <c r="S1431" t="e">
        <f ca="1">BDS("64985H4G Muni","ESG_PROJECT_CATEGORY", "aggregate=y")</f>
        <v>#NAME?</v>
      </c>
      <c r="T1431" t="e">
        <f ca="1">BDS("64985H4G Muni","ESG_PROJECT_SUBCATEGORY", "aggregate=y")</f>
        <v>#NAME?</v>
      </c>
    </row>
    <row r="1432" spans="1:20" x14ac:dyDescent="0.25">
      <c r="A1432" t="e">
        <f ca="1">BDP("64985H4H Muni","ID_CUSIP")</f>
        <v>#NAME?</v>
      </c>
      <c r="B1432" t="e">
        <f ca="1">BDP("64985H4H Muni","STATE_CODE")</f>
        <v>#NAME?</v>
      </c>
      <c r="C1432" t="s">
        <v>90</v>
      </c>
      <c r="D1432" t="e">
        <f ca="1">BDP("64985H4H Muni","YIELD_ON_ISSUE_DATE")</f>
        <v>#NAME?</v>
      </c>
      <c r="E1432">
        <v>5035000</v>
      </c>
      <c r="F1432" t="e">
        <f ca="1">BDP("64985H4H Muni","ISSUE_DT")</f>
        <v>#NAME?</v>
      </c>
      <c r="G1432" t="e">
        <f ca="1">BDP("64985H4H Muni","MATURITY")</f>
        <v>#NAME?</v>
      </c>
      <c r="H1432" t="e">
        <f ca="1">BDP("64985H4H Muni","MUNI_TAX_PROV")</f>
        <v>#NAME?</v>
      </c>
      <c r="I1432" t="e">
        <f ca="1">BDP("64985H4H Muni","FINANCING_TYPE")</f>
        <v>#NAME?</v>
      </c>
      <c r="J1432" t="e">
        <f ca="1">BDP("64985H4H Muni","BICS_LEVEL_2_INDUSTRY_GROUP_NAME")</f>
        <v>#NAME?</v>
      </c>
      <c r="K1432" t="e">
        <f ca="1">BDP("64985H4H Muni","SELF_REPRTD_GREEN_INSTR_INDCTR")</f>
        <v>#NAME?</v>
      </c>
      <c r="L1432" t="e">
        <f ca="1">BDP("64985H4H Muni","GB_MANAGEMENT_PROCEEDS")</f>
        <v>#NAME?</v>
      </c>
      <c r="M1432" t="e">
        <f ca="1">BDP("64985H4H Muni","GB_REPORTING")</f>
        <v>#NAME?</v>
      </c>
      <c r="N1432" t="e">
        <f ca="1">BDP("64985H4H Muni","GB_ASSURANCE_PROVIDERS")</f>
        <v>#NAME?</v>
      </c>
      <c r="O1432" t="e">
        <f ca="1">BDP("64985H4H Muni","GB_PROJECT_SELECTION_PROCESS")</f>
        <v>#NAME?</v>
      </c>
      <c r="P1432" t="e">
        <f ca="1">BDP("64985H4H Muni","ESG_FRAMEWORK_INDICATOR")</f>
        <v>#NAME?</v>
      </c>
      <c r="Q1432" t="e">
        <f ca="1">BDP("64985H4H Muni","BLOOMBERG_SECTOR_CODE")</f>
        <v>#NAME?</v>
      </c>
      <c r="R1432" t="e">
        <f ca="1">BDP("64985H4H Muni","ISSUER_TYPE")</f>
        <v>#NAME?</v>
      </c>
      <c r="S1432" t="e">
        <f ca="1">BDS("64985H4H Muni","ESG_PROJECT_CATEGORY", "aggregate=y")</f>
        <v>#NAME?</v>
      </c>
      <c r="T1432" t="e">
        <f ca="1">BDS("64985H4H Muni","ESG_PROJECT_SUBCATEGORY", "aggregate=y")</f>
        <v>#NAME?</v>
      </c>
    </row>
    <row r="1433" spans="1:20" x14ac:dyDescent="0.25">
      <c r="A1433" t="e">
        <f ca="1">BDP("64985H4J Muni","ID_CUSIP")</f>
        <v>#NAME?</v>
      </c>
      <c r="B1433" t="e">
        <f ca="1">BDP("64985H4J Muni","STATE_CODE")</f>
        <v>#NAME?</v>
      </c>
      <c r="C1433" t="s">
        <v>90</v>
      </c>
      <c r="D1433" t="e">
        <f ca="1">BDP("64985H4J Muni","YIELD_ON_ISSUE_DATE")</f>
        <v>#NAME?</v>
      </c>
      <c r="E1433">
        <v>4080000</v>
      </c>
      <c r="F1433" t="e">
        <f ca="1">BDP("64985H4J Muni","ISSUE_DT")</f>
        <v>#NAME?</v>
      </c>
      <c r="G1433" t="e">
        <f ca="1">BDP("64985H4J Muni","MATURITY")</f>
        <v>#NAME?</v>
      </c>
      <c r="H1433" t="e">
        <f ca="1">BDP("64985H4J Muni","MUNI_TAX_PROV")</f>
        <v>#NAME?</v>
      </c>
      <c r="I1433" t="e">
        <f ca="1">BDP("64985H4J Muni","FINANCING_TYPE")</f>
        <v>#NAME?</v>
      </c>
      <c r="J1433" t="e">
        <f ca="1">BDP("64985H4J Muni","BICS_LEVEL_2_INDUSTRY_GROUP_NAME")</f>
        <v>#NAME?</v>
      </c>
      <c r="K1433" t="e">
        <f ca="1">BDP("64985H4J Muni","SELF_REPRTD_GREEN_INSTR_INDCTR")</f>
        <v>#NAME?</v>
      </c>
      <c r="L1433" t="e">
        <f ca="1">BDP("64985H4J Muni","GB_MANAGEMENT_PROCEEDS")</f>
        <v>#NAME?</v>
      </c>
      <c r="M1433" t="e">
        <f ca="1">BDP("64985H4J Muni","GB_REPORTING")</f>
        <v>#NAME?</v>
      </c>
      <c r="N1433" t="e">
        <f ca="1">BDP("64985H4J Muni","GB_ASSURANCE_PROVIDERS")</f>
        <v>#NAME?</v>
      </c>
      <c r="O1433" t="e">
        <f ca="1">BDP("64985H4J Muni","GB_PROJECT_SELECTION_PROCESS")</f>
        <v>#NAME?</v>
      </c>
      <c r="P1433" t="e">
        <f ca="1">BDP("64985H4J Muni","ESG_FRAMEWORK_INDICATOR")</f>
        <v>#NAME?</v>
      </c>
      <c r="Q1433" t="e">
        <f ca="1">BDP("64985H4J Muni","BLOOMBERG_SECTOR_CODE")</f>
        <v>#NAME?</v>
      </c>
      <c r="R1433" t="e">
        <f ca="1">BDP("64985H4J Muni","ISSUER_TYPE")</f>
        <v>#NAME?</v>
      </c>
      <c r="S1433" t="e">
        <f ca="1">BDS("64985H4J Muni","ESG_PROJECT_CATEGORY", "aggregate=y")</f>
        <v>#NAME?</v>
      </c>
      <c r="T1433" t="e">
        <f ca="1">BDS("64985H4J Muni","ESG_PROJECT_SUBCATEGORY", "aggregate=y")</f>
        <v>#NAME?</v>
      </c>
    </row>
    <row r="1434" spans="1:20" x14ac:dyDescent="0.25">
      <c r="A1434" t="e">
        <f ca="1">BDP("64985H4M Muni","ID_CUSIP")</f>
        <v>#NAME?</v>
      </c>
      <c r="B1434" t="e">
        <f ca="1">BDP("64985H4M Muni","STATE_CODE")</f>
        <v>#NAME?</v>
      </c>
      <c r="C1434" t="s">
        <v>90</v>
      </c>
      <c r="D1434" t="e">
        <f ca="1">BDP("64985H4M Muni","YIELD_ON_ISSUE_DATE")</f>
        <v>#NAME?</v>
      </c>
      <c r="E1434">
        <v>530000</v>
      </c>
      <c r="F1434" t="e">
        <f ca="1">BDP("64985H4M Muni","ISSUE_DT")</f>
        <v>#NAME?</v>
      </c>
      <c r="G1434" t="e">
        <f ca="1">BDP("64985H4M Muni","MATURITY")</f>
        <v>#NAME?</v>
      </c>
      <c r="H1434" t="e">
        <f ca="1">BDP("64985H4M Muni","MUNI_TAX_PROV")</f>
        <v>#NAME?</v>
      </c>
      <c r="I1434" t="e">
        <f ca="1">BDP("64985H4M Muni","FINANCING_TYPE")</f>
        <v>#NAME?</v>
      </c>
      <c r="J1434" t="e">
        <f ca="1">BDP("64985H4M Muni","BICS_LEVEL_2_INDUSTRY_GROUP_NAME")</f>
        <v>#NAME?</v>
      </c>
      <c r="K1434" t="e">
        <f ca="1">BDP("64985H4M Muni","SELF_REPRTD_GREEN_INSTR_INDCTR")</f>
        <v>#NAME?</v>
      </c>
      <c r="L1434" t="e">
        <f ca="1">BDP("64985H4M Muni","GB_MANAGEMENT_PROCEEDS")</f>
        <v>#NAME?</v>
      </c>
      <c r="M1434" t="e">
        <f ca="1">BDP("64985H4M Muni","GB_REPORTING")</f>
        <v>#NAME?</v>
      </c>
      <c r="N1434" t="e">
        <f ca="1">BDP("64985H4M Muni","GB_ASSURANCE_PROVIDERS")</f>
        <v>#NAME?</v>
      </c>
      <c r="O1434" t="e">
        <f ca="1">BDP("64985H4M Muni","GB_PROJECT_SELECTION_PROCESS")</f>
        <v>#NAME?</v>
      </c>
      <c r="P1434" t="e">
        <f ca="1">BDP("64985H4M Muni","ESG_FRAMEWORK_INDICATOR")</f>
        <v>#NAME?</v>
      </c>
      <c r="Q1434" t="e">
        <f ca="1">BDP("64985H4M Muni","BLOOMBERG_SECTOR_CODE")</f>
        <v>#NAME?</v>
      </c>
      <c r="R1434" t="e">
        <f ca="1">BDP("64985H4M Muni","ISSUER_TYPE")</f>
        <v>#NAME?</v>
      </c>
      <c r="S1434" t="e">
        <f ca="1">BDS("64985H4M Muni","ESG_PROJECT_CATEGORY", "aggregate=y")</f>
        <v>#NAME?</v>
      </c>
      <c r="T1434" t="e">
        <f ca="1">BDS("64985H4M Muni","ESG_PROJECT_SUBCATEGORY", "aggregate=y")</f>
        <v>#NAME?</v>
      </c>
    </row>
    <row r="1435" spans="1:20" x14ac:dyDescent="0.25">
      <c r="A1435" t="e">
        <f ca="1">BDP("64985H4N Muni","ID_CUSIP")</f>
        <v>#NAME?</v>
      </c>
      <c r="B1435" t="e">
        <f ca="1">BDP("64985H4N Muni","STATE_CODE")</f>
        <v>#NAME?</v>
      </c>
      <c r="C1435" t="s">
        <v>90</v>
      </c>
      <c r="D1435" t="e">
        <f ca="1">BDP("64985H4N Muni","YIELD_ON_ISSUE_DATE")</f>
        <v>#NAME?</v>
      </c>
      <c r="E1435">
        <v>630000</v>
      </c>
      <c r="F1435" t="e">
        <f ca="1">BDP("64985H4N Muni","ISSUE_DT")</f>
        <v>#NAME?</v>
      </c>
      <c r="G1435" t="e">
        <f ca="1">BDP("64985H4N Muni","MATURITY")</f>
        <v>#NAME?</v>
      </c>
      <c r="H1435" t="e">
        <f ca="1">BDP("64985H4N Muni","MUNI_TAX_PROV")</f>
        <v>#NAME?</v>
      </c>
      <c r="I1435" t="e">
        <f ca="1">BDP("64985H4N Muni","FINANCING_TYPE")</f>
        <v>#NAME?</v>
      </c>
      <c r="J1435" t="e">
        <f ca="1">BDP("64985H4N Muni","BICS_LEVEL_2_INDUSTRY_GROUP_NAME")</f>
        <v>#NAME?</v>
      </c>
      <c r="K1435" t="e">
        <f ca="1">BDP("64985H4N Muni","SELF_REPRTD_GREEN_INSTR_INDCTR")</f>
        <v>#NAME?</v>
      </c>
      <c r="L1435" t="e">
        <f ca="1">BDP("64985H4N Muni","GB_MANAGEMENT_PROCEEDS")</f>
        <v>#NAME?</v>
      </c>
      <c r="M1435" t="e">
        <f ca="1">BDP("64985H4N Muni","GB_REPORTING")</f>
        <v>#NAME?</v>
      </c>
      <c r="N1435" t="e">
        <f ca="1">BDP("64985H4N Muni","GB_ASSURANCE_PROVIDERS")</f>
        <v>#NAME?</v>
      </c>
      <c r="O1435" t="e">
        <f ca="1">BDP("64985H4N Muni","GB_PROJECT_SELECTION_PROCESS")</f>
        <v>#NAME?</v>
      </c>
      <c r="P1435" t="e">
        <f ca="1">BDP("64985H4N Muni","ESG_FRAMEWORK_INDICATOR")</f>
        <v>#NAME?</v>
      </c>
      <c r="Q1435" t="e">
        <f ca="1">BDP("64985H4N Muni","BLOOMBERG_SECTOR_CODE")</f>
        <v>#NAME?</v>
      </c>
      <c r="R1435" t="e">
        <f ca="1">BDP("64985H4N Muni","ISSUER_TYPE")</f>
        <v>#NAME?</v>
      </c>
      <c r="S1435" t="e">
        <f ca="1">BDS("64985H4N Muni","ESG_PROJECT_CATEGORY", "aggregate=y")</f>
        <v>#NAME?</v>
      </c>
      <c r="T1435" t="e">
        <f ca="1">BDS("64985H4N Muni","ESG_PROJECT_SUBCATEGORY", "aggregate=y")</f>
        <v>#NAME?</v>
      </c>
    </row>
    <row r="1436" spans="1:20" x14ac:dyDescent="0.25">
      <c r="A1436" t="e">
        <f ca="1">BDP("64985H4P Muni","ID_CUSIP")</f>
        <v>#NAME?</v>
      </c>
      <c r="B1436" t="e">
        <f ca="1">BDP("64985H4P Muni","STATE_CODE")</f>
        <v>#NAME?</v>
      </c>
      <c r="C1436" t="s">
        <v>90</v>
      </c>
      <c r="D1436" t="e">
        <f ca="1">BDP("64985H4P Muni","YIELD_ON_ISSUE_DATE")</f>
        <v>#NAME?</v>
      </c>
      <c r="E1436">
        <v>675000</v>
      </c>
      <c r="F1436" t="e">
        <f ca="1">BDP("64985H4P Muni","ISSUE_DT")</f>
        <v>#NAME?</v>
      </c>
      <c r="G1436" t="e">
        <f ca="1">BDP("64985H4P Muni","MATURITY")</f>
        <v>#NAME?</v>
      </c>
      <c r="H1436" t="e">
        <f ca="1">BDP("64985H4P Muni","MUNI_TAX_PROV")</f>
        <v>#NAME?</v>
      </c>
      <c r="I1436" t="e">
        <f ca="1">BDP("64985H4P Muni","FINANCING_TYPE")</f>
        <v>#NAME?</v>
      </c>
      <c r="J1436" t="e">
        <f ca="1">BDP("64985H4P Muni","BICS_LEVEL_2_INDUSTRY_GROUP_NAME")</f>
        <v>#NAME?</v>
      </c>
      <c r="K1436" t="e">
        <f ca="1">BDP("64985H4P Muni","SELF_REPRTD_GREEN_INSTR_INDCTR")</f>
        <v>#NAME?</v>
      </c>
      <c r="L1436" t="e">
        <f ca="1">BDP("64985H4P Muni","GB_MANAGEMENT_PROCEEDS")</f>
        <v>#NAME?</v>
      </c>
      <c r="M1436" t="e">
        <f ca="1">BDP("64985H4P Muni","GB_REPORTING")</f>
        <v>#NAME?</v>
      </c>
      <c r="N1436" t="e">
        <f ca="1">BDP("64985H4P Muni","GB_ASSURANCE_PROVIDERS")</f>
        <v>#NAME?</v>
      </c>
      <c r="O1436" t="e">
        <f ca="1">BDP("64985H4P Muni","GB_PROJECT_SELECTION_PROCESS")</f>
        <v>#NAME?</v>
      </c>
      <c r="P1436" t="e">
        <f ca="1">BDP("64985H4P Muni","ESG_FRAMEWORK_INDICATOR")</f>
        <v>#NAME?</v>
      </c>
      <c r="Q1436" t="e">
        <f ca="1">BDP("64985H4P Muni","BLOOMBERG_SECTOR_CODE")</f>
        <v>#NAME?</v>
      </c>
      <c r="R1436" t="e">
        <f ca="1">BDP("64985H4P Muni","ISSUER_TYPE")</f>
        <v>#NAME?</v>
      </c>
      <c r="S1436" t="e">
        <f ca="1">BDS("64985H4P Muni","ESG_PROJECT_CATEGORY", "aggregate=y")</f>
        <v>#NAME?</v>
      </c>
      <c r="T1436" t="e">
        <f ca="1">BDS("64985H4P Muni","ESG_PROJECT_SUBCATEGORY", "aggregate=y")</f>
        <v>#NAME?</v>
      </c>
    </row>
    <row r="1437" spans="1:20" x14ac:dyDescent="0.25">
      <c r="A1437" t="e">
        <f ca="1">BDP("64985H4Q Muni","ID_CUSIP")</f>
        <v>#NAME?</v>
      </c>
      <c r="B1437" t="e">
        <f ca="1">BDP("64985H4Q Muni","STATE_CODE")</f>
        <v>#NAME?</v>
      </c>
      <c r="C1437" t="s">
        <v>90</v>
      </c>
      <c r="D1437" t="e">
        <f ca="1">BDP("64985H4Q Muni","YIELD_ON_ISSUE_DATE")</f>
        <v>#NAME?</v>
      </c>
      <c r="E1437">
        <v>690000</v>
      </c>
      <c r="F1437" t="e">
        <f ca="1">BDP("64985H4Q Muni","ISSUE_DT")</f>
        <v>#NAME?</v>
      </c>
      <c r="G1437" t="e">
        <f ca="1">BDP("64985H4Q Muni","MATURITY")</f>
        <v>#NAME?</v>
      </c>
      <c r="H1437" t="e">
        <f ca="1">BDP("64985H4Q Muni","MUNI_TAX_PROV")</f>
        <v>#NAME?</v>
      </c>
      <c r="I1437" t="e">
        <f ca="1">BDP("64985H4Q Muni","FINANCING_TYPE")</f>
        <v>#NAME?</v>
      </c>
      <c r="J1437" t="e">
        <f ca="1">BDP("64985H4Q Muni","BICS_LEVEL_2_INDUSTRY_GROUP_NAME")</f>
        <v>#NAME?</v>
      </c>
      <c r="K1437" t="e">
        <f ca="1">BDP("64985H4Q Muni","SELF_REPRTD_GREEN_INSTR_INDCTR")</f>
        <v>#NAME?</v>
      </c>
      <c r="L1437" t="e">
        <f ca="1">BDP("64985H4Q Muni","GB_MANAGEMENT_PROCEEDS")</f>
        <v>#NAME?</v>
      </c>
      <c r="M1437" t="e">
        <f ca="1">BDP("64985H4Q Muni","GB_REPORTING")</f>
        <v>#NAME?</v>
      </c>
      <c r="N1437" t="e">
        <f ca="1">BDP("64985H4Q Muni","GB_ASSURANCE_PROVIDERS")</f>
        <v>#NAME?</v>
      </c>
      <c r="O1437" t="e">
        <f ca="1">BDP("64985H4Q Muni","GB_PROJECT_SELECTION_PROCESS")</f>
        <v>#NAME?</v>
      </c>
      <c r="P1437" t="e">
        <f ca="1">BDP("64985H4Q Muni","ESG_FRAMEWORK_INDICATOR")</f>
        <v>#NAME?</v>
      </c>
      <c r="Q1437" t="e">
        <f ca="1">BDP("64985H4Q Muni","BLOOMBERG_SECTOR_CODE")</f>
        <v>#NAME?</v>
      </c>
      <c r="R1437" t="e">
        <f ca="1">BDP("64985H4Q Muni","ISSUER_TYPE")</f>
        <v>#NAME?</v>
      </c>
      <c r="S1437" t="e">
        <f ca="1">BDS("64985H4Q Muni","ESG_PROJECT_CATEGORY", "aggregate=y")</f>
        <v>#NAME?</v>
      </c>
      <c r="T1437" t="e">
        <f ca="1">BDS("64985H4Q Muni","ESG_PROJECT_SUBCATEGORY", "aggregate=y")</f>
        <v>#NAME?</v>
      </c>
    </row>
    <row r="1438" spans="1:20" x14ac:dyDescent="0.25">
      <c r="A1438" t="e">
        <f ca="1">BDP("64985H4R Muni","ID_CUSIP")</f>
        <v>#NAME?</v>
      </c>
      <c r="B1438" t="e">
        <f ca="1">BDP("64985H4R Muni","STATE_CODE")</f>
        <v>#NAME?</v>
      </c>
      <c r="C1438" t="s">
        <v>90</v>
      </c>
      <c r="D1438" t="e">
        <f ca="1">BDP("64985H4R Muni","YIELD_ON_ISSUE_DATE")</f>
        <v>#NAME?</v>
      </c>
      <c r="E1438">
        <v>720000</v>
      </c>
      <c r="F1438" t="e">
        <f ca="1">BDP("64985H4R Muni","ISSUE_DT")</f>
        <v>#NAME?</v>
      </c>
      <c r="G1438" t="e">
        <f ca="1">BDP("64985H4R Muni","MATURITY")</f>
        <v>#NAME?</v>
      </c>
      <c r="H1438" t="e">
        <f ca="1">BDP("64985H4R Muni","MUNI_TAX_PROV")</f>
        <v>#NAME?</v>
      </c>
      <c r="I1438" t="e">
        <f ca="1">BDP("64985H4R Muni","FINANCING_TYPE")</f>
        <v>#NAME?</v>
      </c>
      <c r="J1438" t="e">
        <f ca="1">BDP("64985H4R Muni","BICS_LEVEL_2_INDUSTRY_GROUP_NAME")</f>
        <v>#NAME?</v>
      </c>
      <c r="K1438" t="e">
        <f ca="1">BDP("64985H4R Muni","SELF_REPRTD_GREEN_INSTR_INDCTR")</f>
        <v>#NAME?</v>
      </c>
      <c r="L1438" t="e">
        <f ca="1">BDP("64985H4R Muni","GB_MANAGEMENT_PROCEEDS")</f>
        <v>#NAME?</v>
      </c>
      <c r="M1438" t="e">
        <f ca="1">BDP("64985H4R Muni","GB_REPORTING")</f>
        <v>#NAME?</v>
      </c>
      <c r="N1438" t="e">
        <f ca="1">BDP("64985H4R Muni","GB_ASSURANCE_PROVIDERS")</f>
        <v>#NAME?</v>
      </c>
      <c r="O1438" t="e">
        <f ca="1">BDP("64985H4R Muni","GB_PROJECT_SELECTION_PROCESS")</f>
        <v>#NAME?</v>
      </c>
      <c r="P1438" t="e">
        <f ca="1">BDP("64985H4R Muni","ESG_FRAMEWORK_INDICATOR")</f>
        <v>#NAME?</v>
      </c>
      <c r="Q1438" t="e">
        <f ca="1">BDP("64985H4R Muni","BLOOMBERG_SECTOR_CODE")</f>
        <v>#NAME?</v>
      </c>
      <c r="R1438" t="e">
        <f ca="1">BDP("64985H4R Muni","ISSUER_TYPE")</f>
        <v>#NAME?</v>
      </c>
      <c r="S1438" t="e">
        <f ca="1">BDS("64985H4R Muni","ESG_PROJECT_CATEGORY", "aggregate=y")</f>
        <v>#NAME?</v>
      </c>
      <c r="T1438" t="e">
        <f ca="1">BDS("64985H4R Muni","ESG_PROJECT_SUBCATEGORY", "aggregate=y")</f>
        <v>#NAME?</v>
      </c>
    </row>
    <row r="1439" spans="1:20" x14ac:dyDescent="0.25">
      <c r="A1439" t="e">
        <f ca="1">BDP("64985H4S Muni","ID_CUSIP")</f>
        <v>#NAME?</v>
      </c>
      <c r="B1439" t="e">
        <f ca="1">BDP("64985H4S Muni","STATE_CODE")</f>
        <v>#NAME?</v>
      </c>
      <c r="C1439" t="s">
        <v>90</v>
      </c>
      <c r="D1439" t="e">
        <f ca="1">BDP("64985H4S Muni","YIELD_ON_ISSUE_DATE")</f>
        <v>#NAME?</v>
      </c>
      <c r="E1439">
        <v>755000</v>
      </c>
      <c r="F1439" t="e">
        <f ca="1">BDP("64985H4S Muni","ISSUE_DT")</f>
        <v>#NAME?</v>
      </c>
      <c r="G1439" t="e">
        <f ca="1">BDP("64985H4S Muni","MATURITY")</f>
        <v>#NAME?</v>
      </c>
      <c r="H1439" t="e">
        <f ca="1">BDP("64985H4S Muni","MUNI_TAX_PROV")</f>
        <v>#NAME?</v>
      </c>
      <c r="I1439" t="e">
        <f ca="1">BDP("64985H4S Muni","FINANCING_TYPE")</f>
        <v>#NAME?</v>
      </c>
      <c r="J1439" t="e">
        <f ca="1">BDP("64985H4S Muni","BICS_LEVEL_2_INDUSTRY_GROUP_NAME")</f>
        <v>#NAME?</v>
      </c>
      <c r="K1439" t="e">
        <f ca="1">BDP("64985H4S Muni","SELF_REPRTD_GREEN_INSTR_INDCTR")</f>
        <v>#NAME?</v>
      </c>
      <c r="L1439" t="e">
        <f ca="1">BDP("64985H4S Muni","GB_MANAGEMENT_PROCEEDS")</f>
        <v>#NAME?</v>
      </c>
      <c r="M1439" t="e">
        <f ca="1">BDP("64985H4S Muni","GB_REPORTING")</f>
        <v>#NAME?</v>
      </c>
      <c r="N1439" t="e">
        <f ca="1">BDP("64985H4S Muni","GB_ASSURANCE_PROVIDERS")</f>
        <v>#NAME?</v>
      </c>
      <c r="O1439" t="e">
        <f ca="1">BDP("64985H4S Muni","GB_PROJECT_SELECTION_PROCESS")</f>
        <v>#NAME?</v>
      </c>
      <c r="P1439" t="e">
        <f ca="1">BDP("64985H4S Muni","ESG_FRAMEWORK_INDICATOR")</f>
        <v>#NAME?</v>
      </c>
      <c r="Q1439" t="e">
        <f ca="1">BDP("64985H4S Muni","BLOOMBERG_SECTOR_CODE")</f>
        <v>#NAME?</v>
      </c>
      <c r="R1439" t="e">
        <f ca="1">BDP("64985H4S Muni","ISSUER_TYPE")</f>
        <v>#NAME?</v>
      </c>
      <c r="S1439" t="e">
        <f ca="1">BDS("64985H4S Muni","ESG_PROJECT_CATEGORY", "aggregate=y")</f>
        <v>#NAME?</v>
      </c>
      <c r="T1439" t="e">
        <f ca="1">BDS("64985H4S Muni","ESG_PROJECT_SUBCATEGORY", "aggregate=y")</f>
        <v>#NAME?</v>
      </c>
    </row>
    <row r="1440" spans="1:20" x14ac:dyDescent="0.25">
      <c r="A1440" t="e">
        <f ca="1">BDP("64985H4T Muni","ID_CUSIP")</f>
        <v>#NAME?</v>
      </c>
      <c r="B1440" t="e">
        <f ca="1">BDP("64985H4T Muni","STATE_CODE")</f>
        <v>#NAME?</v>
      </c>
      <c r="C1440" t="s">
        <v>90</v>
      </c>
      <c r="D1440" t="e">
        <f ca="1">BDP("64985H4T Muni","YIELD_ON_ISSUE_DATE")</f>
        <v>#NAME?</v>
      </c>
      <c r="E1440">
        <v>790000</v>
      </c>
      <c r="F1440" t="e">
        <f ca="1">BDP("64985H4T Muni","ISSUE_DT")</f>
        <v>#NAME?</v>
      </c>
      <c r="G1440" t="e">
        <f ca="1">BDP("64985H4T Muni","MATURITY")</f>
        <v>#NAME?</v>
      </c>
      <c r="H1440" t="e">
        <f ca="1">BDP("64985H4T Muni","MUNI_TAX_PROV")</f>
        <v>#NAME?</v>
      </c>
      <c r="I1440" t="e">
        <f ca="1">BDP("64985H4T Muni","FINANCING_TYPE")</f>
        <v>#NAME?</v>
      </c>
      <c r="J1440" t="e">
        <f ca="1">BDP("64985H4T Muni","BICS_LEVEL_2_INDUSTRY_GROUP_NAME")</f>
        <v>#NAME?</v>
      </c>
      <c r="K1440" t="e">
        <f ca="1">BDP("64985H4T Muni","SELF_REPRTD_GREEN_INSTR_INDCTR")</f>
        <v>#NAME?</v>
      </c>
      <c r="L1440" t="e">
        <f ca="1">BDP("64985H4T Muni","GB_MANAGEMENT_PROCEEDS")</f>
        <v>#NAME?</v>
      </c>
      <c r="M1440" t="e">
        <f ca="1">BDP("64985H4T Muni","GB_REPORTING")</f>
        <v>#NAME?</v>
      </c>
      <c r="N1440" t="e">
        <f ca="1">BDP("64985H4T Muni","GB_ASSURANCE_PROVIDERS")</f>
        <v>#NAME?</v>
      </c>
      <c r="O1440" t="e">
        <f ca="1">BDP("64985H4T Muni","GB_PROJECT_SELECTION_PROCESS")</f>
        <v>#NAME?</v>
      </c>
      <c r="P1440" t="e">
        <f ca="1">BDP("64985H4T Muni","ESG_FRAMEWORK_INDICATOR")</f>
        <v>#NAME?</v>
      </c>
      <c r="Q1440" t="e">
        <f ca="1">BDP("64985H4T Muni","BLOOMBERG_SECTOR_CODE")</f>
        <v>#NAME?</v>
      </c>
      <c r="R1440" t="e">
        <f ca="1">BDP("64985H4T Muni","ISSUER_TYPE")</f>
        <v>#NAME?</v>
      </c>
      <c r="S1440" t="e">
        <f ca="1">BDS("64985H4T Muni","ESG_PROJECT_CATEGORY", "aggregate=y")</f>
        <v>#NAME?</v>
      </c>
      <c r="T1440" t="e">
        <f ca="1">BDS("64985H4T Muni","ESG_PROJECT_SUBCATEGORY", "aggregate=y")</f>
        <v>#NAME?</v>
      </c>
    </row>
    <row r="1441" spans="1:20" x14ac:dyDescent="0.25">
      <c r="A1441" t="e">
        <f ca="1">BDP("64985H4U Muni","ID_CUSIP")</f>
        <v>#NAME?</v>
      </c>
      <c r="B1441" t="e">
        <f ca="1">BDP("64985H4U Muni","STATE_CODE")</f>
        <v>#NAME?</v>
      </c>
      <c r="C1441" t="s">
        <v>90</v>
      </c>
      <c r="D1441" t="e">
        <f ca="1">BDP("64985H4U Muni","YIELD_ON_ISSUE_DATE")</f>
        <v>#NAME?</v>
      </c>
      <c r="E1441">
        <v>825000</v>
      </c>
      <c r="F1441" t="e">
        <f ca="1">BDP("64985H4U Muni","ISSUE_DT")</f>
        <v>#NAME?</v>
      </c>
      <c r="G1441" t="e">
        <f ca="1">BDP("64985H4U Muni","MATURITY")</f>
        <v>#NAME?</v>
      </c>
      <c r="H1441" t="e">
        <f ca="1">BDP("64985H4U Muni","MUNI_TAX_PROV")</f>
        <v>#NAME?</v>
      </c>
      <c r="I1441" t="e">
        <f ca="1">BDP("64985H4U Muni","FINANCING_TYPE")</f>
        <v>#NAME?</v>
      </c>
      <c r="J1441" t="e">
        <f ca="1">BDP("64985H4U Muni","BICS_LEVEL_2_INDUSTRY_GROUP_NAME")</f>
        <v>#NAME?</v>
      </c>
      <c r="K1441" t="e">
        <f ca="1">BDP("64985H4U Muni","SELF_REPRTD_GREEN_INSTR_INDCTR")</f>
        <v>#NAME?</v>
      </c>
      <c r="L1441" t="e">
        <f ca="1">BDP("64985H4U Muni","GB_MANAGEMENT_PROCEEDS")</f>
        <v>#NAME?</v>
      </c>
      <c r="M1441" t="e">
        <f ca="1">BDP("64985H4U Muni","GB_REPORTING")</f>
        <v>#NAME?</v>
      </c>
      <c r="N1441" t="e">
        <f ca="1">BDP("64985H4U Muni","GB_ASSURANCE_PROVIDERS")</f>
        <v>#NAME?</v>
      </c>
      <c r="O1441" t="e">
        <f ca="1">BDP("64985H4U Muni","GB_PROJECT_SELECTION_PROCESS")</f>
        <v>#NAME?</v>
      </c>
      <c r="P1441" t="e">
        <f ca="1">BDP("64985H4U Muni","ESG_FRAMEWORK_INDICATOR")</f>
        <v>#NAME?</v>
      </c>
      <c r="Q1441" t="e">
        <f ca="1">BDP("64985H4U Muni","BLOOMBERG_SECTOR_CODE")</f>
        <v>#NAME?</v>
      </c>
      <c r="R1441" t="e">
        <f ca="1">BDP("64985H4U Muni","ISSUER_TYPE")</f>
        <v>#NAME?</v>
      </c>
      <c r="S1441" t="e">
        <f ca="1">BDS("64985H4U Muni","ESG_PROJECT_CATEGORY", "aggregate=y")</f>
        <v>#NAME?</v>
      </c>
      <c r="T1441" t="e">
        <f ca="1">BDS("64985H4U Muni","ESG_PROJECT_SUBCATEGORY", "aggregate=y")</f>
        <v>#NAME?</v>
      </c>
    </row>
    <row r="1442" spans="1:20" x14ac:dyDescent="0.25">
      <c r="A1442" t="e">
        <f ca="1">BDP("64985H4V Muni","ID_CUSIP")</f>
        <v>#NAME?</v>
      </c>
      <c r="B1442" t="e">
        <f ca="1">BDP("64985H4V Muni","STATE_CODE")</f>
        <v>#NAME?</v>
      </c>
      <c r="C1442" t="s">
        <v>90</v>
      </c>
      <c r="D1442" t="e">
        <f ca="1">BDP("64985H4V Muni","YIELD_ON_ISSUE_DATE")</f>
        <v>#NAME?</v>
      </c>
      <c r="E1442">
        <v>865000</v>
      </c>
      <c r="F1442" t="e">
        <f ca="1">BDP("64985H4V Muni","ISSUE_DT")</f>
        <v>#NAME?</v>
      </c>
      <c r="G1442" t="e">
        <f ca="1">BDP("64985H4V Muni","MATURITY")</f>
        <v>#NAME?</v>
      </c>
      <c r="H1442" t="e">
        <f ca="1">BDP("64985H4V Muni","MUNI_TAX_PROV")</f>
        <v>#NAME?</v>
      </c>
      <c r="I1442" t="e">
        <f ca="1">BDP("64985H4V Muni","FINANCING_TYPE")</f>
        <v>#NAME?</v>
      </c>
      <c r="J1442" t="e">
        <f ca="1">BDP("64985H4V Muni","BICS_LEVEL_2_INDUSTRY_GROUP_NAME")</f>
        <v>#NAME?</v>
      </c>
      <c r="K1442" t="e">
        <f ca="1">BDP("64985H4V Muni","SELF_REPRTD_GREEN_INSTR_INDCTR")</f>
        <v>#NAME?</v>
      </c>
      <c r="L1442" t="e">
        <f ca="1">BDP("64985H4V Muni","GB_MANAGEMENT_PROCEEDS")</f>
        <v>#NAME?</v>
      </c>
      <c r="M1442" t="e">
        <f ca="1">BDP("64985H4V Muni","GB_REPORTING")</f>
        <v>#NAME?</v>
      </c>
      <c r="N1442" t="e">
        <f ca="1">BDP("64985H4V Muni","GB_ASSURANCE_PROVIDERS")</f>
        <v>#NAME?</v>
      </c>
      <c r="O1442" t="e">
        <f ca="1">BDP("64985H4V Muni","GB_PROJECT_SELECTION_PROCESS")</f>
        <v>#NAME?</v>
      </c>
      <c r="P1442" t="e">
        <f ca="1">BDP("64985H4V Muni","ESG_FRAMEWORK_INDICATOR")</f>
        <v>#NAME?</v>
      </c>
      <c r="Q1442" t="e">
        <f ca="1">BDP("64985H4V Muni","BLOOMBERG_SECTOR_CODE")</f>
        <v>#NAME?</v>
      </c>
      <c r="R1442" t="e">
        <f ca="1">BDP("64985H4V Muni","ISSUER_TYPE")</f>
        <v>#NAME?</v>
      </c>
      <c r="S1442" t="e">
        <f ca="1">BDS("64985H4V Muni","ESG_PROJECT_CATEGORY", "aggregate=y")</f>
        <v>#NAME?</v>
      </c>
      <c r="T1442" t="e">
        <f ca="1">BDS("64985H4V Muni","ESG_PROJECT_SUBCATEGORY", "aggregate=y")</f>
        <v>#NAME?</v>
      </c>
    </row>
    <row r="1443" spans="1:20" x14ac:dyDescent="0.25">
      <c r="A1443" t="e">
        <f ca="1">BDP("64985H4W Muni","ID_CUSIP")</f>
        <v>#NAME?</v>
      </c>
      <c r="B1443" t="e">
        <f ca="1">BDP("64985H4W Muni","STATE_CODE")</f>
        <v>#NAME?</v>
      </c>
      <c r="C1443" t="s">
        <v>90</v>
      </c>
      <c r="D1443" t="e">
        <f ca="1">BDP("64985H4W Muni","YIELD_ON_ISSUE_DATE")</f>
        <v>#NAME?</v>
      </c>
      <c r="E1443">
        <v>910000</v>
      </c>
      <c r="F1443" t="e">
        <f ca="1">BDP("64985H4W Muni","ISSUE_DT")</f>
        <v>#NAME?</v>
      </c>
      <c r="G1443" t="e">
        <f ca="1">BDP("64985H4W Muni","MATURITY")</f>
        <v>#NAME?</v>
      </c>
      <c r="H1443" t="e">
        <f ca="1">BDP("64985H4W Muni","MUNI_TAX_PROV")</f>
        <v>#NAME?</v>
      </c>
      <c r="I1443" t="e">
        <f ca="1">BDP("64985H4W Muni","FINANCING_TYPE")</f>
        <v>#NAME?</v>
      </c>
      <c r="J1443" t="e">
        <f ca="1">BDP("64985H4W Muni","BICS_LEVEL_2_INDUSTRY_GROUP_NAME")</f>
        <v>#NAME?</v>
      </c>
      <c r="K1443" t="e">
        <f ca="1">BDP("64985H4W Muni","SELF_REPRTD_GREEN_INSTR_INDCTR")</f>
        <v>#NAME?</v>
      </c>
      <c r="L1443" t="e">
        <f ca="1">BDP("64985H4W Muni","GB_MANAGEMENT_PROCEEDS")</f>
        <v>#NAME?</v>
      </c>
      <c r="M1443" t="e">
        <f ca="1">BDP("64985H4W Muni","GB_REPORTING")</f>
        <v>#NAME?</v>
      </c>
      <c r="N1443" t="e">
        <f ca="1">BDP("64985H4W Muni","GB_ASSURANCE_PROVIDERS")</f>
        <v>#NAME?</v>
      </c>
      <c r="O1443" t="e">
        <f ca="1">BDP("64985H4W Muni","GB_PROJECT_SELECTION_PROCESS")</f>
        <v>#NAME?</v>
      </c>
      <c r="P1443" t="e">
        <f ca="1">BDP("64985H4W Muni","ESG_FRAMEWORK_INDICATOR")</f>
        <v>#NAME?</v>
      </c>
      <c r="Q1443" t="e">
        <f ca="1">BDP("64985H4W Muni","BLOOMBERG_SECTOR_CODE")</f>
        <v>#NAME?</v>
      </c>
      <c r="R1443" t="e">
        <f ca="1">BDP("64985H4W Muni","ISSUER_TYPE")</f>
        <v>#NAME?</v>
      </c>
      <c r="S1443" t="e">
        <f ca="1">BDS("64985H4W Muni","ESG_PROJECT_CATEGORY", "aggregate=y")</f>
        <v>#NAME?</v>
      </c>
      <c r="T1443" t="e">
        <f ca="1">BDS("64985H4W Muni","ESG_PROJECT_SUBCATEGORY", "aggregate=y")</f>
        <v>#NAME?</v>
      </c>
    </row>
    <row r="1444" spans="1:20" x14ac:dyDescent="0.25">
      <c r="A1444" t="e">
        <f ca="1">BDP("64985VBE Muni","ID_CUSIP")</f>
        <v>#NAME?</v>
      </c>
      <c r="B1444" t="e">
        <f ca="1">BDP("64985VBE Muni","STATE_CODE")</f>
        <v>#NAME?</v>
      </c>
      <c r="C1444" t="s">
        <v>91</v>
      </c>
      <c r="D1444" t="e">
        <f ca="1">BDP("64985VBE Muni","YIELD_ON_ISSUE_DATE")</f>
        <v>#NAME?</v>
      </c>
      <c r="E1444">
        <v>6500000</v>
      </c>
      <c r="F1444" t="e">
        <f ca="1">BDP("64985VBE Muni","ISSUE_DT")</f>
        <v>#NAME?</v>
      </c>
      <c r="G1444" t="e">
        <f ca="1">BDP("64985VBE Muni","MATURITY")</f>
        <v>#NAME?</v>
      </c>
      <c r="H1444" t="e">
        <f ca="1">BDP("64985VBE Muni","MUNI_TAX_PROV")</f>
        <v>#NAME?</v>
      </c>
      <c r="I1444" t="e">
        <f ca="1">BDP("64985VBE Muni","FINANCING_TYPE")</f>
        <v>#NAME?</v>
      </c>
      <c r="J1444" t="e">
        <f ca="1">BDP("64985VBE Muni","BICS_LEVEL_2_INDUSTRY_GROUP_NAME")</f>
        <v>#NAME?</v>
      </c>
      <c r="K1444" t="e">
        <f ca="1">BDP("64985VBE Muni","SELF_REPRTD_GREEN_INSTR_INDCTR")</f>
        <v>#NAME?</v>
      </c>
      <c r="L1444" t="e">
        <f ca="1">BDP("64985VBE Muni","GB_MANAGEMENT_PROCEEDS")</f>
        <v>#NAME?</v>
      </c>
      <c r="M1444" t="e">
        <f ca="1">BDP("64985VBE Muni","GB_REPORTING")</f>
        <v>#NAME?</v>
      </c>
      <c r="N1444" t="e">
        <f ca="1">BDP("64985VBE Muni","GB_ASSURANCE_PROVIDERS")</f>
        <v>#NAME?</v>
      </c>
      <c r="O1444" t="e">
        <f ca="1">BDP("64985VBE Muni","GB_PROJECT_SELECTION_PROCESS")</f>
        <v>#NAME?</v>
      </c>
      <c r="P1444" t="e">
        <f ca="1">BDP("64985VBE Muni","ESG_FRAMEWORK_INDICATOR")</f>
        <v>#NAME?</v>
      </c>
      <c r="Q1444" t="e">
        <f ca="1">BDP("64985VBE Muni","BLOOMBERG_SECTOR_CODE")</f>
        <v>#NAME?</v>
      </c>
      <c r="R1444" t="e">
        <f ca="1">BDP("64985VBE Muni","ISSUER_TYPE")</f>
        <v>#NAME?</v>
      </c>
      <c r="S1444" t="e">
        <f ca="1">BDS("64985VBE Muni","ESG_PROJECT_CATEGORY", "aggregate=y")</f>
        <v>#NAME?</v>
      </c>
      <c r="T1444" t="e">
        <f ca="1">BDS("64985VBE Muni","ESG_PROJECT_SUBCATEGORY", "aggregate=y")</f>
        <v>#NAME?</v>
      </c>
    </row>
    <row r="1445" spans="1:20" x14ac:dyDescent="0.25">
      <c r="A1445" t="e">
        <f ca="1">BDP("64985VBF Muni","ID_CUSIP")</f>
        <v>#NAME?</v>
      </c>
      <c r="B1445" t="e">
        <f ca="1">BDP("64985VBF Muni","STATE_CODE")</f>
        <v>#NAME?</v>
      </c>
      <c r="C1445" t="s">
        <v>91</v>
      </c>
      <c r="D1445" t="e">
        <f ca="1">BDP("64985VBF Muni","YIELD_ON_ISSUE_DATE")</f>
        <v>#NAME?</v>
      </c>
      <c r="E1445">
        <v>8000000</v>
      </c>
      <c r="F1445" t="e">
        <f ca="1">BDP("64985VBF Muni","ISSUE_DT")</f>
        <v>#NAME?</v>
      </c>
      <c r="G1445" t="e">
        <f ca="1">BDP("64985VBF Muni","MATURITY")</f>
        <v>#NAME?</v>
      </c>
      <c r="H1445" t="e">
        <f ca="1">BDP("64985VBF Muni","MUNI_TAX_PROV")</f>
        <v>#NAME?</v>
      </c>
      <c r="I1445" t="e">
        <f ca="1">BDP("64985VBF Muni","FINANCING_TYPE")</f>
        <v>#NAME?</v>
      </c>
      <c r="J1445" t="e">
        <f ca="1">BDP("64985VBF Muni","BICS_LEVEL_2_INDUSTRY_GROUP_NAME")</f>
        <v>#NAME?</v>
      </c>
      <c r="K1445" t="e">
        <f ca="1">BDP("64985VBF Muni","SELF_REPRTD_GREEN_INSTR_INDCTR")</f>
        <v>#NAME?</v>
      </c>
      <c r="L1445" t="e">
        <f ca="1">BDP("64985VBF Muni","GB_MANAGEMENT_PROCEEDS")</f>
        <v>#NAME?</v>
      </c>
      <c r="M1445" t="e">
        <f ca="1">BDP("64985VBF Muni","GB_REPORTING")</f>
        <v>#NAME?</v>
      </c>
      <c r="N1445" t="e">
        <f ca="1">BDP("64985VBF Muni","GB_ASSURANCE_PROVIDERS")</f>
        <v>#NAME?</v>
      </c>
      <c r="O1445" t="e">
        <f ca="1">BDP("64985VBF Muni","GB_PROJECT_SELECTION_PROCESS")</f>
        <v>#NAME?</v>
      </c>
      <c r="P1445" t="e">
        <f ca="1">BDP("64985VBF Muni","ESG_FRAMEWORK_INDICATOR")</f>
        <v>#NAME?</v>
      </c>
      <c r="Q1445" t="e">
        <f ca="1">BDP("64985VBF Muni","BLOOMBERG_SECTOR_CODE")</f>
        <v>#NAME?</v>
      </c>
      <c r="R1445" t="e">
        <f ca="1">BDP("64985VBF Muni","ISSUER_TYPE")</f>
        <v>#NAME?</v>
      </c>
      <c r="S1445" t="e">
        <f ca="1">BDS("64985VBF Muni","ESG_PROJECT_CATEGORY", "aggregate=y")</f>
        <v>#NAME?</v>
      </c>
      <c r="T1445" t="e">
        <f ca="1">BDS("64985VBF Muni","ESG_PROJECT_SUBCATEGORY", "aggregate=y")</f>
        <v>#NAME?</v>
      </c>
    </row>
    <row r="1446" spans="1:20" x14ac:dyDescent="0.25">
      <c r="A1446" t="e">
        <f ca="1">BDP("64985VBG Muni","ID_CUSIP")</f>
        <v>#NAME?</v>
      </c>
      <c r="B1446" t="e">
        <f ca="1">BDP("64985VBG Muni","STATE_CODE")</f>
        <v>#NAME?</v>
      </c>
      <c r="C1446" t="s">
        <v>91</v>
      </c>
      <c r="D1446" t="e">
        <f ca="1">BDP("64985VBG Muni","YIELD_ON_ISSUE_DATE")</f>
        <v>#NAME?</v>
      </c>
      <c r="E1446">
        <v>7000000</v>
      </c>
      <c r="F1446" t="e">
        <f ca="1">BDP("64985VBG Muni","ISSUE_DT")</f>
        <v>#NAME?</v>
      </c>
      <c r="G1446" t="e">
        <f ca="1">BDP("64985VBG Muni","MATURITY")</f>
        <v>#NAME?</v>
      </c>
      <c r="H1446" t="e">
        <f ca="1">BDP("64985VBG Muni","MUNI_TAX_PROV")</f>
        <v>#NAME?</v>
      </c>
      <c r="I1446" t="e">
        <f ca="1">BDP("64985VBG Muni","FINANCING_TYPE")</f>
        <v>#NAME?</v>
      </c>
      <c r="J1446" t="e">
        <f ca="1">BDP("64985VBG Muni","BICS_LEVEL_2_INDUSTRY_GROUP_NAME")</f>
        <v>#NAME?</v>
      </c>
      <c r="K1446" t="e">
        <f ca="1">BDP("64985VBG Muni","SELF_REPRTD_GREEN_INSTR_INDCTR")</f>
        <v>#NAME?</v>
      </c>
      <c r="L1446" t="e">
        <f ca="1">BDP("64985VBG Muni","GB_MANAGEMENT_PROCEEDS")</f>
        <v>#NAME?</v>
      </c>
      <c r="M1446" t="e">
        <f ca="1">BDP("64985VBG Muni","GB_REPORTING")</f>
        <v>#NAME?</v>
      </c>
      <c r="N1446" t="e">
        <f ca="1">BDP("64985VBG Muni","GB_ASSURANCE_PROVIDERS")</f>
        <v>#NAME?</v>
      </c>
      <c r="O1446" t="e">
        <f ca="1">BDP("64985VBG Muni","GB_PROJECT_SELECTION_PROCESS")</f>
        <v>#NAME?</v>
      </c>
      <c r="P1446" t="e">
        <f ca="1">BDP("64985VBG Muni","ESG_FRAMEWORK_INDICATOR")</f>
        <v>#NAME?</v>
      </c>
      <c r="Q1446" t="e">
        <f ca="1">BDP("64985VBG Muni","BLOOMBERG_SECTOR_CODE")</f>
        <v>#NAME?</v>
      </c>
      <c r="R1446" t="e">
        <f ca="1">BDP("64985VBG Muni","ISSUER_TYPE")</f>
        <v>#NAME?</v>
      </c>
      <c r="S1446" t="e">
        <f ca="1">BDS("64985VBG Muni","ESG_PROJECT_CATEGORY", "aggregate=y")</f>
        <v>#NAME?</v>
      </c>
      <c r="T1446" t="e">
        <f ca="1">BDS("64985VBG Muni","ESG_PROJECT_SUBCATEGORY", "aggregate=y")</f>
        <v>#NAME?</v>
      </c>
    </row>
    <row r="1447" spans="1:20" x14ac:dyDescent="0.25">
      <c r="A1447" t="e">
        <f ca="1">BDP("64985VBH Muni","ID_CUSIP")</f>
        <v>#NAME?</v>
      </c>
      <c r="B1447" t="e">
        <f ca="1">BDP("64985VBH Muni","STATE_CODE")</f>
        <v>#NAME?</v>
      </c>
      <c r="C1447" t="s">
        <v>91</v>
      </c>
      <c r="D1447" t="e">
        <f ca="1">BDP("64985VBH Muni","YIELD_ON_ISSUE_DATE")</f>
        <v>#NAME?</v>
      </c>
      <c r="E1447">
        <v>5800000</v>
      </c>
      <c r="F1447" t="e">
        <f ca="1">BDP("64985VBH Muni","ISSUE_DT")</f>
        <v>#NAME?</v>
      </c>
      <c r="G1447" t="e">
        <f ca="1">BDP("64985VBH Muni","MATURITY")</f>
        <v>#NAME?</v>
      </c>
      <c r="H1447" t="e">
        <f ca="1">BDP("64985VBH Muni","MUNI_TAX_PROV")</f>
        <v>#NAME?</v>
      </c>
      <c r="I1447" t="e">
        <f ca="1">BDP("64985VBH Muni","FINANCING_TYPE")</f>
        <v>#NAME?</v>
      </c>
      <c r="J1447" t="e">
        <f ca="1">BDP("64985VBH Muni","BICS_LEVEL_2_INDUSTRY_GROUP_NAME")</f>
        <v>#NAME?</v>
      </c>
      <c r="K1447" t="e">
        <f ca="1">BDP("64985VBH Muni","SELF_REPRTD_GREEN_INSTR_INDCTR")</f>
        <v>#NAME?</v>
      </c>
      <c r="L1447" t="e">
        <f ca="1">BDP("64985VBH Muni","GB_MANAGEMENT_PROCEEDS")</f>
        <v>#NAME?</v>
      </c>
      <c r="M1447" t="e">
        <f ca="1">BDP("64985VBH Muni","GB_REPORTING")</f>
        <v>#NAME?</v>
      </c>
      <c r="N1447" t="e">
        <f ca="1">BDP("64985VBH Muni","GB_ASSURANCE_PROVIDERS")</f>
        <v>#NAME?</v>
      </c>
      <c r="O1447" t="e">
        <f ca="1">BDP("64985VBH Muni","GB_PROJECT_SELECTION_PROCESS")</f>
        <v>#NAME?</v>
      </c>
      <c r="P1447" t="e">
        <f ca="1">BDP("64985VBH Muni","ESG_FRAMEWORK_INDICATOR")</f>
        <v>#NAME?</v>
      </c>
      <c r="Q1447" t="e">
        <f ca="1">BDP("64985VBH Muni","BLOOMBERG_SECTOR_CODE")</f>
        <v>#NAME?</v>
      </c>
      <c r="R1447" t="e">
        <f ca="1">BDP("64985VBH Muni","ISSUER_TYPE")</f>
        <v>#NAME?</v>
      </c>
      <c r="S1447" t="e">
        <f ca="1">BDS("64985VBH Muni","ESG_PROJECT_CATEGORY", "aggregate=y")</f>
        <v>#NAME?</v>
      </c>
      <c r="T1447" t="e">
        <f ca="1">BDS("64985VBH Muni","ESG_PROJECT_SUBCATEGORY", "aggregate=y")</f>
        <v>#NAME?</v>
      </c>
    </row>
    <row r="1448" spans="1:20" x14ac:dyDescent="0.25">
      <c r="A1448" t="e">
        <f ca="1">BDP("64985VBJ Muni","ID_CUSIP")</f>
        <v>#NAME?</v>
      </c>
      <c r="B1448" t="e">
        <f ca="1">BDP("64985VBJ Muni","STATE_CODE")</f>
        <v>#NAME?</v>
      </c>
      <c r="C1448" t="s">
        <v>91</v>
      </c>
      <c r="D1448" t="e">
        <f ca="1">BDP("64985VBJ Muni","YIELD_ON_ISSUE_DATE")</f>
        <v>#NAME?</v>
      </c>
      <c r="E1448">
        <v>5195000</v>
      </c>
      <c r="F1448" t="e">
        <f ca="1">BDP("64985VBJ Muni","ISSUE_DT")</f>
        <v>#NAME?</v>
      </c>
      <c r="G1448" t="e">
        <f ca="1">BDP("64985VBJ Muni","MATURITY")</f>
        <v>#NAME?</v>
      </c>
      <c r="H1448" t="e">
        <f ca="1">BDP("64985VBJ Muni","MUNI_TAX_PROV")</f>
        <v>#NAME?</v>
      </c>
      <c r="I1448" t="e">
        <f ca="1">BDP("64985VBJ Muni","FINANCING_TYPE")</f>
        <v>#NAME?</v>
      </c>
      <c r="J1448" t="e">
        <f ca="1">BDP("64985VBJ Muni","BICS_LEVEL_2_INDUSTRY_GROUP_NAME")</f>
        <v>#NAME?</v>
      </c>
      <c r="K1448" t="e">
        <f ca="1">BDP("64985VBJ Muni","SELF_REPRTD_GREEN_INSTR_INDCTR")</f>
        <v>#NAME?</v>
      </c>
      <c r="L1448" t="e">
        <f ca="1">BDP("64985VBJ Muni","GB_MANAGEMENT_PROCEEDS")</f>
        <v>#NAME?</v>
      </c>
      <c r="M1448" t="e">
        <f ca="1">BDP("64985VBJ Muni","GB_REPORTING")</f>
        <v>#NAME?</v>
      </c>
      <c r="N1448" t="e">
        <f ca="1">BDP("64985VBJ Muni","GB_ASSURANCE_PROVIDERS")</f>
        <v>#NAME?</v>
      </c>
      <c r="O1448" t="e">
        <f ca="1">BDP("64985VBJ Muni","GB_PROJECT_SELECTION_PROCESS")</f>
        <v>#NAME?</v>
      </c>
      <c r="P1448" t="e">
        <f ca="1">BDP("64985VBJ Muni","ESG_FRAMEWORK_INDICATOR")</f>
        <v>#NAME?</v>
      </c>
      <c r="Q1448" t="e">
        <f ca="1">BDP("64985VBJ Muni","BLOOMBERG_SECTOR_CODE")</f>
        <v>#NAME?</v>
      </c>
      <c r="R1448" t="e">
        <f ca="1">BDP("64985VBJ Muni","ISSUER_TYPE")</f>
        <v>#NAME?</v>
      </c>
      <c r="S1448" t="e">
        <f ca="1">BDS("64985VBJ Muni","ESG_PROJECT_CATEGORY", "aggregate=y")</f>
        <v>#NAME?</v>
      </c>
      <c r="T1448" t="e">
        <f ca="1">BDS("64985VBJ Muni","ESG_PROJECT_SUBCATEGORY", "aggregate=y")</f>
        <v>#NAME?</v>
      </c>
    </row>
    <row r="1449" spans="1:20" x14ac:dyDescent="0.25">
      <c r="A1449" t="e">
        <f ca="1">BDP("64985VBK Muni","ID_CUSIP")</f>
        <v>#NAME?</v>
      </c>
      <c r="B1449" t="e">
        <f ca="1">BDP("64985VBK Muni","STATE_CODE")</f>
        <v>#NAME?</v>
      </c>
      <c r="C1449" t="s">
        <v>91</v>
      </c>
      <c r="D1449" t="e">
        <f ca="1">BDP("64985VBK Muni","YIELD_ON_ISSUE_DATE")</f>
        <v>#NAME?</v>
      </c>
      <c r="E1449">
        <v>4400000</v>
      </c>
      <c r="F1449" t="e">
        <f ca="1">BDP("64985VBK Muni","ISSUE_DT")</f>
        <v>#NAME?</v>
      </c>
      <c r="G1449" t="e">
        <f ca="1">BDP("64985VBK Muni","MATURITY")</f>
        <v>#NAME?</v>
      </c>
      <c r="H1449" t="e">
        <f ca="1">BDP("64985VBK Muni","MUNI_TAX_PROV")</f>
        <v>#NAME?</v>
      </c>
      <c r="I1449" t="e">
        <f ca="1">BDP("64985VBK Muni","FINANCING_TYPE")</f>
        <v>#NAME?</v>
      </c>
      <c r="J1449" t="e">
        <f ca="1">BDP("64985VBK Muni","BICS_LEVEL_2_INDUSTRY_GROUP_NAME")</f>
        <v>#NAME?</v>
      </c>
      <c r="K1449" t="e">
        <f ca="1">BDP("64985VBK Muni","SELF_REPRTD_GREEN_INSTR_INDCTR")</f>
        <v>#NAME?</v>
      </c>
      <c r="L1449" t="e">
        <f ca="1">BDP("64985VBK Muni","GB_MANAGEMENT_PROCEEDS")</f>
        <v>#NAME?</v>
      </c>
      <c r="M1449" t="e">
        <f ca="1">BDP("64985VBK Muni","GB_REPORTING")</f>
        <v>#NAME?</v>
      </c>
      <c r="N1449" t="e">
        <f ca="1">BDP("64985VBK Muni","GB_ASSURANCE_PROVIDERS")</f>
        <v>#NAME?</v>
      </c>
      <c r="O1449" t="e">
        <f ca="1">BDP("64985VBK Muni","GB_PROJECT_SELECTION_PROCESS")</f>
        <v>#NAME?</v>
      </c>
      <c r="P1449" t="e">
        <f ca="1">BDP("64985VBK Muni","ESG_FRAMEWORK_INDICATOR")</f>
        <v>#NAME?</v>
      </c>
      <c r="Q1449" t="e">
        <f ca="1">BDP("64985VBK Muni","BLOOMBERG_SECTOR_CODE")</f>
        <v>#NAME?</v>
      </c>
      <c r="R1449" t="e">
        <f ca="1">BDP("64985VBK Muni","ISSUER_TYPE")</f>
        <v>#NAME?</v>
      </c>
      <c r="S1449" t="e">
        <f ca="1">BDS("64985VBK Muni","ESG_PROJECT_CATEGORY", "aggregate=y")</f>
        <v>#NAME?</v>
      </c>
      <c r="T1449" t="e">
        <f ca="1">BDS("64985VBK Muni","ESG_PROJECT_SUBCATEGORY", "aggregate=y")</f>
        <v>#NAME?</v>
      </c>
    </row>
    <row r="1450" spans="1:20" x14ac:dyDescent="0.25">
      <c r="A1450" t="e">
        <f ca="1">BDP("64985VBL Muni","ID_CUSIP")</f>
        <v>#NAME?</v>
      </c>
      <c r="B1450" t="e">
        <f ca="1">BDP("64985VBL Muni","STATE_CODE")</f>
        <v>#NAME?</v>
      </c>
      <c r="C1450" t="s">
        <v>91</v>
      </c>
      <c r="D1450" t="e">
        <f ca="1">BDP("64985VBL Muni","YIELD_ON_ISSUE_DATE")</f>
        <v>#NAME?</v>
      </c>
      <c r="E1450">
        <v>3495000</v>
      </c>
      <c r="F1450" t="e">
        <f ca="1">BDP("64985VBL Muni","ISSUE_DT")</f>
        <v>#NAME?</v>
      </c>
      <c r="G1450" t="e">
        <f ca="1">BDP("64985VBL Muni","MATURITY")</f>
        <v>#NAME?</v>
      </c>
      <c r="H1450" t="e">
        <f ca="1">BDP("64985VBL Muni","MUNI_TAX_PROV")</f>
        <v>#NAME?</v>
      </c>
      <c r="I1450" t="e">
        <f ca="1">BDP("64985VBL Muni","FINANCING_TYPE")</f>
        <v>#NAME?</v>
      </c>
      <c r="J1450" t="e">
        <f ca="1">BDP("64985VBL Muni","BICS_LEVEL_2_INDUSTRY_GROUP_NAME")</f>
        <v>#NAME?</v>
      </c>
      <c r="K1450" t="e">
        <f ca="1">BDP("64985VBL Muni","SELF_REPRTD_GREEN_INSTR_INDCTR")</f>
        <v>#NAME?</v>
      </c>
      <c r="L1450" t="e">
        <f ca="1">BDP("64985VBL Muni","GB_MANAGEMENT_PROCEEDS")</f>
        <v>#NAME?</v>
      </c>
      <c r="M1450" t="e">
        <f ca="1">BDP("64985VBL Muni","GB_REPORTING")</f>
        <v>#NAME?</v>
      </c>
      <c r="N1450" t="e">
        <f ca="1">BDP("64985VBL Muni","GB_ASSURANCE_PROVIDERS")</f>
        <v>#NAME?</v>
      </c>
      <c r="O1450" t="e">
        <f ca="1">BDP("64985VBL Muni","GB_PROJECT_SELECTION_PROCESS")</f>
        <v>#NAME?</v>
      </c>
      <c r="P1450" t="e">
        <f ca="1">BDP("64985VBL Muni","ESG_FRAMEWORK_INDICATOR")</f>
        <v>#NAME?</v>
      </c>
      <c r="Q1450" t="e">
        <f ca="1">BDP("64985VBL Muni","BLOOMBERG_SECTOR_CODE")</f>
        <v>#NAME?</v>
      </c>
      <c r="R1450" t="e">
        <f ca="1">BDP("64985VBL Muni","ISSUER_TYPE")</f>
        <v>#NAME?</v>
      </c>
      <c r="S1450" t="e">
        <f ca="1">BDS("64985VBL Muni","ESG_PROJECT_CATEGORY", "aggregate=y")</f>
        <v>#NAME?</v>
      </c>
      <c r="T1450" t="e">
        <f ca="1">BDS("64985VBL Muni","ESG_PROJECT_SUBCATEGORY", "aggregate=y")</f>
        <v>#NAME?</v>
      </c>
    </row>
    <row r="1451" spans="1:20" x14ac:dyDescent="0.25">
      <c r="A1451" t="e">
        <f ca="1">BDP("64985VBN Muni","ID_CUSIP")</f>
        <v>#NAME?</v>
      </c>
      <c r="B1451" t="e">
        <f ca="1">BDP("64985VBN Muni","STATE_CODE")</f>
        <v>#NAME?</v>
      </c>
      <c r="C1451" t="s">
        <v>91</v>
      </c>
      <c r="D1451" t="e">
        <f ca="1">BDP("64985VBN Muni","YIELD_ON_ISSUE_DATE")</f>
        <v>#NAME?</v>
      </c>
      <c r="E1451">
        <v>1515000</v>
      </c>
      <c r="F1451" t="e">
        <f ca="1">BDP("64985VBN Muni","ISSUE_DT")</f>
        <v>#NAME?</v>
      </c>
      <c r="G1451" t="e">
        <f ca="1">BDP("64985VBN Muni","MATURITY")</f>
        <v>#NAME?</v>
      </c>
      <c r="H1451" t="e">
        <f ca="1">BDP("64985VBN Muni","MUNI_TAX_PROV")</f>
        <v>#NAME?</v>
      </c>
      <c r="I1451" t="e">
        <f ca="1">BDP("64985VBN Muni","FINANCING_TYPE")</f>
        <v>#NAME?</v>
      </c>
      <c r="J1451" t="e">
        <f ca="1">BDP("64985VBN Muni","BICS_LEVEL_2_INDUSTRY_GROUP_NAME")</f>
        <v>#NAME?</v>
      </c>
      <c r="K1451" t="e">
        <f ca="1">BDP("64985VBN Muni","SELF_REPRTD_GREEN_INSTR_INDCTR")</f>
        <v>#NAME?</v>
      </c>
      <c r="L1451" t="e">
        <f ca="1">BDP("64985VBN Muni","GB_MANAGEMENT_PROCEEDS")</f>
        <v>#NAME?</v>
      </c>
      <c r="M1451" t="e">
        <f ca="1">BDP("64985VBN Muni","GB_REPORTING")</f>
        <v>#NAME?</v>
      </c>
      <c r="N1451" t="e">
        <f ca="1">BDP("64985VBN Muni","GB_ASSURANCE_PROVIDERS")</f>
        <v>#NAME?</v>
      </c>
      <c r="O1451" t="e">
        <f ca="1">BDP("64985VBN Muni","GB_PROJECT_SELECTION_PROCESS")</f>
        <v>#NAME?</v>
      </c>
      <c r="P1451" t="e">
        <f ca="1">BDP("64985VBN Muni","ESG_FRAMEWORK_INDICATOR")</f>
        <v>#NAME?</v>
      </c>
      <c r="Q1451" t="e">
        <f ca="1">BDP("64985VBN Muni","BLOOMBERG_SECTOR_CODE")</f>
        <v>#NAME?</v>
      </c>
      <c r="R1451" t="e">
        <f ca="1">BDP("64985VBN Muni","ISSUER_TYPE")</f>
        <v>#NAME?</v>
      </c>
      <c r="S1451" t="e">
        <f ca="1">BDS("64985VBN Muni","ESG_PROJECT_CATEGORY", "aggregate=y")</f>
        <v>#NAME?</v>
      </c>
      <c r="T1451" t="e">
        <f ca="1">BDS("64985VBN Muni","ESG_PROJECT_SUBCATEGORY", "aggregate=y")</f>
        <v>#NAME?</v>
      </c>
    </row>
    <row r="1452" spans="1:20" x14ac:dyDescent="0.25">
      <c r="A1452" t="e">
        <f ca="1">BDP("64986DQD Muni","ID_CUSIP")</f>
        <v>#NAME?</v>
      </c>
      <c r="B1452" t="e">
        <f ca="1">BDP("64986DQD Muni","STATE_CODE")</f>
        <v>#NAME?</v>
      </c>
      <c r="C1452" t="s">
        <v>90</v>
      </c>
      <c r="D1452" t="e">
        <f ca="1">BDP("64986DQD Muni","YIELD_ON_ISSUE_DATE")</f>
        <v>#NAME?</v>
      </c>
      <c r="E1452">
        <v>13280000</v>
      </c>
      <c r="F1452" t="e">
        <f ca="1">BDP("64986DQD Muni","ISSUE_DT")</f>
        <v>#NAME?</v>
      </c>
      <c r="G1452" t="e">
        <f ca="1">BDP("64986DQD Muni","MATURITY")</f>
        <v>#NAME?</v>
      </c>
      <c r="H1452" t="e">
        <f ca="1">BDP("64986DQD Muni","MUNI_TAX_PROV")</f>
        <v>#NAME?</v>
      </c>
      <c r="I1452" t="e">
        <f ca="1">BDP("64986DQD Muni","FINANCING_TYPE")</f>
        <v>#NAME?</v>
      </c>
      <c r="J1452" t="e">
        <f ca="1">BDP("64986DQD Muni","BICS_LEVEL_2_INDUSTRY_GROUP_NAME")</f>
        <v>#NAME?</v>
      </c>
      <c r="K1452" t="e">
        <f ca="1">BDP("64986DQD Muni","SELF_REPRTD_GREEN_INSTR_INDCTR")</f>
        <v>#NAME?</v>
      </c>
      <c r="L1452" t="e">
        <f ca="1">BDP("64986DQD Muni","GB_MANAGEMENT_PROCEEDS")</f>
        <v>#NAME?</v>
      </c>
      <c r="M1452" t="e">
        <f ca="1">BDP("64986DQD Muni","GB_REPORTING")</f>
        <v>#NAME?</v>
      </c>
      <c r="N1452" t="e">
        <f ca="1">BDP("64986DQD Muni","GB_ASSURANCE_PROVIDERS")</f>
        <v>#NAME?</v>
      </c>
      <c r="O1452" t="e">
        <f ca="1">BDP("64986DQD Muni","GB_PROJECT_SELECTION_PROCESS")</f>
        <v>#NAME?</v>
      </c>
      <c r="P1452" t="e">
        <f ca="1">BDP("64986DQD Muni","ESG_FRAMEWORK_INDICATOR")</f>
        <v>#NAME?</v>
      </c>
      <c r="Q1452" t="e">
        <f ca="1">BDP("64986DQD Muni","BLOOMBERG_SECTOR_CODE")</f>
        <v>#NAME?</v>
      </c>
      <c r="R1452" t="e">
        <f ca="1">BDP("64986DQD Muni","ISSUER_TYPE")</f>
        <v>#NAME?</v>
      </c>
      <c r="S1452" t="e">
        <f ca="1">BDS("64986DQD Muni","ESG_PROJECT_CATEGORY", "aggregate=y")</f>
        <v>#NAME?</v>
      </c>
      <c r="T1452" t="e">
        <f ca="1">BDS("64986DQD Muni","ESG_PROJECT_SUBCATEGORY", "aggregate=y")</f>
        <v>#NAME?</v>
      </c>
    </row>
    <row r="1453" spans="1:20" x14ac:dyDescent="0.25">
      <c r="A1453" t="e">
        <f ca="1">BDP("64986DQH Muni","ID_CUSIP")</f>
        <v>#NAME?</v>
      </c>
      <c r="B1453" t="e">
        <f ca="1">BDP("64986DQH Muni","STATE_CODE")</f>
        <v>#NAME?</v>
      </c>
      <c r="C1453" t="s">
        <v>90</v>
      </c>
      <c r="D1453" t="e">
        <f ca="1">BDP("64986DQH Muni","YIELD_ON_ISSUE_DATE")</f>
        <v>#NAME?</v>
      </c>
      <c r="E1453">
        <v>9675000</v>
      </c>
      <c r="F1453" t="e">
        <f ca="1">BDP("64986DQH Muni","ISSUE_DT")</f>
        <v>#NAME?</v>
      </c>
      <c r="G1453" t="e">
        <f ca="1">BDP("64986DQH Muni","MATURITY")</f>
        <v>#NAME?</v>
      </c>
      <c r="H1453" t="e">
        <f ca="1">BDP("64986DQH Muni","MUNI_TAX_PROV")</f>
        <v>#NAME?</v>
      </c>
      <c r="I1453" t="e">
        <f ca="1">BDP("64986DQH Muni","FINANCING_TYPE")</f>
        <v>#NAME?</v>
      </c>
      <c r="J1453" t="e">
        <f ca="1">BDP("64986DQH Muni","BICS_LEVEL_2_INDUSTRY_GROUP_NAME")</f>
        <v>#NAME?</v>
      </c>
      <c r="K1453" t="e">
        <f ca="1">BDP("64986DQH Muni","SELF_REPRTD_GREEN_INSTR_INDCTR")</f>
        <v>#NAME?</v>
      </c>
      <c r="L1453" t="e">
        <f ca="1">BDP("64986DQH Muni","GB_MANAGEMENT_PROCEEDS")</f>
        <v>#NAME?</v>
      </c>
      <c r="M1453" t="e">
        <f ca="1">BDP("64986DQH Muni","GB_REPORTING")</f>
        <v>#NAME?</v>
      </c>
      <c r="N1453" t="e">
        <f ca="1">BDP("64986DQH Muni","GB_ASSURANCE_PROVIDERS")</f>
        <v>#NAME?</v>
      </c>
      <c r="O1453" t="e">
        <f ca="1">BDP("64986DQH Muni","GB_PROJECT_SELECTION_PROCESS")</f>
        <v>#NAME?</v>
      </c>
      <c r="P1453" t="e">
        <f ca="1">BDP("64986DQH Muni","ESG_FRAMEWORK_INDICATOR")</f>
        <v>#NAME?</v>
      </c>
      <c r="Q1453" t="e">
        <f ca="1">BDP("64986DQH Muni","BLOOMBERG_SECTOR_CODE")</f>
        <v>#NAME?</v>
      </c>
      <c r="R1453" t="e">
        <f ca="1">BDP("64986DQH Muni","ISSUER_TYPE")</f>
        <v>#NAME?</v>
      </c>
      <c r="S1453" t="e">
        <f ca="1">BDS("64986DQH Muni","ESG_PROJECT_CATEGORY", "aggregate=y")</f>
        <v>#NAME?</v>
      </c>
      <c r="T1453" t="e">
        <f ca="1">BDS("64986DQH Muni","ESG_PROJECT_SUBCATEGORY", "aggregate=y")</f>
        <v>#NAME?</v>
      </c>
    </row>
    <row r="1454" spans="1:20" x14ac:dyDescent="0.25">
      <c r="A1454" t="e">
        <f ca="1">BDP("650116JM Muni","ID_CUSIP")</f>
        <v>#NAME?</v>
      </c>
      <c r="B1454" t="e">
        <f ca="1">BDP("650116JM Muni","STATE_CODE")</f>
        <v>#NAME?</v>
      </c>
      <c r="C1454" t="s">
        <v>92</v>
      </c>
      <c r="D1454" t="e">
        <f ca="1">BDP("650116JM Muni","YIELD_ON_ISSUE_DATE")</f>
        <v>#NAME?</v>
      </c>
      <c r="E1454">
        <v>175000000</v>
      </c>
      <c r="F1454" t="e">
        <f ca="1">BDP("650116JM Muni","ISSUE_DT")</f>
        <v>#NAME?</v>
      </c>
      <c r="G1454" t="e">
        <f ca="1">BDP("650116JM Muni","MATURITY")</f>
        <v>#NAME?</v>
      </c>
      <c r="H1454" t="e">
        <f ca="1">BDP("650116JM Muni","MUNI_TAX_PROV")</f>
        <v>#NAME?</v>
      </c>
      <c r="I1454" t="e">
        <f ca="1">BDP("650116JM Muni","FINANCING_TYPE")</f>
        <v>#NAME?</v>
      </c>
      <c r="J1454" t="e">
        <f ca="1">BDP("650116JM Muni","BICS_LEVEL_2_INDUSTRY_GROUP_NAME")</f>
        <v>#NAME?</v>
      </c>
      <c r="K1454" t="e">
        <f ca="1">BDP("650116JM Muni","SELF_REPRTD_GREEN_INSTR_INDCTR")</f>
        <v>#NAME?</v>
      </c>
      <c r="L1454" t="e">
        <f ca="1">BDP("650116JM Muni","GB_MANAGEMENT_PROCEEDS")</f>
        <v>#NAME?</v>
      </c>
      <c r="M1454" t="e">
        <f ca="1">BDP("650116JM Muni","GB_REPORTING")</f>
        <v>#NAME?</v>
      </c>
      <c r="N1454" t="e">
        <f ca="1">BDP("650116JM Muni","GB_ASSURANCE_PROVIDERS")</f>
        <v>#NAME?</v>
      </c>
      <c r="O1454" t="e">
        <f ca="1">BDP("650116JM Muni","GB_PROJECT_SELECTION_PROCESS")</f>
        <v>#NAME?</v>
      </c>
      <c r="P1454" t="e">
        <f ca="1">BDP("650116JM Muni","ESG_FRAMEWORK_INDICATOR")</f>
        <v>#NAME?</v>
      </c>
      <c r="Q1454" t="e">
        <f ca="1">BDP("650116JM Muni","BLOOMBERG_SECTOR_CODE")</f>
        <v>#NAME?</v>
      </c>
      <c r="R1454" t="e">
        <f ca="1">BDP("650116JM Muni","ISSUER_TYPE")</f>
        <v>#NAME?</v>
      </c>
      <c r="S1454" t="e">
        <f ca="1">BDS("650116JM Muni","ESG_PROJECT_CATEGORY", "aggregate=y")</f>
        <v>#NAME?</v>
      </c>
      <c r="T1454" t="e">
        <f ca="1">BDS("650116JM Muni","ESG_PROJECT_SUBCATEGORY", "aggregate=y")</f>
        <v>#NAME?</v>
      </c>
    </row>
    <row r="1455" spans="1:20" x14ac:dyDescent="0.25">
      <c r="A1455" t="e">
        <f ca="1">BDP("650028C6 Muni","ID_CUSIP")</f>
        <v>#NAME?</v>
      </c>
      <c r="B1455" t="e">
        <f ca="1">BDP("650028C6 Muni","STATE_CODE")</f>
        <v>#NAME?</v>
      </c>
      <c r="C1455" t="s">
        <v>93</v>
      </c>
      <c r="D1455" t="e">
        <f ca="1">BDP("650028C6 Muni","YIELD_ON_ISSUE_DATE")</f>
        <v>#NAME?</v>
      </c>
      <c r="E1455">
        <v>284560000</v>
      </c>
      <c r="F1455" t="e">
        <f ca="1">BDP("650028C6 Muni","ISSUE_DT")</f>
        <v>#NAME?</v>
      </c>
      <c r="G1455" t="e">
        <f ca="1">BDP("650028C6 Muni","MATURITY")</f>
        <v>#NAME?</v>
      </c>
      <c r="H1455" t="e">
        <f ca="1">BDP("650028C6 Muni","MUNI_TAX_PROV")</f>
        <v>#NAME?</v>
      </c>
      <c r="I1455" t="e">
        <f ca="1">BDP("650028C6 Muni","FINANCING_TYPE")</f>
        <v>#NAME?</v>
      </c>
      <c r="J1455" t="e">
        <f ca="1">BDP("650028C6 Muni","BICS_LEVEL_2_INDUSTRY_GROUP_NAME")</f>
        <v>#NAME?</v>
      </c>
      <c r="K1455" t="e">
        <f ca="1">BDP("650028C6 Muni","SELF_REPRTD_GREEN_INSTR_INDCTR")</f>
        <v>#NAME?</v>
      </c>
      <c r="L1455" t="e">
        <f ca="1">BDP("650028C6 Muni","GB_MANAGEMENT_PROCEEDS")</f>
        <v>#NAME?</v>
      </c>
      <c r="M1455" t="e">
        <f ca="1">BDP("650028C6 Muni","GB_REPORTING")</f>
        <v>#NAME?</v>
      </c>
      <c r="N1455" t="e">
        <f ca="1">BDP("650028C6 Muni","GB_ASSURANCE_PROVIDERS")</f>
        <v>#NAME?</v>
      </c>
      <c r="O1455" t="e">
        <f ca="1">BDP("650028C6 Muni","GB_PROJECT_SELECTION_PROCESS")</f>
        <v>#NAME?</v>
      </c>
      <c r="P1455" t="e">
        <f ca="1">BDP("650028C6 Muni","ESG_FRAMEWORK_INDICATOR")</f>
        <v>#NAME?</v>
      </c>
      <c r="Q1455" t="e">
        <f ca="1">BDP("650028C6 Muni","BLOOMBERG_SECTOR_CODE")</f>
        <v>#NAME?</v>
      </c>
      <c r="R1455" t="e">
        <f ca="1">BDP("650028C6 Muni","ISSUER_TYPE")</f>
        <v>#NAME?</v>
      </c>
      <c r="S1455" t="e">
        <f ca="1">BDS("650028C6 Muni","ESG_PROJECT_CATEGORY", "aggregate=y")</f>
        <v>#NAME?</v>
      </c>
      <c r="T1455" t="e">
        <f ca="1">BDS("650028C6 Muni","ESG_PROJECT_SUBCATEGORY", "aggregate=y")</f>
        <v>#NAME?</v>
      </c>
    </row>
    <row r="1456" spans="1:20" x14ac:dyDescent="0.25">
      <c r="A1456" t="e">
        <f ca="1">BDP("650116JQ Muni","ID_CUSIP")</f>
        <v>#NAME?</v>
      </c>
      <c r="B1456" t="e">
        <f ca="1">BDP("650116JQ Muni","STATE_CODE")</f>
        <v>#NAME?</v>
      </c>
      <c r="C1456" t="s">
        <v>92</v>
      </c>
      <c r="D1456" t="e">
        <f ca="1">BDP("650116JQ Muni","YIELD_ON_ISSUE_DATE")</f>
        <v>#NAME?</v>
      </c>
      <c r="E1456">
        <v>361850000</v>
      </c>
      <c r="F1456" t="e">
        <f ca="1">BDP("650116JQ Muni","ISSUE_DT")</f>
        <v>#NAME?</v>
      </c>
      <c r="G1456" t="e">
        <f ca="1">BDP("650116JQ Muni","MATURITY")</f>
        <v>#NAME?</v>
      </c>
      <c r="H1456" t="e">
        <f ca="1">BDP("650116JQ Muni","MUNI_TAX_PROV")</f>
        <v>#NAME?</v>
      </c>
      <c r="I1456" t="e">
        <f ca="1">BDP("650116JQ Muni","FINANCING_TYPE")</f>
        <v>#NAME?</v>
      </c>
      <c r="J1456" t="e">
        <f ca="1">BDP("650116JQ Muni","BICS_LEVEL_2_INDUSTRY_GROUP_NAME")</f>
        <v>#NAME?</v>
      </c>
      <c r="K1456" t="e">
        <f ca="1">BDP("650116JQ Muni","SELF_REPRTD_GREEN_INSTR_INDCTR")</f>
        <v>#NAME?</v>
      </c>
      <c r="L1456" t="e">
        <f ca="1">BDP("650116JQ Muni","GB_MANAGEMENT_PROCEEDS")</f>
        <v>#NAME?</v>
      </c>
      <c r="M1456" t="e">
        <f ca="1">BDP("650116JQ Muni","GB_REPORTING")</f>
        <v>#NAME?</v>
      </c>
      <c r="N1456" t="e">
        <f ca="1">BDP("650116JQ Muni","GB_ASSURANCE_PROVIDERS")</f>
        <v>#NAME?</v>
      </c>
      <c r="O1456" t="e">
        <f ca="1">BDP("650116JQ Muni","GB_PROJECT_SELECTION_PROCESS")</f>
        <v>#NAME?</v>
      </c>
      <c r="P1456" t="e">
        <f ca="1">BDP("650116JQ Muni","ESG_FRAMEWORK_INDICATOR")</f>
        <v>#NAME?</v>
      </c>
      <c r="Q1456" t="e">
        <f ca="1">BDP("650116JQ Muni","BLOOMBERG_SECTOR_CODE")</f>
        <v>#NAME?</v>
      </c>
      <c r="R1456" t="e">
        <f ca="1">BDP("650116JQ Muni","ISSUER_TYPE")</f>
        <v>#NAME?</v>
      </c>
      <c r="S1456" t="e">
        <f ca="1">BDS("650116JQ Muni","ESG_PROJECT_CATEGORY", "aggregate=y")</f>
        <v>#NAME?</v>
      </c>
      <c r="T1456" t="e">
        <f ca="1">BDS("650116JQ Muni","ESG_PROJECT_SUBCATEGORY", "aggregate=y")</f>
        <v>#NAME?</v>
      </c>
    </row>
    <row r="1457" spans="1:20" x14ac:dyDescent="0.25">
      <c r="A1457" t="e">
        <f ca="1">BDP("650116JJ Muni","ID_CUSIP")</f>
        <v>#NAME?</v>
      </c>
      <c r="B1457" t="e">
        <f ca="1">BDP("650116JJ Muni","STATE_CODE")</f>
        <v>#NAME?</v>
      </c>
      <c r="C1457" t="s">
        <v>92</v>
      </c>
      <c r="D1457" t="e">
        <f ca="1">BDP("650116JJ Muni","YIELD_ON_ISSUE_DATE")</f>
        <v>#NAME?</v>
      </c>
      <c r="E1457">
        <v>79850000</v>
      </c>
      <c r="F1457" t="e">
        <f ca="1">BDP("650116JJ Muni","ISSUE_DT")</f>
        <v>#NAME?</v>
      </c>
      <c r="G1457" t="e">
        <f ca="1">BDP("650116JJ Muni","MATURITY")</f>
        <v>#NAME?</v>
      </c>
      <c r="H1457" t="e">
        <f ca="1">BDP("650116JJ Muni","MUNI_TAX_PROV")</f>
        <v>#NAME?</v>
      </c>
      <c r="I1457" t="e">
        <f ca="1">BDP("650116JJ Muni","FINANCING_TYPE")</f>
        <v>#NAME?</v>
      </c>
      <c r="J1457" t="e">
        <f ca="1">BDP("650116JJ Muni","BICS_LEVEL_2_INDUSTRY_GROUP_NAME")</f>
        <v>#NAME?</v>
      </c>
      <c r="K1457" t="e">
        <f ca="1">BDP("650116JJ Muni","SELF_REPRTD_GREEN_INSTR_INDCTR")</f>
        <v>#NAME?</v>
      </c>
      <c r="L1457" t="e">
        <f ca="1">BDP("650116JJ Muni","GB_MANAGEMENT_PROCEEDS")</f>
        <v>#NAME?</v>
      </c>
      <c r="M1457" t="e">
        <f ca="1">BDP("650116JJ Muni","GB_REPORTING")</f>
        <v>#NAME?</v>
      </c>
      <c r="N1457" t="e">
        <f ca="1">BDP("650116JJ Muni","GB_ASSURANCE_PROVIDERS")</f>
        <v>#NAME?</v>
      </c>
      <c r="O1457" t="e">
        <f ca="1">BDP("650116JJ Muni","GB_PROJECT_SELECTION_PROCESS")</f>
        <v>#NAME?</v>
      </c>
      <c r="P1457" t="e">
        <f ca="1">BDP("650116JJ Muni","ESG_FRAMEWORK_INDICATOR")</f>
        <v>#NAME?</v>
      </c>
      <c r="Q1457" t="e">
        <f ca="1">BDP("650116JJ Muni","BLOOMBERG_SECTOR_CODE")</f>
        <v>#NAME?</v>
      </c>
      <c r="R1457" t="e">
        <f ca="1">BDP("650116JJ Muni","ISSUER_TYPE")</f>
        <v>#NAME?</v>
      </c>
      <c r="S1457" t="e">
        <f ca="1">BDS("650116JJ Muni","ESG_PROJECT_CATEGORY", "aggregate=y")</f>
        <v>#NAME?</v>
      </c>
      <c r="T1457" t="e">
        <f ca="1">BDS("650116JJ Muni","ESG_PROJECT_SUBCATEGORY", "aggregate=y")</f>
        <v>#NAME?</v>
      </c>
    </row>
    <row r="1458" spans="1:20" x14ac:dyDescent="0.25">
      <c r="A1458" t="e">
        <f ca="1">BDP("650028C2 Muni","ID_CUSIP")</f>
        <v>#NAME?</v>
      </c>
      <c r="B1458" t="e">
        <f ca="1">BDP("650028C2 Muni","STATE_CODE")</f>
        <v>#NAME?</v>
      </c>
      <c r="C1458" t="s">
        <v>93</v>
      </c>
      <c r="D1458" t="e">
        <f ca="1">BDP("650028C2 Muni","YIELD_ON_ISSUE_DATE")</f>
        <v>#NAME?</v>
      </c>
      <c r="E1458">
        <v>239825000</v>
      </c>
      <c r="F1458" t="e">
        <f ca="1">BDP("650028C2 Muni","ISSUE_DT")</f>
        <v>#NAME?</v>
      </c>
      <c r="G1458" t="e">
        <f ca="1">BDP("650028C2 Muni","MATURITY")</f>
        <v>#NAME?</v>
      </c>
      <c r="H1458" t="e">
        <f ca="1">BDP("650028C2 Muni","MUNI_TAX_PROV")</f>
        <v>#NAME?</v>
      </c>
      <c r="I1458" t="e">
        <f ca="1">BDP("650028C2 Muni","FINANCING_TYPE")</f>
        <v>#NAME?</v>
      </c>
      <c r="J1458" t="e">
        <f ca="1">BDP("650028C2 Muni","BICS_LEVEL_2_INDUSTRY_GROUP_NAME")</f>
        <v>#NAME?</v>
      </c>
      <c r="K1458" t="e">
        <f ca="1">BDP("650028C2 Muni","SELF_REPRTD_GREEN_INSTR_INDCTR")</f>
        <v>#NAME?</v>
      </c>
      <c r="L1458" t="e">
        <f ca="1">BDP("650028C2 Muni","GB_MANAGEMENT_PROCEEDS")</f>
        <v>#NAME?</v>
      </c>
      <c r="M1458" t="e">
        <f ca="1">BDP("650028C2 Muni","GB_REPORTING")</f>
        <v>#NAME?</v>
      </c>
      <c r="N1458" t="e">
        <f ca="1">BDP("650028C2 Muni","GB_ASSURANCE_PROVIDERS")</f>
        <v>#NAME?</v>
      </c>
      <c r="O1458" t="e">
        <f ca="1">BDP("650028C2 Muni","GB_PROJECT_SELECTION_PROCESS")</f>
        <v>#NAME?</v>
      </c>
      <c r="P1458" t="e">
        <f ca="1">BDP("650028C2 Muni","ESG_FRAMEWORK_INDICATOR")</f>
        <v>#NAME?</v>
      </c>
      <c r="Q1458" t="e">
        <f ca="1">BDP("650028C2 Muni","BLOOMBERG_SECTOR_CODE")</f>
        <v>#NAME?</v>
      </c>
      <c r="R1458" t="e">
        <f ca="1">BDP("650028C2 Muni","ISSUER_TYPE")</f>
        <v>#NAME?</v>
      </c>
      <c r="S1458" t="e">
        <f ca="1">BDS("650028C2 Muni","ESG_PROJECT_CATEGORY", "aggregate=y")</f>
        <v>#NAME?</v>
      </c>
      <c r="T1458" t="e">
        <f ca="1">BDS("650028C2 Muni","ESG_PROJECT_SUBCATEGORY", "aggregate=y")</f>
        <v>#NAME?</v>
      </c>
    </row>
    <row r="1459" spans="1:20" x14ac:dyDescent="0.25">
      <c r="A1459" t="e">
        <f ca="1">BDP("650116JP Muni","ID_CUSIP")</f>
        <v>#NAME?</v>
      </c>
      <c r="B1459" t="e">
        <f ca="1">BDP("650116JP Muni","STATE_CODE")</f>
        <v>#NAME?</v>
      </c>
      <c r="C1459" t="s">
        <v>92</v>
      </c>
      <c r="D1459" t="e">
        <f ca="1">BDP("650116JP Muni","YIELD_ON_ISSUE_DATE")</f>
        <v>#NAME?</v>
      </c>
      <c r="E1459">
        <v>245790000</v>
      </c>
      <c r="F1459" t="e">
        <f ca="1">BDP("650116JP Muni","ISSUE_DT")</f>
        <v>#NAME?</v>
      </c>
      <c r="G1459" t="e">
        <f ca="1">BDP("650116JP Muni","MATURITY")</f>
        <v>#NAME?</v>
      </c>
      <c r="H1459" t="e">
        <f ca="1">BDP("650116JP Muni","MUNI_TAX_PROV")</f>
        <v>#NAME?</v>
      </c>
      <c r="I1459" t="e">
        <f ca="1">BDP("650116JP Muni","FINANCING_TYPE")</f>
        <v>#NAME?</v>
      </c>
      <c r="J1459" t="e">
        <f ca="1">BDP("650116JP Muni","BICS_LEVEL_2_INDUSTRY_GROUP_NAME")</f>
        <v>#NAME?</v>
      </c>
      <c r="K1459" t="e">
        <f ca="1">BDP("650116JP Muni","SELF_REPRTD_GREEN_INSTR_INDCTR")</f>
        <v>#NAME?</v>
      </c>
      <c r="L1459" t="e">
        <f ca="1">BDP("650116JP Muni","GB_MANAGEMENT_PROCEEDS")</f>
        <v>#NAME?</v>
      </c>
      <c r="M1459" t="e">
        <f ca="1">BDP("650116JP Muni","GB_REPORTING")</f>
        <v>#NAME?</v>
      </c>
      <c r="N1459" t="e">
        <f ca="1">BDP("650116JP Muni","GB_ASSURANCE_PROVIDERS")</f>
        <v>#NAME?</v>
      </c>
      <c r="O1459" t="e">
        <f ca="1">BDP("650116JP Muni","GB_PROJECT_SELECTION_PROCESS")</f>
        <v>#NAME?</v>
      </c>
      <c r="P1459" t="e">
        <f ca="1">BDP("650116JP Muni","ESG_FRAMEWORK_INDICATOR")</f>
        <v>#NAME?</v>
      </c>
      <c r="Q1459" t="e">
        <f ca="1">BDP("650116JP Muni","BLOOMBERG_SECTOR_CODE")</f>
        <v>#NAME?</v>
      </c>
      <c r="R1459" t="e">
        <f ca="1">BDP("650116JP Muni","ISSUER_TYPE")</f>
        <v>#NAME?</v>
      </c>
      <c r="S1459" t="e">
        <f ca="1">BDS("650116JP Muni","ESG_PROJECT_CATEGORY", "aggregate=y")</f>
        <v>#NAME?</v>
      </c>
      <c r="T1459" t="e">
        <f ca="1">BDS("650116JP Muni","ESG_PROJECT_SUBCATEGORY", "aggregate=y")</f>
        <v>#NAME?</v>
      </c>
    </row>
    <row r="1460" spans="1:20" x14ac:dyDescent="0.25">
      <c r="A1460" t="e">
        <f ca="1">BDP("650028C3 Muni","ID_CUSIP")</f>
        <v>#NAME?</v>
      </c>
      <c r="B1460" t="e">
        <f ca="1">BDP("650028C3 Muni","STATE_CODE")</f>
        <v>#NAME?</v>
      </c>
      <c r="C1460" t="s">
        <v>93</v>
      </c>
      <c r="D1460" t="e">
        <f ca="1">BDP("650028C3 Muni","YIELD_ON_ISSUE_DATE")</f>
        <v>#NAME?</v>
      </c>
      <c r="E1460">
        <v>125755000</v>
      </c>
      <c r="F1460" t="e">
        <f ca="1">BDP("650028C3 Muni","ISSUE_DT")</f>
        <v>#NAME?</v>
      </c>
      <c r="G1460" t="e">
        <f ca="1">BDP("650028C3 Muni","MATURITY")</f>
        <v>#NAME?</v>
      </c>
      <c r="H1460" t="e">
        <f ca="1">BDP("650028C3 Muni","MUNI_TAX_PROV")</f>
        <v>#NAME?</v>
      </c>
      <c r="I1460" t="e">
        <f ca="1">BDP("650028C3 Muni","FINANCING_TYPE")</f>
        <v>#NAME?</v>
      </c>
      <c r="J1460" t="e">
        <f ca="1">BDP("650028C3 Muni","BICS_LEVEL_2_INDUSTRY_GROUP_NAME")</f>
        <v>#NAME?</v>
      </c>
      <c r="K1460" t="e">
        <f ca="1">BDP("650028C3 Muni","SELF_REPRTD_GREEN_INSTR_INDCTR")</f>
        <v>#NAME?</v>
      </c>
      <c r="L1460" t="e">
        <f ca="1">BDP("650028C3 Muni","GB_MANAGEMENT_PROCEEDS")</f>
        <v>#NAME?</v>
      </c>
      <c r="M1460" t="e">
        <f ca="1">BDP("650028C3 Muni","GB_REPORTING")</f>
        <v>#NAME?</v>
      </c>
      <c r="N1460" t="e">
        <f ca="1">BDP("650028C3 Muni","GB_ASSURANCE_PROVIDERS")</f>
        <v>#NAME?</v>
      </c>
      <c r="O1460" t="e">
        <f ca="1">BDP("650028C3 Muni","GB_PROJECT_SELECTION_PROCESS")</f>
        <v>#NAME?</v>
      </c>
      <c r="P1460" t="e">
        <f ca="1">BDP("650028C3 Muni","ESG_FRAMEWORK_INDICATOR")</f>
        <v>#NAME?</v>
      </c>
      <c r="Q1460" t="e">
        <f ca="1">BDP("650028C3 Muni","BLOOMBERG_SECTOR_CODE")</f>
        <v>#NAME?</v>
      </c>
      <c r="R1460" t="e">
        <f ca="1">BDP("650028C3 Muni","ISSUER_TYPE")</f>
        <v>#NAME?</v>
      </c>
      <c r="S1460" t="e">
        <f ca="1">BDS("650028C3 Muni","ESG_PROJECT_CATEGORY", "aggregate=y")</f>
        <v>#NAME?</v>
      </c>
      <c r="T1460" t="e">
        <f ca="1">BDS("650028C3 Muni","ESG_PROJECT_SUBCATEGORY", "aggregate=y")</f>
        <v>#NAME?</v>
      </c>
    </row>
    <row r="1461" spans="1:20" x14ac:dyDescent="0.25">
      <c r="A1461" t="e">
        <f ca="1">BDP("650116JL Muni","ID_CUSIP")</f>
        <v>#NAME?</v>
      </c>
      <c r="B1461" t="e">
        <f ca="1">BDP("650116JL Muni","STATE_CODE")</f>
        <v>#NAME?</v>
      </c>
      <c r="C1461" t="s">
        <v>92</v>
      </c>
      <c r="D1461" t="e">
        <f ca="1">BDP("650116JL Muni","YIELD_ON_ISSUE_DATE")</f>
        <v>#NAME?</v>
      </c>
      <c r="E1461">
        <v>149435000</v>
      </c>
      <c r="F1461" t="e">
        <f ca="1">BDP("650116JL Muni","ISSUE_DT")</f>
        <v>#NAME?</v>
      </c>
      <c r="G1461" t="e">
        <f ca="1">BDP("650116JL Muni","MATURITY")</f>
        <v>#NAME?</v>
      </c>
      <c r="H1461" t="e">
        <f ca="1">BDP("650116JL Muni","MUNI_TAX_PROV")</f>
        <v>#NAME?</v>
      </c>
      <c r="I1461" t="e">
        <f ca="1">BDP("650116JL Muni","FINANCING_TYPE")</f>
        <v>#NAME?</v>
      </c>
      <c r="J1461" t="e">
        <f ca="1">BDP("650116JL Muni","BICS_LEVEL_2_INDUSTRY_GROUP_NAME")</f>
        <v>#NAME?</v>
      </c>
      <c r="K1461" t="e">
        <f ca="1">BDP("650116JL Muni","SELF_REPRTD_GREEN_INSTR_INDCTR")</f>
        <v>#NAME?</v>
      </c>
      <c r="L1461" t="e">
        <f ca="1">BDP("650116JL Muni","GB_MANAGEMENT_PROCEEDS")</f>
        <v>#NAME?</v>
      </c>
      <c r="M1461" t="e">
        <f ca="1">BDP("650116JL Muni","GB_REPORTING")</f>
        <v>#NAME?</v>
      </c>
      <c r="N1461" t="e">
        <f ca="1">BDP("650116JL Muni","GB_ASSURANCE_PROVIDERS")</f>
        <v>#NAME?</v>
      </c>
      <c r="O1461" t="e">
        <f ca="1">BDP("650116JL Muni","GB_PROJECT_SELECTION_PROCESS")</f>
        <v>#NAME?</v>
      </c>
      <c r="P1461" t="e">
        <f ca="1">BDP("650116JL Muni","ESG_FRAMEWORK_INDICATOR")</f>
        <v>#NAME?</v>
      </c>
      <c r="Q1461" t="e">
        <f ca="1">BDP("650116JL Muni","BLOOMBERG_SECTOR_CODE")</f>
        <v>#NAME?</v>
      </c>
      <c r="R1461" t="e">
        <f ca="1">BDP("650116JL Muni","ISSUER_TYPE")</f>
        <v>#NAME?</v>
      </c>
      <c r="S1461" t="e">
        <f ca="1">BDS("650116JL Muni","ESG_PROJECT_CATEGORY", "aggregate=y")</f>
        <v>#NAME?</v>
      </c>
      <c r="T1461" t="e">
        <f ca="1">BDS("650116JL Muni","ESG_PROJECT_SUBCATEGORY", "aggregate=y")</f>
        <v>#NAME?</v>
      </c>
    </row>
    <row r="1462" spans="1:20" x14ac:dyDescent="0.25">
      <c r="A1462" t="e">
        <f ca="1">BDP("650116JK Muni","ID_CUSIP")</f>
        <v>#NAME?</v>
      </c>
      <c r="B1462" t="e">
        <f ca="1">BDP("650116JK Muni","STATE_CODE")</f>
        <v>#NAME?</v>
      </c>
      <c r="C1462" t="s">
        <v>92</v>
      </c>
      <c r="D1462" t="e">
        <f ca="1">BDP("650116JK Muni","YIELD_ON_ISSUE_DATE")</f>
        <v>#NAME?</v>
      </c>
      <c r="E1462">
        <v>125000000</v>
      </c>
      <c r="F1462" t="e">
        <f ca="1">BDP("650116JK Muni","ISSUE_DT")</f>
        <v>#NAME?</v>
      </c>
      <c r="G1462" t="e">
        <f ca="1">BDP("650116JK Muni","MATURITY")</f>
        <v>#NAME?</v>
      </c>
      <c r="H1462" t="e">
        <f ca="1">BDP("650116JK Muni","MUNI_TAX_PROV")</f>
        <v>#NAME?</v>
      </c>
      <c r="I1462" t="e">
        <f ca="1">BDP("650116JK Muni","FINANCING_TYPE")</f>
        <v>#NAME?</v>
      </c>
      <c r="J1462" t="e">
        <f ca="1">BDP("650116JK Muni","BICS_LEVEL_2_INDUSTRY_GROUP_NAME")</f>
        <v>#NAME?</v>
      </c>
      <c r="K1462" t="e">
        <f ca="1">BDP("650116JK Muni","SELF_REPRTD_GREEN_INSTR_INDCTR")</f>
        <v>#NAME?</v>
      </c>
      <c r="L1462" t="e">
        <f ca="1">BDP("650116JK Muni","GB_MANAGEMENT_PROCEEDS")</f>
        <v>#NAME?</v>
      </c>
      <c r="M1462" t="e">
        <f ca="1">BDP("650116JK Muni","GB_REPORTING")</f>
        <v>#NAME?</v>
      </c>
      <c r="N1462" t="e">
        <f ca="1">BDP("650116JK Muni","GB_ASSURANCE_PROVIDERS")</f>
        <v>#NAME?</v>
      </c>
      <c r="O1462" t="e">
        <f ca="1">BDP("650116JK Muni","GB_PROJECT_SELECTION_PROCESS")</f>
        <v>#NAME?</v>
      </c>
      <c r="P1462" t="e">
        <f ca="1">BDP("650116JK Muni","ESG_FRAMEWORK_INDICATOR")</f>
        <v>#NAME?</v>
      </c>
      <c r="Q1462" t="e">
        <f ca="1">BDP("650116JK Muni","BLOOMBERG_SECTOR_CODE")</f>
        <v>#NAME?</v>
      </c>
      <c r="R1462" t="e">
        <f ca="1">BDP("650116JK Muni","ISSUER_TYPE")</f>
        <v>#NAME?</v>
      </c>
      <c r="S1462" t="e">
        <f ca="1">BDS("650116JK Muni","ESG_PROJECT_CATEGORY", "aggregate=y")</f>
        <v>#NAME?</v>
      </c>
      <c r="T1462" t="e">
        <f ca="1">BDS("650116JK Muni","ESG_PROJECT_SUBCATEGORY", "aggregate=y")</f>
        <v>#NAME?</v>
      </c>
    </row>
    <row r="1463" spans="1:20" x14ac:dyDescent="0.25">
      <c r="A1463" t="e">
        <f ca="1">BDP("64986DQL Muni","ID_CUSIP")</f>
        <v>#NAME?</v>
      </c>
      <c r="B1463" t="e">
        <f ca="1">BDP("64986DQL Muni","STATE_CODE")</f>
        <v>#NAME?</v>
      </c>
      <c r="C1463" t="s">
        <v>90</v>
      </c>
      <c r="D1463" t="e">
        <f ca="1">BDP("64986DQL Muni","YIELD_ON_ISSUE_DATE")</f>
        <v>#NAME?</v>
      </c>
      <c r="E1463">
        <v>69000000</v>
      </c>
      <c r="F1463" t="e">
        <f ca="1">BDP("64986DQL Muni","ISSUE_DT")</f>
        <v>#NAME?</v>
      </c>
      <c r="G1463" t="e">
        <f ca="1">BDP("64986DQL Muni","MATURITY")</f>
        <v>#NAME?</v>
      </c>
      <c r="H1463" t="e">
        <f ca="1">BDP("64986DQL Muni","MUNI_TAX_PROV")</f>
        <v>#NAME?</v>
      </c>
      <c r="I1463" t="e">
        <f ca="1">BDP("64986DQL Muni","FINANCING_TYPE")</f>
        <v>#NAME?</v>
      </c>
      <c r="J1463" t="e">
        <f ca="1">BDP("64986DQL Muni","BICS_LEVEL_2_INDUSTRY_GROUP_NAME")</f>
        <v>#NAME?</v>
      </c>
      <c r="K1463" t="e">
        <f ca="1">BDP("64986DQL Muni","SELF_REPRTD_GREEN_INSTR_INDCTR")</f>
        <v>#NAME?</v>
      </c>
      <c r="L1463" t="e">
        <f ca="1">BDP("64986DQL Muni","GB_MANAGEMENT_PROCEEDS")</f>
        <v>#NAME?</v>
      </c>
      <c r="M1463" t="e">
        <f ca="1">BDP("64986DQL Muni","GB_REPORTING")</f>
        <v>#NAME?</v>
      </c>
      <c r="N1463" t="e">
        <f ca="1">BDP("64986DQL Muni","GB_ASSURANCE_PROVIDERS")</f>
        <v>#NAME?</v>
      </c>
      <c r="O1463" t="e">
        <f ca="1">BDP("64986DQL Muni","GB_PROJECT_SELECTION_PROCESS")</f>
        <v>#NAME?</v>
      </c>
      <c r="P1463" t="e">
        <f ca="1">BDP("64986DQL Muni","ESG_FRAMEWORK_INDICATOR")</f>
        <v>#NAME?</v>
      </c>
      <c r="Q1463" t="e">
        <f ca="1">BDP("64986DQL Muni","BLOOMBERG_SECTOR_CODE")</f>
        <v>#NAME?</v>
      </c>
      <c r="R1463" t="e">
        <f ca="1">BDP("64986DQL Muni","ISSUER_TYPE")</f>
        <v>#NAME?</v>
      </c>
      <c r="S1463" t="e">
        <f ca="1">BDS("64986DQL Muni","ESG_PROJECT_CATEGORY", "aggregate=y")</f>
        <v>#NAME?</v>
      </c>
      <c r="T1463" t="e">
        <f ca="1">BDS("64986DQL Muni","ESG_PROJECT_SUBCATEGORY", "aggregate=y")</f>
        <v>#NAME?</v>
      </c>
    </row>
    <row r="1464" spans="1:20" x14ac:dyDescent="0.25">
      <c r="A1464" t="e">
        <f ca="1">BDP("91802RJM Muni","ID_CUSIP")</f>
        <v>#NAME?</v>
      </c>
      <c r="B1464" t="e">
        <f ca="1">BDP("91802RJM Muni","STATE_CODE")</f>
        <v>#NAME?</v>
      </c>
      <c r="C1464" t="s">
        <v>87</v>
      </c>
      <c r="D1464" t="e">
        <f ca="1">BDP("91802RJM Muni","YIELD_ON_ISSUE_DATE")</f>
        <v>#NAME?</v>
      </c>
      <c r="E1464">
        <v>19490000</v>
      </c>
      <c r="F1464" t="e">
        <f ca="1">BDP("91802RJM Muni","ISSUE_DT")</f>
        <v>#NAME?</v>
      </c>
      <c r="G1464" t="e">
        <f ca="1">BDP("91802RJM Muni","MATURITY")</f>
        <v>#NAME?</v>
      </c>
      <c r="H1464" t="e">
        <f ca="1">BDP("91802RJM Muni","MUNI_TAX_PROV")</f>
        <v>#NAME?</v>
      </c>
      <c r="I1464" t="e">
        <f ca="1">BDP("91802RJM Muni","FINANCING_TYPE")</f>
        <v>#NAME?</v>
      </c>
      <c r="J1464" t="e">
        <f ca="1">BDP("91802RJM Muni","BICS_LEVEL_2_INDUSTRY_GROUP_NAME")</f>
        <v>#NAME?</v>
      </c>
      <c r="K1464" t="e">
        <f ca="1">BDP("91802RJM Muni","SELF_REPRTD_GREEN_INSTR_INDCTR")</f>
        <v>#NAME?</v>
      </c>
      <c r="L1464" t="e">
        <f ca="1">BDP("91802RJM Muni","GB_MANAGEMENT_PROCEEDS")</f>
        <v>#NAME?</v>
      </c>
      <c r="M1464" t="e">
        <f ca="1">BDP("91802RJM Muni","GB_REPORTING")</f>
        <v>#NAME?</v>
      </c>
      <c r="N1464" t="e">
        <f ca="1">BDP("91802RJM Muni","GB_ASSURANCE_PROVIDERS")</f>
        <v>#NAME?</v>
      </c>
      <c r="O1464" t="e">
        <f ca="1">BDP("91802RJM Muni","GB_PROJECT_SELECTION_PROCESS")</f>
        <v>#NAME?</v>
      </c>
      <c r="P1464" t="e">
        <f ca="1">BDP("91802RJM Muni","ESG_FRAMEWORK_INDICATOR")</f>
        <v>#NAME?</v>
      </c>
      <c r="Q1464" t="e">
        <f ca="1">BDP("91802RJM Muni","BLOOMBERG_SECTOR_CODE")</f>
        <v>#NAME?</v>
      </c>
      <c r="R1464" t="e">
        <f ca="1">BDP("91802RJM Muni","ISSUER_TYPE")</f>
        <v>#NAME?</v>
      </c>
      <c r="S1464" t="e">
        <f ca="1">BDS("91802RJM Muni","ESG_PROJECT_CATEGORY", "aggregate=y")</f>
        <v>#NAME?</v>
      </c>
      <c r="T1464" t="e">
        <f ca="1">BDS("91802RJM Muni","ESG_PROJECT_SUBCATEGORY", "aggregate=y")</f>
        <v>#NAME?</v>
      </c>
    </row>
    <row r="1465" spans="1:20" x14ac:dyDescent="0.25">
      <c r="A1465" t="e">
        <f ca="1">BDP("64986DQK Muni","ID_CUSIP")</f>
        <v>#NAME?</v>
      </c>
      <c r="B1465" t="e">
        <f ca="1">BDP("64986DQK Muni","STATE_CODE")</f>
        <v>#NAME?</v>
      </c>
      <c r="C1465" t="s">
        <v>90</v>
      </c>
      <c r="D1465" t="e">
        <f ca="1">BDP("64986DQK Muni","YIELD_ON_ISSUE_DATE")</f>
        <v>#NAME?</v>
      </c>
      <c r="E1465">
        <v>33790000</v>
      </c>
      <c r="F1465" t="e">
        <f ca="1">BDP("64986DQK Muni","ISSUE_DT")</f>
        <v>#NAME?</v>
      </c>
      <c r="G1465" t="e">
        <f ca="1">BDP("64986DQK Muni","MATURITY")</f>
        <v>#NAME?</v>
      </c>
      <c r="H1465" t="e">
        <f ca="1">BDP("64986DQK Muni","MUNI_TAX_PROV")</f>
        <v>#NAME?</v>
      </c>
      <c r="I1465" t="e">
        <f ca="1">BDP("64986DQK Muni","FINANCING_TYPE")</f>
        <v>#NAME?</v>
      </c>
      <c r="J1465" t="e">
        <f ca="1">BDP("64986DQK Muni","BICS_LEVEL_2_INDUSTRY_GROUP_NAME")</f>
        <v>#NAME?</v>
      </c>
      <c r="K1465" t="e">
        <f ca="1">BDP("64986DQK Muni","SELF_REPRTD_GREEN_INSTR_INDCTR")</f>
        <v>#NAME?</v>
      </c>
      <c r="L1465" t="e">
        <f ca="1">BDP("64986DQK Muni","GB_MANAGEMENT_PROCEEDS")</f>
        <v>#NAME?</v>
      </c>
      <c r="M1465" t="e">
        <f ca="1">BDP("64986DQK Muni","GB_REPORTING")</f>
        <v>#NAME?</v>
      </c>
      <c r="N1465" t="e">
        <f ca="1">BDP("64986DQK Muni","GB_ASSURANCE_PROVIDERS")</f>
        <v>#NAME?</v>
      </c>
      <c r="O1465" t="e">
        <f ca="1">BDP("64986DQK Muni","GB_PROJECT_SELECTION_PROCESS")</f>
        <v>#NAME?</v>
      </c>
      <c r="P1465" t="e">
        <f ca="1">BDP("64986DQK Muni","ESG_FRAMEWORK_INDICATOR")</f>
        <v>#NAME?</v>
      </c>
      <c r="Q1465" t="e">
        <f ca="1">BDP("64986DQK Muni","BLOOMBERG_SECTOR_CODE")</f>
        <v>#NAME?</v>
      </c>
      <c r="R1465" t="e">
        <f ca="1">BDP("64986DQK Muni","ISSUER_TYPE")</f>
        <v>#NAME?</v>
      </c>
      <c r="S1465" t="e">
        <f ca="1">BDS("64986DQK Muni","ESG_PROJECT_CATEGORY", "aggregate=y")</f>
        <v>#NAME?</v>
      </c>
      <c r="T1465" t="e">
        <f ca="1">BDS("64986DQK Muni","ESG_PROJECT_SUBCATEGORY", "aggregate=y")</f>
        <v>#NAME?</v>
      </c>
    </row>
    <row r="1466" spans="1:20" x14ac:dyDescent="0.25">
      <c r="A1466" t="e">
        <f ca="1">BDP("64986DQJ Muni","ID_CUSIP")</f>
        <v>#NAME?</v>
      </c>
      <c r="B1466" t="e">
        <f ca="1">BDP("64986DQJ Muni","STATE_CODE")</f>
        <v>#NAME?</v>
      </c>
      <c r="C1466" t="s">
        <v>90</v>
      </c>
      <c r="D1466" t="e">
        <f ca="1">BDP("64986DQJ Muni","YIELD_ON_ISSUE_DATE")</f>
        <v>#NAME?</v>
      </c>
      <c r="E1466">
        <v>10180000</v>
      </c>
      <c r="F1466" t="e">
        <f ca="1">BDP("64986DQJ Muni","ISSUE_DT")</f>
        <v>#NAME?</v>
      </c>
      <c r="G1466" t="e">
        <f ca="1">BDP("64986DQJ Muni","MATURITY")</f>
        <v>#NAME?</v>
      </c>
      <c r="H1466" t="e">
        <f ca="1">BDP("64986DQJ Muni","MUNI_TAX_PROV")</f>
        <v>#NAME?</v>
      </c>
      <c r="I1466" t="e">
        <f ca="1">BDP("64986DQJ Muni","FINANCING_TYPE")</f>
        <v>#NAME?</v>
      </c>
      <c r="J1466" t="e">
        <f ca="1">BDP("64986DQJ Muni","BICS_LEVEL_2_INDUSTRY_GROUP_NAME")</f>
        <v>#NAME?</v>
      </c>
      <c r="K1466" t="e">
        <f ca="1">BDP("64986DQJ Muni","SELF_REPRTD_GREEN_INSTR_INDCTR")</f>
        <v>#NAME?</v>
      </c>
      <c r="L1466" t="e">
        <f ca="1">BDP("64986DQJ Muni","GB_MANAGEMENT_PROCEEDS")</f>
        <v>#NAME?</v>
      </c>
      <c r="M1466" t="e">
        <f ca="1">BDP("64986DQJ Muni","GB_REPORTING")</f>
        <v>#NAME?</v>
      </c>
      <c r="N1466" t="e">
        <f ca="1">BDP("64986DQJ Muni","GB_ASSURANCE_PROVIDERS")</f>
        <v>#NAME?</v>
      </c>
      <c r="O1466" t="e">
        <f ca="1">BDP("64986DQJ Muni","GB_PROJECT_SELECTION_PROCESS")</f>
        <v>#NAME?</v>
      </c>
      <c r="P1466" t="e">
        <f ca="1">BDP("64986DQJ Muni","ESG_FRAMEWORK_INDICATOR")</f>
        <v>#NAME?</v>
      </c>
      <c r="Q1466" t="e">
        <f ca="1">BDP("64986DQJ Muni","BLOOMBERG_SECTOR_CODE")</f>
        <v>#NAME?</v>
      </c>
      <c r="R1466" t="e">
        <f ca="1">BDP("64986DQJ Muni","ISSUER_TYPE")</f>
        <v>#NAME?</v>
      </c>
      <c r="S1466" t="e">
        <f ca="1">BDS("64986DQJ Muni","ESG_PROJECT_CATEGORY", "aggregate=y")</f>
        <v>#NAME?</v>
      </c>
      <c r="T1466" t="e">
        <f ca="1">BDS("64986DQJ Muni","ESG_PROJECT_SUBCATEGORY", "aggregate=y")</f>
        <v>#NAME?</v>
      </c>
    </row>
    <row r="1467" spans="1:20" x14ac:dyDescent="0.25">
      <c r="A1467" t="e">
        <f ca="1">BDP("650028C4 Muni","ID_CUSIP")</f>
        <v>#NAME?</v>
      </c>
      <c r="B1467" t="e">
        <f ca="1">BDP("650028C4 Muni","STATE_CODE")</f>
        <v>#NAME?</v>
      </c>
      <c r="C1467" t="s">
        <v>93</v>
      </c>
      <c r="D1467" t="e">
        <f ca="1">BDP("650028C4 Muni","YIELD_ON_ISSUE_DATE")</f>
        <v>#NAME?</v>
      </c>
      <c r="E1467">
        <v>132045000</v>
      </c>
      <c r="F1467" t="e">
        <f ca="1">BDP("650028C4 Muni","ISSUE_DT")</f>
        <v>#NAME?</v>
      </c>
      <c r="G1467" t="e">
        <f ca="1">BDP("650028C4 Muni","MATURITY")</f>
        <v>#NAME?</v>
      </c>
      <c r="H1467" t="e">
        <f ca="1">BDP("650028C4 Muni","MUNI_TAX_PROV")</f>
        <v>#NAME?</v>
      </c>
      <c r="I1467" t="e">
        <f ca="1">BDP("650028C4 Muni","FINANCING_TYPE")</f>
        <v>#NAME?</v>
      </c>
      <c r="J1467" t="e">
        <f ca="1">BDP("650028C4 Muni","BICS_LEVEL_2_INDUSTRY_GROUP_NAME")</f>
        <v>#NAME?</v>
      </c>
      <c r="K1467" t="e">
        <f ca="1">BDP("650028C4 Muni","SELF_REPRTD_GREEN_INSTR_INDCTR")</f>
        <v>#NAME?</v>
      </c>
      <c r="L1467" t="e">
        <f ca="1">BDP("650028C4 Muni","GB_MANAGEMENT_PROCEEDS")</f>
        <v>#NAME?</v>
      </c>
      <c r="M1467" t="e">
        <f ca="1">BDP("650028C4 Muni","GB_REPORTING")</f>
        <v>#NAME?</v>
      </c>
      <c r="N1467" t="e">
        <f ca="1">BDP("650028C4 Muni","GB_ASSURANCE_PROVIDERS")</f>
        <v>#NAME?</v>
      </c>
      <c r="O1467" t="e">
        <f ca="1">BDP("650028C4 Muni","GB_PROJECT_SELECTION_PROCESS")</f>
        <v>#NAME?</v>
      </c>
      <c r="P1467" t="e">
        <f ca="1">BDP("650028C4 Muni","ESG_FRAMEWORK_INDICATOR")</f>
        <v>#NAME?</v>
      </c>
      <c r="Q1467" t="e">
        <f ca="1">BDP("650028C4 Muni","BLOOMBERG_SECTOR_CODE")</f>
        <v>#NAME?</v>
      </c>
      <c r="R1467" t="e">
        <f ca="1">BDP("650028C4 Muni","ISSUER_TYPE")</f>
        <v>#NAME?</v>
      </c>
      <c r="S1467" t="e">
        <f ca="1">BDS("650028C4 Muni","ESG_PROJECT_CATEGORY", "aggregate=y")</f>
        <v>#NAME?</v>
      </c>
      <c r="T1467" t="e">
        <f ca="1">BDS("650028C4 Muni","ESG_PROJECT_SUBCATEGORY", "aggregate=y")</f>
        <v>#NAME?</v>
      </c>
    </row>
    <row r="1468" spans="1:20" x14ac:dyDescent="0.25">
      <c r="A1468" t="e">
        <f ca="1">BDP("59261A5H Muni","ID_CUSIP")</f>
        <v>#NAME?</v>
      </c>
      <c r="B1468" t="e">
        <f ca="1">BDP("59261A5H Muni","STATE_CODE")</f>
        <v>#NAME?</v>
      </c>
      <c r="C1468" t="s">
        <v>89</v>
      </c>
      <c r="D1468" t="e">
        <f ca="1">BDP("59261A5H Muni","YIELD_ON_ISSUE_DATE")</f>
        <v>#NAME?</v>
      </c>
      <c r="F1468" t="e">
        <f ca="1">BDP("59261A5H Muni","ISSUE_DT")</f>
        <v>#NAME?</v>
      </c>
      <c r="G1468" t="e">
        <f ca="1">BDP("59261A5H Muni","MATURITY")</f>
        <v>#NAME?</v>
      </c>
      <c r="H1468" t="e">
        <f ca="1">BDP("59261A5H Muni","MUNI_TAX_PROV")</f>
        <v>#NAME?</v>
      </c>
      <c r="I1468" t="e">
        <f ca="1">BDP("59261A5H Muni","FINANCING_TYPE")</f>
        <v>#NAME?</v>
      </c>
      <c r="J1468" t="e">
        <f ca="1">BDP("59261A5H Muni","BICS_LEVEL_2_INDUSTRY_GROUP_NAME")</f>
        <v>#NAME?</v>
      </c>
      <c r="K1468" t="e">
        <f ca="1">BDP("59261A5H Muni","SELF_REPRTD_GREEN_INSTR_INDCTR")</f>
        <v>#NAME?</v>
      </c>
      <c r="L1468" t="e">
        <f ca="1">BDP("59261A5H Muni","GB_MANAGEMENT_PROCEEDS")</f>
        <v>#NAME?</v>
      </c>
      <c r="M1468" t="e">
        <f ca="1">BDP("59261A5H Muni","GB_REPORTING")</f>
        <v>#NAME?</v>
      </c>
      <c r="N1468" t="e">
        <f ca="1">BDP("59261A5H Muni","GB_ASSURANCE_PROVIDERS")</f>
        <v>#NAME?</v>
      </c>
      <c r="O1468" t="e">
        <f ca="1">BDP("59261A5H Muni","GB_PROJECT_SELECTION_PROCESS")</f>
        <v>#NAME?</v>
      </c>
      <c r="P1468" t="e">
        <f ca="1">BDP("59261A5H Muni","ESG_FRAMEWORK_INDICATOR")</f>
        <v>#NAME?</v>
      </c>
      <c r="Q1468" t="e">
        <f ca="1">BDP("59261A5H Muni","BLOOMBERG_SECTOR_CODE")</f>
        <v>#NAME?</v>
      </c>
      <c r="R1468" t="e">
        <f ca="1">BDP("59261A5H Muni","ISSUER_TYPE")</f>
        <v>#NAME?</v>
      </c>
      <c r="S1468" t="e">
        <f ca="1">BDS("59261A5H Muni","ESG_PROJECT_CATEGORY", "aggregate=y")</f>
        <v>#NAME?</v>
      </c>
      <c r="T1468" t="e">
        <f ca="1">BDS("59261A5H Muni","ESG_PROJECT_SUBCATEGORY", "aggregate=y")</f>
        <v>#NAME?</v>
      </c>
    </row>
    <row r="1469" spans="1:20" x14ac:dyDescent="0.25">
      <c r="A1469" t="e">
        <f ca="1">BDP("650116JN Muni","ID_CUSIP")</f>
        <v>#NAME?</v>
      </c>
      <c r="B1469" t="e">
        <f ca="1">BDP("650116JN Muni","STATE_CODE")</f>
        <v>#NAME?</v>
      </c>
      <c r="C1469" t="s">
        <v>92</v>
      </c>
      <c r="D1469" t="e">
        <f ca="1">BDP("650116JN Muni","YIELD_ON_ISSUE_DATE")</f>
        <v>#NAME?</v>
      </c>
      <c r="E1469">
        <v>79235000</v>
      </c>
      <c r="F1469" t="e">
        <f ca="1">BDP("650116JN Muni","ISSUE_DT")</f>
        <v>#NAME?</v>
      </c>
      <c r="G1469" t="e">
        <f ca="1">BDP("650116JN Muni","MATURITY")</f>
        <v>#NAME?</v>
      </c>
      <c r="H1469" t="e">
        <f ca="1">BDP("650116JN Muni","MUNI_TAX_PROV")</f>
        <v>#NAME?</v>
      </c>
      <c r="I1469" t="e">
        <f ca="1">BDP("650116JN Muni","FINANCING_TYPE")</f>
        <v>#NAME?</v>
      </c>
      <c r="J1469" t="e">
        <f ca="1">BDP("650116JN Muni","BICS_LEVEL_2_INDUSTRY_GROUP_NAME")</f>
        <v>#NAME?</v>
      </c>
      <c r="K1469" t="e">
        <f ca="1">BDP("650116JN Muni","SELF_REPRTD_GREEN_INSTR_INDCTR")</f>
        <v>#NAME?</v>
      </c>
      <c r="L1469" t="e">
        <f ca="1">BDP("650116JN Muni","GB_MANAGEMENT_PROCEEDS")</f>
        <v>#NAME?</v>
      </c>
      <c r="M1469" t="e">
        <f ca="1">BDP("650116JN Muni","GB_REPORTING")</f>
        <v>#NAME?</v>
      </c>
      <c r="N1469" t="e">
        <f ca="1">BDP("650116JN Muni","GB_ASSURANCE_PROVIDERS")</f>
        <v>#NAME?</v>
      </c>
      <c r="O1469" t="e">
        <f ca="1">BDP("650116JN Muni","GB_PROJECT_SELECTION_PROCESS")</f>
        <v>#NAME?</v>
      </c>
      <c r="P1469" t="e">
        <f ca="1">BDP("650116JN Muni","ESG_FRAMEWORK_INDICATOR")</f>
        <v>#NAME?</v>
      </c>
      <c r="Q1469" t="e">
        <f ca="1">BDP("650116JN Muni","BLOOMBERG_SECTOR_CODE")</f>
        <v>#NAME?</v>
      </c>
      <c r="R1469" t="e">
        <f ca="1">BDP("650116JN Muni","ISSUER_TYPE")</f>
        <v>#NAME?</v>
      </c>
      <c r="S1469" t="e">
        <f ca="1">BDS("650116JN Muni","ESG_PROJECT_CATEGORY", "aggregate=y")</f>
        <v>#NAME?</v>
      </c>
      <c r="T1469" t="e">
        <f ca="1">BDS("650116JN Muni","ESG_PROJECT_SUBCATEGORY", "aggregate=y")</f>
        <v>#NAME?</v>
      </c>
    </row>
    <row r="1470" spans="1:20" x14ac:dyDescent="0.25">
      <c r="A1470" t="e">
        <f ca="1">BDP("650116JF Muni","ID_CUSIP")</f>
        <v>#NAME?</v>
      </c>
      <c r="B1470" t="e">
        <f ca="1">BDP("650116JF Muni","STATE_CODE")</f>
        <v>#NAME?</v>
      </c>
      <c r="C1470" t="s">
        <v>92</v>
      </c>
      <c r="D1470" t="e">
        <f ca="1">BDP("650116JF Muni","YIELD_ON_ISSUE_DATE")</f>
        <v>#NAME?</v>
      </c>
      <c r="E1470">
        <v>31065000</v>
      </c>
      <c r="F1470" t="e">
        <f ca="1">BDP("650116JF Muni","ISSUE_DT")</f>
        <v>#NAME?</v>
      </c>
      <c r="G1470" t="e">
        <f ca="1">BDP("650116JF Muni","MATURITY")</f>
        <v>#NAME?</v>
      </c>
      <c r="H1470" t="e">
        <f ca="1">BDP("650116JF Muni","MUNI_TAX_PROV")</f>
        <v>#NAME?</v>
      </c>
      <c r="I1470" t="e">
        <f ca="1">BDP("650116JF Muni","FINANCING_TYPE")</f>
        <v>#NAME?</v>
      </c>
      <c r="J1470" t="e">
        <f ca="1">BDP("650116JF Muni","BICS_LEVEL_2_INDUSTRY_GROUP_NAME")</f>
        <v>#NAME?</v>
      </c>
      <c r="K1470" t="e">
        <f ca="1">BDP("650116JF Muni","SELF_REPRTD_GREEN_INSTR_INDCTR")</f>
        <v>#NAME?</v>
      </c>
      <c r="L1470" t="e">
        <f ca="1">BDP("650116JF Muni","GB_MANAGEMENT_PROCEEDS")</f>
        <v>#NAME?</v>
      </c>
      <c r="M1470" t="e">
        <f ca="1">BDP("650116JF Muni","GB_REPORTING")</f>
        <v>#NAME?</v>
      </c>
      <c r="N1470" t="e">
        <f ca="1">BDP("650116JF Muni","GB_ASSURANCE_PROVIDERS")</f>
        <v>#NAME?</v>
      </c>
      <c r="O1470" t="e">
        <f ca="1">BDP("650116JF Muni","GB_PROJECT_SELECTION_PROCESS")</f>
        <v>#NAME?</v>
      </c>
      <c r="P1470" t="e">
        <f ca="1">BDP("650116JF Muni","ESG_FRAMEWORK_INDICATOR")</f>
        <v>#NAME?</v>
      </c>
      <c r="Q1470" t="e">
        <f ca="1">BDP("650116JF Muni","BLOOMBERG_SECTOR_CODE")</f>
        <v>#NAME?</v>
      </c>
      <c r="R1470" t="e">
        <f ca="1">BDP("650116JF Muni","ISSUER_TYPE")</f>
        <v>#NAME?</v>
      </c>
      <c r="S1470" t="e">
        <f ca="1">BDS("650116JF Muni","ESG_PROJECT_CATEGORY", "aggregate=y")</f>
        <v>#NAME?</v>
      </c>
      <c r="T1470" t="e">
        <f ca="1">BDS("650116JF Muni","ESG_PROJECT_SUBCATEGORY", "aggregate=y")</f>
        <v>#NAME?</v>
      </c>
    </row>
    <row r="1471" spans="1:20" x14ac:dyDescent="0.25">
      <c r="A1471" t="e">
        <f ca="1">BDP("59261A5C Muni","ID_CUSIP")</f>
        <v>#NAME?</v>
      </c>
      <c r="B1471" t="e">
        <f ca="1">BDP("59261A5C Muni","STATE_CODE")</f>
        <v>#NAME?</v>
      </c>
      <c r="C1471" t="s">
        <v>89</v>
      </c>
      <c r="D1471" t="e">
        <f ca="1">BDP("59261A5C Muni","YIELD_ON_ISSUE_DATE")</f>
        <v>#NAME?</v>
      </c>
      <c r="E1471">
        <v>48455000</v>
      </c>
      <c r="F1471" t="e">
        <f ca="1">BDP("59261A5C Muni","ISSUE_DT")</f>
        <v>#NAME?</v>
      </c>
      <c r="G1471" t="e">
        <f ca="1">BDP("59261A5C Muni","MATURITY")</f>
        <v>#NAME?</v>
      </c>
      <c r="H1471" t="e">
        <f ca="1">BDP("59261A5C Muni","MUNI_TAX_PROV")</f>
        <v>#NAME?</v>
      </c>
      <c r="I1471" t="e">
        <f ca="1">BDP("59261A5C Muni","FINANCING_TYPE")</f>
        <v>#NAME?</v>
      </c>
      <c r="J1471" t="e">
        <f ca="1">BDP("59261A5C Muni","BICS_LEVEL_2_INDUSTRY_GROUP_NAME")</f>
        <v>#NAME?</v>
      </c>
      <c r="K1471" t="e">
        <f ca="1">BDP("59261A5C Muni","SELF_REPRTD_GREEN_INSTR_INDCTR")</f>
        <v>#NAME?</v>
      </c>
      <c r="L1471" t="e">
        <f ca="1">BDP("59261A5C Muni","GB_MANAGEMENT_PROCEEDS")</f>
        <v>#NAME?</v>
      </c>
      <c r="M1471" t="e">
        <f ca="1">BDP("59261A5C Muni","GB_REPORTING")</f>
        <v>#NAME?</v>
      </c>
      <c r="N1471" t="e">
        <f ca="1">BDP("59261A5C Muni","GB_ASSURANCE_PROVIDERS")</f>
        <v>#NAME?</v>
      </c>
      <c r="O1471" t="e">
        <f ca="1">BDP("59261A5C Muni","GB_PROJECT_SELECTION_PROCESS")</f>
        <v>#NAME?</v>
      </c>
      <c r="P1471" t="e">
        <f ca="1">BDP("59261A5C Muni","ESG_FRAMEWORK_INDICATOR")</f>
        <v>#NAME?</v>
      </c>
      <c r="Q1471" t="e">
        <f ca="1">BDP("59261A5C Muni","BLOOMBERG_SECTOR_CODE")</f>
        <v>#NAME?</v>
      </c>
      <c r="R1471" t="e">
        <f ca="1">BDP("59261A5C Muni","ISSUER_TYPE")</f>
        <v>#NAME?</v>
      </c>
      <c r="S1471" t="e">
        <f ca="1">BDS("59261A5C Muni","ESG_PROJECT_CATEGORY", "aggregate=y")</f>
        <v>#NAME?</v>
      </c>
      <c r="T1471" t="e">
        <f ca="1">BDS("59261A5C Muni","ESG_PROJECT_SUBCATEGORY", "aggregate=y")</f>
        <v>#NAME?</v>
      </c>
    </row>
    <row r="1472" spans="1:20" x14ac:dyDescent="0.25">
      <c r="A1472" t="e">
        <f ca="1">BDP("650116JG Muni","ID_CUSIP")</f>
        <v>#NAME?</v>
      </c>
      <c r="B1472" t="e">
        <f ca="1">BDP("650116JG Muni","STATE_CODE")</f>
        <v>#NAME?</v>
      </c>
      <c r="C1472" t="s">
        <v>92</v>
      </c>
      <c r="D1472" t="e">
        <f ca="1">BDP("650116JG Muni","YIELD_ON_ISSUE_DATE")</f>
        <v>#NAME?</v>
      </c>
      <c r="E1472">
        <v>26475000</v>
      </c>
      <c r="F1472" t="e">
        <f ca="1">BDP("650116JG Muni","ISSUE_DT")</f>
        <v>#NAME?</v>
      </c>
      <c r="G1472" t="e">
        <f ca="1">BDP("650116JG Muni","MATURITY")</f>
        <v>#NAME?</v>
      </c>
      <c r="H1472" t="e">
        <f ca="1">BDP("650116JG Muni","MUNI_TAX_PROV")</f>
        <v>#NAME?</v>
      </c>
      <c r="I1472" t="e">
        <f ca="1">BDP("650116JG Muni","FINANCING_TYPE")</f>
        <v>#NAME?</v>
      </c>
      <c r="J1472" t="e">
        <f ca="1">BDP("650116JG Muni","BICS_LEVEL_2_INDUSTRY_GROUP_NAME")</f>
        <v>#NAME?</v>
      </c>
      <c r="K1472" t="e">
        <f ca="1">BDP("650116JG Muni","SELF_REPRTD_GREEN_INSTR_INDCTR")</f>
        <v>#NAME?</v>
      </c>
      <c r="L1472" t="e">
        <f ca="1">BDP("650116JG Muni","GB_MANAGEMENT_PROCEEDS")</f>
        <v>#NAME?</v>
      </c>
      <c r="M1472" t="e">
        <f ca="1">BDP("650116JG Muni","GB_REPORTING")</f>
        <v>#NAME?</v>
      </c>
      <c r="N1472" t="e">
        <f ca="1">BDP("650116JG Muni","GB_ASSURANCE_PROVIDERS")</f>
        <v>#NAME?</v>
      </c>
      <c r="O1472" t="e">
        <f ca="1">BDP("650116JG Muni","GB_PROJECT_SELECTION_PROCESS")</f>
        <v>#NAME?</v>
      </c>
      <c r="P1472" t="e">
        <f ca="1">BDP("650116JG Muni","ESG_FRAMEWORK_INDICATOR")</f>
        <v>#NAME?</v>
      </c>
      <c r="Q1472" t="e">
        <f ca="1">BDP("650116JG Muni","BLOOMBERG_SECTOR_CODE")</f>
        <v>#NAME?</v>
      </c>
      <c r="R1472" t="e">
        <f ca="1">BDP("650116JG Muni","ISSUER_TYPE")</f>
        <v>#NAME?</v>
      </c>
      <c r="S1472" t="e">
        <f ca="1">BDS("650116JG Muni","ESG_PROJECT_CATEGORY", "aggregate=y")</f>
        <v>#NAME?</v>
      </c>
      <c r="T1472" t="e">
        <f ca="1">BDS("650116JG Muni","ESG_PROJECT_SUBCATEGORY", "aggregate=y")</f>
        <v>#NAME?</v>
      </c>
    </row>
    <row r="1473" spans="1:20" x14ac:dyDescent="0.25">
      <c r="A1473" t="e">
        <f ca="1">BDP("64986DPS Muni","ID_CUSIP")</f>
        <v>#NAME?</v>
      </c>
      <c r="B1473" t="e">
        <f ca="1">BDP("64986DPS Muni","STATE_CODE")</f>
        <v>#NAME?</v>
      </c>
      <c r="C1473" t="s">
        <v>90</v>
      </c>
      <c r="D1473" t="e">
        <f ca="1">BDP("64986DPS Muni","YIELD_ON_ISSUE_DATE")</f>
        <v>#NAME?</v>
      </c>
      <c r="E1473">
        <v>12055000</v>
      </c>
      <c r="F1473" t="e">
        <f ca="1">BDP("64986DPS Muni","ISSUE_DT")</f>
        <v>#NAME?</v>
      </c>
      <c r="G1473" t="e">
        <f ca="1">BDP("64986DPS Muni","MATURITY")</f>
        <v>#NAME?</v>
      </c>
      <c r="H1473" t="e">
        <f ca="1">BDP("64986DPS Muni","MUNI_TAX_PROV")</f>
        <v>#NAME?</v>
      </c>
      <c r="I1473" t="e">
        <f ca="1">BDP("64986DPS Muni","FINANCING_TYPE")</f>
        <v>#NAME?</v>
      </c>
      <c r="J1473" t="e">
        <f ca="1">BDP("64986DPS Muni","BICS_LEVEL_2_INDUSTRY_GROUP_NAME")</f>
        <v>#NAME?</v>
      </c>
      <c r="K1473" t="e">
        <f ca="1">BDP("64986DPS Muni","SELF_REPRTD_GREEN_INSTR_INDCTR")</f>
        <v>#NAME?</v>
      </c>
      <c r="L1473" t="e">
        <f ca="1">BDP("64986DPS Muni","GB_MANAGEMENT_PROCEEDS")</f>
        <v>#NAME?</v>
      </c>
      <c r="M1473" t="e">
        <f ca="1">BDP("64986DPS Muni","GB_REPORTING")</f>
        <v>#NAME?</v>
      </c>
      <c r="N1473" t="e">
        <f ca="1">BDP("64986DPS Muni","GB_ASSURANCE_PROVIDERS")</f>
        <v>#NAME?</v>
      </c>
      <c r="O1473" t="e">
        <f ca="1">BDP("64986DPS Muni","GB_PROJECT_SELECTION_PROCESS")</f>
        <v>#NAME?</v>
      </c>
      <c r="P1473" t="e">
        <f ca="1">BDP("64986DPS Muni","ESG_FRAMEWORK_INDICATOR")</f>
        <v>#NAME?</v>
      </c>
      <c r="Q1473" t="e">
        <f ca="1">BDP("64986DPS Muni","BLOOMBERG_SECTOR_CODE")</f>
        <v>#NAME?</v>
      </c>
      <c r="R1473" t="e">
        <f ca="1">BDP("64986DPS Muni","ISSUER_TYPE")</f>
        <v>#NAME?</v>
      </c>
      <c r="S1473" t="e">
        <f ca="1">BDS("64986DPS Muni","ESG_PROJECT_CATEGORY", "aggregate=y")</f>
        <v>#NAME?</v>
      </c>
      <c r="T1473" t="e">
        <f ca="1">BDS("64986DPS Muni","ESG_PROJECT_SUBCATEGORY", "aggregate=y")</f>
        <v>#NAME?</v>
      </c>
    </row>
    <row r="1474" spans="1:20" x14ac:dyDescent="0.25">
      <c r="A1474" t="e">
        <f ca="1">BDP("650116JH Muni","ID_CUSIP")</f>
        <v>#NAME?</v>
      </c>
      <c r="B1474" t="e">
        <f ca="1">BDP("650116JH Muni","STATE_CODE")</f>
        <v>#NAME?</v>
      </c>
      <c r="C1474" t="s">
        <v>92</v>
      </c>
      <c r="D1474" t="e">
        <f ca="1">BDP("650116JH Muni","YIELD_ON_ISSUE_DATE")</f>
        <v>#NAME?</v>
      </c>
      <c r="E1474">
        <v>24670000</v>
      </c>
      <c r="F1474" t="e">
        <f ca="1">BDP("650116JH Muni","ISSUE_DT")</f>
        <v>#NAME?</v>
      </c>
      <c r="G1474" t="e">
        <f ca="1">BDP("650116JH Muni","MATURITY")</f>
        <v>#NAME?</v>
      </c>
      <c r="H1474" t="e">
        <f ca="1">BDP("650116JH Muni","MUNI_TAX_PROV")</f>
        <v>#NAME?</v>
      </c>
      <c r="I1474" t="e">
        <f ca="1">BDP("650116JH Muni","FINANCING_TYPE")</f>
        <v>#NAME?</v>
      </c>
      <c r="J1474" t="e">
        <f ca="1">BDP("650116JH Muni","BICS_LEVEL_2_INDUSTRY_GROUP_NAME")</f>
        <v>#NAME?</v>
      </c>
      <c r="K1474" t="e">
        <f ca="1">BDP("650116JH Muni","SELF_REPRTD_GREEN_INSTR_INDCTR")</f>
        <v>#NAME?</v>
      </c>
      <c r="L1474" t="e">
        <f ca="1">BDP("650116JH Muni","GB_MANAGEMENT_PROCEEDS")</f>
        <v>#NAME?</v>
      </c>
      <c r="M1474" t="e">
        <f ca="1">BDP("650116JH Muni","GB_REPORTING")</f>
        <v>#NAME?</v>
      </c>
      <c r="N1474" t="e">
        <f ca="1">BDP("650116JH Muni","GB_ASSURANCE_PROVIDERS")</f>
        <v>#NAME?</v>
      </c>
      <c r="O1474" t="e">
        <f ca="1">BDP("650116JH Muni","GB_PROJECT_SELECTION_PROCESS")</f>
        <v>#NAME?</v>
      </c>
      <c r="P1474" t="e">
        <f ca="1">BDP("650116JH Muni","ESG_FRAMEWORK_INDICATOR")</f>
        <v>#NAME?</v>
      </c>
      <c r="Q1474" t="e">
        <f ca="1">BDP("650116JH Muni","BLOOMBERG_SECTOR_CODE")</f>
        <v>#NAME?</v>
      </c>
      <c r="R1474" t="e">
        <f ca="1">BDP("650116JH Muni","ISSUER_TYPE")</f>
        <v>#NAME?</v>
      </c>
      <c r="S1474" t="e">
        <f ca="1">BDS("650116JH Muni","ESG_PROJECT_CATEGORY", "aggregate=y")</f>
        <v>#NAME?</v>
      </c>
      <c r="T1474" t="e">
        <f ca="1">BDS("650116JH Muni","ESG_PROJECT_SUBCATEGORY", "aggregate=y")</f>
        <v>#NAME?</v>
      </c>
    </row>
    <row r="1475" spans="1:20" x14ac:dyDescent="0.25">
      <c r="A1475" t="e">
        <f ca="1">BDP("59261A5F Muni","ID_CUSIP")</f>
        <v>#NAME?</v>
      </c>
      <c r="B1475" t="e">
        <f ca="1">BDP("59261A5F Muni","STATE_CODE")</f>
        <v>#NAME?</v>
      </c>
      <c r="C1475" t="s">
        <v>89</v>
      </c>
      <c r="D1475" t="e">
        <f ca="1">BDP("59261A5F Muni","YIELD_ON_ISSUE_DATE")</f>
        <v>#NAME?</v>
      </c>
      <c r="E1475">
        <v>33350000</v>
      </c>
      <c r="F1475" t="e">
        <f ca="1">BDP("59261A5F Muni","ISSUE_DT")</f>
        <v>#NAME?</v>
      </c>
      <c r="G1475" t="e">
        <f ca="1">BDP("59261A5F Muni","MATURITY")</f>
        <v>#NAME?</v>
      </c>
      <c r="H1475" t="e">
        <f ca="1">BDP("59261A5F Muni","MUNI_TAX_PROV")</f>
        <v>#NAME?</v>
      </c>
      <c r="I1475" t="e">
        <f ca="1">BDP("59261A5F Muni","FINANCING_TYPE")</f>
        <v>#NAME?</v>
      </c>
      <c r="J1475" t="e">
        <f ca="1">BDP("59261A5F Muni","BICS_LEVEL_2_INDUSTRY_GROUP_NAME")</f>
        <v>#NAME?</v>
      </c>
      <c r="K1475" t="e">
        <f ca="1">BDP("59261A5F Muni","SELF_REPRTD_GREEN_INSTR_INDCTR")</f>
        <v>#NAME?</v>
      </c>
      <c r="L1475" t="e">
        <f ca="1">BDP("59261A5F Muni","GB_MANAGEMENT_PROCEEDS")</f>
        <v>#NAME?</v>
      </c>
      <c r="M1475" t="e">
        <f ca="1">BDP("59261A5F Muni","GB_REPORTING")</f>
        <v>#NAME?</v>
      </c>
      <c r="N1475" t="e">
        <f ca="1">BDP("59261A5F Muni","GB_ASSURANCE_PROVIDERS")</f>
        <v>#NAME?</v>
      </c>
      <c r="O1475" t="e">
        <f ca="1">BDP("59261A5F Muni","GB_PROJECT_SELECTION_PROCESS")</f>
        <v>#NAME?</v>
      </c>
      <c r="P1475" t="e">
        <f ca="1">BDP("59261A5F Muni","ESG_FRAMEWORK_INDICATOR")</f>
        <v>#NAME?</v>
      </c>
      <c r="Q1475" t="e">
        <f ca="1">BDP("59261A5F Muni","BLOOMBERG_SECTOR_CODE")</f>
        <v>#NAME?</v>
      </c>
      <c r="R1475" t="e">
        <f ca="1">BDP("59261A5F Muni","ISSUER_TYPE")</f>
        <v>#NAME?</v>
      </c>
      <c r="S1475" t="e">
        <f ca="1">BDS("59261A5F Muni","ESG_PROJECT_CATEGORY", "aggregate=y")</f>
        <v>#NAME?</v>
      </c>
      <c r="T1475" t="e">
        <f ca="1">BDS("59261A5F Muni","ESG_PROJECT_SUBCATEGORY", "aggregate=y")</f>
        <v>#NAME?</v>
      </c>
    </row>
    <row r="1476" spans="1:20" x14ac:dyDescent="0.25">
      <c r="A1476" t="e">
        <f ca="1">BDP("64986DPQ Muni","ID_CUSIP")</f>
        <v>#NAME?</v>
      </c>
      <c r="B1476" t="e">
        <f ca="1">BDP("64986DPQ Muni","STATE_CODE")</f>
        <v>#NAME?</v>
      </c>
      <c r="C1476" t="s">
        <v>90</v>
      </c>
      <c r="D1476" t="e">
        <f ca="1">BDP("64986DPQ Muni","YIELD_ON_ISSUE_DATE")</f>
        <v>#NAME?</v>
      </c>
      <c r="E1476">
        <v>11210000</v>
      </c>
      <c r="F1476" t="e">
        <f ca="1">BDP("64986DPQ Muni","ISSUE_DT")</f>
        <v>#NAME?</v>
      </c>
      <c r="G1476" t="e">
        <f ca="1">BDP("64986DPQ Muni","MATURITY")</f>
        <v>#NAME?</v>
      </c>
      <c r="H1476" t="e">
        <f ca="1">BDP("64986DPQ Muni","MUNI_TAX_PROV")</f>
        <v>#NAME?</v>
      </c>
      <c r="I1476" t="e">
        <f ca="1">BDP("64986DPQ Muni","FINANCING_TYPE")</f>
        <v>#NAME?</v>
      </c>
      <c r="J1476" t="e">
        <f ca="1">BDP("64986DPQ Muni","BICS_LEVEL_2_INDUSTRY_GROUP_NAME")</f>
        <v>#NAME?</v>
      </c>
      <c r="K1476" t="e">
        <f ca="1">BDP("64986DPQ Muni","SELF_REPRTD_GREEN_INSTR_INDCTR")</f>
        <v>#NAME?</v>
      </c>
      <c r="L1476" t="e">
        <f ca="1">BDP("64986DPQ Muni","GB_MANAGEMENT_PROCEEDS")</f>
        <v>#NAME?</v>
      </c>
      <c r="M1476" t="e">
        <f ca="1">BDP("64986DPQ Muni","GB_REPORTING")</f>
        <v>#NAME?</v>
      </c>
      <c r="N1476" t="e">
        <f ca="1">BDP("64986DPQ Muni","GB_ASSURANCE_PROVIDERS")</f>
        <v>#NAME?</v>
      </c>
      <c r="O1476" t="e">
        <f ca="1">BDP("64986DPQ Muni","GB_PROJECT_SELECTION_PROCESS")</f>
        <v>#NAME?</v>
      </c>
      <c r="P1476" t="e">
        <f ca="1">BDP("64986DPQ Muni","ESG_FRAMEWORK_INDICATOR")</f>
        <v>#NAME?</v>
      </c>
      <c r="Q1476" t="e">
        <f ca="1">BDP("64986DPQ Muni","BLOOMBERG_SECTOR_CODE")</f>
        <v>#NAME?</v>
      </c>
      <c r="R1476" t="e">
        <f ca="1">BDP("64986DPQ Muni","ISSUER_TYPE")</f>
        <v>#NAME?</v>
      </c>
      <c r="S1476" t="e">
        <f ca="1">BDS("64986DPQ Muni","ESG_PROJECT_CATEGORY", "aggregate=y")</f>
        <v>#NAME?</v>
      </c>
      <c r="T1476" t="e">
        <f ca="1">BDS("64986DPQ Muni","ESG_PROJECT_SUBCATEGORY", "aggregate=y")</f>
        <v>#NAME?</v>
      </c>
    </row>
    <row r="1477" spans="1:20" x14ac:dyDescent="0.25">
      <c r="A1477" t="e">
        <f ca="1">BDP("59261A5V Muni","ID_CUSIP")</f>
        <v>#NAME?</v>
      </c>
      <c r="B1477" t="e">
        <f ca="1">BDP("59261A5V Muni","STATE_CODE")</f>
        <v>#NAME?</v>
      </c>
      <c r="C1477" t="s">
        <v>89</v>
      </c>
      <c r="D1477" t="e">
        <f ca="1">BDP("59261A5V Muni","YIELD_ON_ISSUE_DATE")</f>
        <v>#NAME?</v>
      </c>
      <c r="E1477">
        <v>199330000</v>
      </c>
      <c r="F1477" t="e">
        <f ca="1">BDP("59261A5V Muni","ISSUE_DT")</f>
        <v>#NAME?</v>
      </c>
      <c r="G1477" t="e">
        <f ca="1">BDP("59261A5V Muni","MATURITY")</f>
        <v>#NAME?</v>
      </c>
      <c r="H1477" t="e">
        <f ca="1">BDP("59261A5V Muni","MUNI_TAX_PROV")</f>
        <v>#NAME?</v>
      </c>
      <c r="I1477" t="e">
        <f ca="1">BDP("59261A5V Muni","FINANCING_TYPE")</f>
        <v>#NAME?</v>
      </c>
      <c r="J1477" t="e">
        <f ca="1">BDP("59261A5V Muni","BICS_LEVEL_2_INDUSTRY_GROUP_NAME")</f>
        <v>#NAME?</v>
      </c>
      <c r="K1477" t="e">
        <f ca="1">BDP("59261A5V Muni","SELF_REPRTD_GREEN_INSTR_INDCTR")</f>
        <v>#NAME?</v>
      </c>
      <c r="L1477" t="e">
        <f ca="1">BDP("59261A5V Muni","GB_MANAGEMENT_PROCEEDS")</f>
        <v>#NAME?</v>
      </c>
      <c r="M1477" t="e">
        <f ca="1">BDP("59261A5V Muni","GB_REPORTING")</f>
        <v>#NAME?</v>
      </c>
      <c r="N1477" t="e">
        <f ca="1">BDP("59261A5V Muni","GB_ASSURANCE_PROVIDERS")</f>
        <v>#NAME?</v>
      </c>
      <c r="O1477" t="e">
        <f ca="1">BDP("59261A5V Muni","GB_PROJECT_SELECTION_PROCESS")</f>
        <v>#NAME?</v>
      </c>
      <c r="P1477" t="e">
        <f ca="1">BDP("59261A5V Muni","ESG_FRAMEWORK_INDICATOR")</f>
        <v>#NAME?</v>
      </c>
      <c r="Q1477" t="e">
        <f ca="1">BDP("59261A5V Muni","BLOOMBERG_SECTOR_CODE")</f>
        <v>#NAME?</v>
      </c>
      <c r="R1477" t="e">
        <f ca="1">BDP("59261A5V Muni","ISSUER_TYPE")</f>
        <v>#NAME?</v>
      </c>
      <c r="S1477" t="e">
        <f ca="1">BDS("59261A5V Muni","ESG_PROJECT_CATEGORY", "aggregate=y")</f>
        <v>#NAME?</v>
      </c>
      <c r="T1477" t="e">
        <f ca="1">BDS("59261A5V Muni","ESG_PROJECT_SUBCATEGORY", "aggregate=y")</f>
        <v>#NAME?</v>
      </c>
    </row>
    <row r="1478" spans="1:20" x14ac:dyDescent="0.25">
      <c r="A1478" t="e">
        <f ca="1">BDP("64985H4K Muni","ID_CUSIP")</f>
        <v>#NAME?</v>
      </c>
      <c r="B1478" t="e">
        <f ca="1">BDP("64985H4K Muni","STATE_CODE")</f>
        <v>#NAME?</v>
      </c>
      <c r="C1478" t="s">
        <v>90</v>
      </c>
      <c r="D1478" t="e">
        <f ca="1">BDP("64985H4K Muni","YIELD_ON_ISSUE_DATE")</f>
        <v>#NAME?</v>
      </c>
      <c r="E1478">
        <v>22600000</v>
      </c>
      <c r="F1478" t="e">
        <f ca="1">BDP("64985H4K Muni","ISSUE_DT")</f>
        <v>#NAME?</v>
      </c>
      <c r="G1478" t="e">
        <f ca="1">BDP("64985H4K Muni","MATURITY")</f>
        <v>#NAME?</v>
      </c>
      <c r="H1478" t="e">
        <f ca="1">BDP("64985H4K Muni","MUNI_TAX_PROV")</f>
        <v>#NAME?</v>
      </c>
      <c r="I1478" t="e">
        <f ca="1">BDP("64985H4K Muni","FINANCING_TYPE")</f>
        <v>#NAME?</v>
      </c>
      <c r="J1478" t="e">
        <f ca="1">BDP("64985H4K Muni","BICS_LEVEL_2_INDUSTRY_GROUP_NAME")</f>
        <v>#NAME?</v>
      </c>
      <c r="K1478" t="e">
        <f ca="1">BDP("64985H4K Muni","SELF_REPRTD_GREEN_INSTR_INDCTR")</f>
        <v>#NAME?</v>
      </c>
      <c r="L1478" t="e">
        <f ca="1">BDP("64985H4K Muni","GB_MANAGEMENT_PROCEEDS")</f>
        <v>#NAME?</v>
      </c>
      <c r="M1478" t="e">
        <f ca="1">BDP("64985H4K Muni","GB_REPORTING")</f>
        <v>#NAME?</v>
      </c>
      <c r="N1478" t="e">
        <f ca="1">BDP("64985H4K Muni","GB_ASSURANCE_PROVIDERS")</f>
        <v>#NAME?</v>
      </c>
      <c r="O1478" t="e">
        <f ca="1">BDP("64985H4K Muni","GB_PROJECT_SELECTION_PROCESS")</f>
        <v>#NAME?</v>
      </c>
      <c r="P1478" t="e">
        <f ca="1">BDP("64985H4K Muni","ESG_FRAMEWORK_INDICATOR")</f>
        <v>#NAME?</v>
      </c>
      <c r="Q1478" t="e">
        <f ca="1">BDP("64985H4K Muni","BLOOMBERG_SECTOR_CODE")</f>
        <v>#NAME?</v>
      </c>
      <c r="R1478" t="e">
        <f ca="1">BDP("64985H4K Muni","ISSUER_TYPE")</f>
        <v>#NAME?</v>
      </c>
      <c r="S1478" t="e">
        <f ca="1">BDS("64985H4K Muni","ESG_PROJECT_CATEGORY", "aggregate=y")</f>
        <v>#NAME?</v>
      </c>
      <c r="T1478" t="e">
        <f ca="1">BDS("64985H4K Muni","ESG_PROJECT_SUBCATEGORY", "aggregate=y")</f>
        <v>#NAME?</v>
      </c>
    </row>
    <row r="1479" spans="1:20" x14ac:dyDescent="0.25">
      <c r="A1479" t="e">
        <f ca="1">BDP("59261A5E Muni","ID_CUSIP")</f>
        <v>#NAME?</v>
      </c>
      <c r="B1479" t="e">
        <f ca="1">BDP("59261A5E Muni","STATE_CODE")</f>
        <v>#NAME?</v>
      </c>
      <c r="C1479" t="s">
        <v>89</v>
      </c>
      <c r="D1479" t="e">
        <f ca="1">BDP("59261A5E Muni","YIELD_ON_ISSUE_DATE")</f>
        <v>#NAME?</v>
      </c>
      <c r="E1479">
        <v>10110000</v>
      </c>
      <c r="F1479" t="e">
        <f ca="1">BDP("59261A5E Muni","ISSUE_DT")</f>
        <v>#NAME?</v>
      </c>
      <c r="G1479" t="e">
        <f ca="1">BDP("59261A5E Muni","MATURITY")</f>
        <v>#NAME?</v>
      </c>
      <c r="H1479" t="e">
        <f ca="1">BDP("59261A5E Muni","MUNI_TAX_PROV")</f>
        <v>#NAME?</v>
      </c>
      <c r="I1479" t="e">
        <f ca="1">BDP("59261A5E Muni","FINANCING_TYPE")</f>
        <v>#NAME?</v>
      </c>
      <c r="J1479" t="e">
        <f ca="1">BDP("59261A5E Muni","BICS_LEVEL_2_INDUSTRY_GROUP_NAME")</f>
        <v>#NAME?</v>
      </c>
      <c r="K1479" t="e">
        <f ca="1">BDP("59261A5E Muni","SELF_REPRTD_GREEN_INSTR_INDCTR")</f>
        <v>#NAME?</v>
      </c>
      <c r="L1479" t="e">
        <f ca="1">BDP("59261A5E Muni","GB_MANAGEMENT_PROCEEDS")</f>
        <v>#NAME?</v>
      </c>
      <c r="M1479" t="e">
        <f ca="1">BDP("59261A5E Muni","GB_REPORTING")</f>
        <v>#NAME?</v>
      </c>
      <c r="N1479" t="e">
        <f ca="1">BDP("59261A5E Muni","GB_ASSURANCE_PROVIDERS")</f>
        <v>#NAME?</v>
      </c>
      <c r="O1479" t="e">
        <f ca="1">BDP("59261A5E Muni","GB_PROJECT_SELECTION_PROCESS")</f>
        <v>#NAME?</v>
      </c>
      <c r="P1479" t="e">
        <f ca="1">BDP("59261A5E Muni","ESG_FRAMEWORK_INDICATOR")</f>
        <v>#NAME?</v>
      </c>
      <c r="Q1479" t="e">
        <f ca="1">BDP("59261A5E Muni","BLOOMBERG_SECTOR_CODE")</f>
        <v>#NAME?</v>
      </c>
      <c r="R1479" t="e">
        <f ca="1">BDP("59261A5E Muni","ISSUER_TYPE")</f>
        <v>#NAME?</v>
      </c>
      <c r="S1479" t="e">
        <f ca="1">BDS("59261A5E Muni","ESG_PROJECT_CATEGORY", "aggregate=y")</f>
        <v>#NAME?</v>
      </c>
      <c r="T1479" t="e">
        <f ca="1">BDS("59261A5E Muni","ESG_PROJECT_SUBCATEGORY", "aggregate=y")</f>
        <v>#NAME?</v>
      </c>
    </row>
    <row r="1480" spans="1:20" x14ac:dyDescent="0.25">
      <c r="A1480" t="e">
        <f ca="1">BDP("650116JE Muni","ID_CUSIP")</f>
        <v>#NAME?</v>
      </c>
      <c r="B1480" t="e">
        <f ca="1">BDP("650116JE Muni","STATE_CODE")</f>
        <v>#NAME?</v>
      </c>
      <c r="C1480" t="s">
        <v>92</v>
      </c>
      <c r="D1480" t="e">
        <f ca="1">BDP("650116JE Muni","YIELD_ON_ISSUE_DATE")</f>
        <v>#NAME?</v>
      </c>
      <c r="E1480">
        <v>19195000</v>
      </c>
      <c r="F1480" t="e">
        <f ca="1">BDP("650116JE Muni","ISSUE_DT")</f>
        <v>#NAME?</v>
      </c>
      <c r="G1480" t="e">
        <f ca="1">BDP("650116JE Muni","MATURITY")</f>
        <v>#NAME?</v>
      </c>
      <c r="H1480" t="e">
        <f ca="1">BDP("650116JE Muni","MUNI_TAX_PROV")</f>
        <v>#NAME?</v>
      </c>
      <c r="I1480" t="e">
        <f ca="1">BDP("650116JE Muni","FINANCING_TYPE")</f>
        <v>#NAME?</v>
      </c>
      <c r="J1480" t="e">
        <f ca="1">BDP("650116JE Muni","BICS_LEVEL_2_INDUSTRY_GROUP_NAME")</f>
        <v>#NAME?</v>
      </c>
      <c r="K1480" t="e">
        <f ca="1">BDP("650116JE Muni","SELF_REPRTD_GREEN_INSTR_INDCTR")</f>
        <v>#NAME?</v>
      </c>
      <c r="L1480" t="e">
        <f ca="1">BDP("650116JE Muni","GB_MANAGEMENT_PROCEEDS")</f>
        <v>#NAME?</v>
      </c>
      <c r="M1480" t="e">
        <f ca="1">BDP("650116JE Muni","GB_REPORTING")</f>
        <v>#NAME?</v>
      </c>
      <c r="N1480" t="e">
        <f ca="1">BDP("650116JE Muni","GB_ASSURANCE_PROVIDERS")</f>
        <v>#NAME?</v>
      </c>
      <c r="O1480" t="e">
        <f ca="1">BDP("650116JE Muni","GB_PROJECT_SELECTION_PROCESS")</f>
        <v>#NAME?</v>
      </c>
      <c r="P1480" t="e">
        <f ca="1">BDP("650116JE Muni","ESG_FRAMEWORK_INDICATOR")</f>
        <v>#NAME?</v>
      </c>
      <c r="Q1480" t="e">
        <f ca="1">BDP("650116JE Muni","BLOOMBERG_SECTOR_CODE")</f>
        <v>#NAME?</v>
      </c>
      <c r="R1480" t="e">
        <f ca="1">BDP("650116JE Muni","ISSUER_TYPE")</f>
        <v>#NAME?</v>
      </c>
      <c r="S1480" t="e">
        <f ca="1">BDS("650116JE Muni","ESG_PROJECT_CATEGORY", "aggregate=y")</f>
        <v>#NAME?</v>
      </c>
      <c r="T1480" t="e">
        <f ca="1">BDS("650116JE Muni","ESG_PROJECT_SUBCATEGORY", "aggregate=y")</f>
        <v>#NAME?</v>
      </c>
    </row>
    <row r="1481" spans="1:20" x14ac:dyDescent="0.25">
      <c r="A1481" t="e">
        <f ca="1">BDP("59261A4Y Muni","ID_CUSIP")</f>
        <v>#NAME?</v>
      </c>
      <c r="B1481" t="e">
        <f ca="1">BDP("59261A4Y Muni","STATE_CODE")</f>
        <v>#NAME?</v>
      </c>
      <c r="C1481" t="s">
        <v>89</v>
      </c>
      <c r="D1481" t="e">
        <f ca="1">BDP("59261A4Y Muni","YIELD_ON_ISSUE_DATE")</f>
        <v>#NAME?</v>
      </c>
      <c r="E1481">
        <v>87270000</v>
      </c>
      <c r="F1481" t="e">
        <f ca="1">BDP("59261A4Y Muni","ISSUE_DT")</f>
        <v>#NAME?</v>
      </c>
      <c r="G1481" t="e">
        <f ca="1">BDP("59261A4Y Muni","MATURITY")</f>
        <v>#NAME?</v>
      </c>
      <c r="H1481" t="e">
        <f ca="1">BDP("59261A4Y Muni","MUNI_TAX_PROV")</f>
        <v>#NAME?</v>
      </c>
      <c r="I1481" t="e">
        <f ca="1">BDP("59261A4Y Muni","FINANCING_TYPE")</f>
        <v>#NAME?</v>
      </c>
      <c r="J1481" t="e">
        <f ca="1">BDP("59261A4Y Muni","BICS_LEVEL_2_INDUSTRY_GROUP_NAME")</f>
        <v>#NAME?</v>
      </c>
      <c r="K1481" t="e">
        <f ca="1">BDP("59261A4Y Muni","SELF_REPRTD_GREEN_INSTR_INDCTR")</f>
        <v>#NAME?</v>
      </c>
      <c r="L1481" t="e">
        <f ca="1">BDP("59261A4Y Muni","GB_MANAGEMENT_PROCEEDS")</f>
        <v>#NAME?</v>
      </c>
      <c r="M1481" t="e">
        <f ca="1">BDP("59261A4Y Muni","GB_REPORTING")</f>
        <v>#NAME?</v>
      </c>
      <c r="N1481" t="e">
        <f ca="1">BDP("59261A4Y Muni","GB_ASSURANCE_PROVIDERS")</f>
        <v>#NAME?</v>
      </c>
      <c r="O1481" t="e">
        <f ca="1">BDP("59261A4Y Muni","GB_PROJECT_SELECTION_PROCESS")</f>
        <v>#NAME?</v>
      </c>
      <c r="P1481" t="e">
        <f ca="1">BDP("59261A4Y Muni","ESG_FRAMEWORK_INDICATOR")</f>
        <v>#NAME?</v>
      </c>
      <c r="Q1481" t="e">
        <f ca="1">BDP("59261A4Y Muni","BLOOMBERG_SECTOR_CODE")</f>
        <v>#NAME?</v>
      </c>
      <c r="R1481" t="e">
        <f ca="1">BDP("59261A4Y Muni","ISSUER_TYPE")</f>
        <v>#NAME?</v>
      </c>
      <c r="S1481" t="e">
        <f ca="1">BDS("59261A4Y Muni","ESG_PROJECT_CATEGORY", "aggregate=y")</f>
        <v>#NAME?</v>
      </c>
      <c r="T1481" t="e">
        <f ca="1">BDS("59261A4Y Muni","ESG_PROJECT_SUBCATEGORY", "aggregate=y")</f>
        <v>#NAME?</v>
      </c>
    </row>
    <row r="1482" spans="1:20" x14ac:dyDescent="0.25">
      <c r="A1482" t="e">
        <f ca="1">BDP("59261A5B Muni","ID_CUSIP")</f>
        <v>#NAME?</v>
      </c>
      <c r="B1482" t="e">
        <f ca="1">BDP("59261A5B Muni","STATE_CODE")</f>
        <v>#NAME?</v>
      </c>
      <c r="C1482" t="s">
        <v>89</v>
      </c>
      <c r="D1482" t="e">
        <f ca="1">BDP("59261A5B Muni","YIELD_ON_ISSUE_DATE")</f>
        <v>#NAME?</v>
      </c>
      <c r="E1482">
        <v>46155000</v>
      </c>
      <c r="F1482" t="e">
        <f ca="1">BDP("59261A5B Muni","ISSUE_DT")</f>
        <v>#NAME?</v>
      </c>
      <c r="G1482" t="e">
        <f ca="1">BDP("59261A5B Muni","MATURITY")</f>
        <v>#NAME?</v>
      </c>
      <c r="H1482" t="e">
        <f ca="1">BDP("59261A5B Muni","MUNI_TAX_PROV")</f>
        <v>#NAME?</v>
      </c>
      <c r="I1482" t="e">
        <f ca="1">BDP("59261A5B Muni","FINANCING_TYPE")</f>
        <v>#NAME?</v>
      </c>
      <c r="J1482" t="e">
        <f ca="1">BDP("59261A5B Muni","BICS_LEVEL_2_INDUSTRY_GROUP_NAME")</f>
        <v>#NAME?</v>
      </c>
      <c r="K1482" t="e">
        <f ca="1">BDP("59261A5B Muni","SELF_REPRTD_GREEN_INSTR_INDCTR")</f>
        <v>#NAME?</v>
      </c>
      <c r="L1482" t="e">
        <f ca="1">BDP("59261A5B Muni","GB_MANAGEMENT_PROCEEDS")</f>
        <v>#NAME?</v>
      </c>
      <c r="M1482" t="e">
        <f ca="1">BDP("59261A5B Muni","GB_REPORTING")</f>
        <v>#NAME?</v>
      </c>
      <c r="N1482" t="e">
        <f ca="1">BDP("59261A5B Muni","GB_ASSURANCE_PROVIDERS")</f>
        <v>#NAME?</v>
      </c>
      <c r="O1482" t="e">
        <f ca="1">BDP("59261A5B Muni","GB_PROJECT_SELECTION_PROCESS")</f>
        <v>#NAME?</v>
      </c>
      <c r="P1482" t="e">
        <f ca="1">BDP("59261A5B Muni","ESG_FRAMEWORK_INDICATOR")</f>
        <v>#NAME?</v>
      </c>
      <c r="Q1482" t="e">
        <f ca="1">BDP("59261A5B Muni","BLOOMBERG_SECTOR_CODE")</f>
        <v>#NAME?</v>
      </c>
      <c r="R1482" t="e">
        <f ca="1">BDP("59261A5B Muni","ISSUER_TYPE")</f>
        <v>#NAME?</v>
      </c>
      <c r="S1482" t="e">
        <f ca="1">BDS("59261A5B Muni","ESG_PROJECT_CATEGORY", "aggregate=y")</f>
        <v>#NAME?</v>
      </c>
      <c r="T1482" t="e">
        <f ca="1">BDS("59261A5B Muni","ESG_PROJECT_SUBCATEGORY", "aggregate=y")</f>
        <v>#NAME?</v>
      </c>
    </row>
    <row r="1483" spans="1:20" x14ac:dyDescent="0.25">
      <c r="A1483" t="e">
        <f ca="1">BDP("59261A5G Muni","ID_CUSIP")</f>
        <v>#NAME?</v>
      </c>
      <c r="B1483" t="e">
        <f ca="1">BDP("59261A5G Muni","STATE_CODE")</f>
        <v>#NAME?</v>
      </c>
      <c r="C1483" t="s">
        <v>89</v>
      </c>
      <c r="D1483" t="e">
        <f ca="1">BDP("59261A5G Muni","YIELD_ON_ISSUE_DATE")</f>
        <v>#NAME?</v>
      </c>
      <c r="E1483">
        <v>67545000</v>
      </c>
      <c r="F1483" t="e">
        <f ca="1">BDP("59261A5G Muni","ISSUE_DT")</f>
        <v>#NAME?</v>
      </c>
      <c r="G1483" t="e">
        <f ca="1">BDP("59261A5G Muni","MATURITY")</f>
        <v>#NAME?</v>
      </c>
      <c r="H1483" t="e">
        <f ca="1">BDP("59261A5G Muni","MUNI_TAX_PROV")</f>
        <v>#NAME?</v>
      </c>
      <c r="I1483" t="e">
        <f ca="1">BDP("59261A5G Muni","FINANCING_TYPE")</f>
        <v>#NAME?</v>
      </c>
      <c r="J1483" t="e">
        <f ca="1">BDP("59261A5G Muni","BICS_LEVEL_2_INDUSTRY_GROUP_NAME")</f>
        <v>#NAME?</v>
      </c>
      <c r="K1483" t="e">
        <f ca="1">BDP("59261A5G Muni","SELF_REPRTD_GREEN_INSTR_INDCTR")</f>
        <v>#NAME?</v>
      </c>
      <c r="L1483" t="e">
        <f ca="1">BDP("59261A5G Muni","GB_MANAGEMENT_PROCEEDS")</f>
        <v>#NAME?</v>
      </c>
      <c r="M1483" t="e">
        <f ca="1">BDP("59261A5G Muni","GB_REPORTING")</f>
        <v>#NAME?</v>
      </c>
      <c r="N1483" t="e">
        <f ca="1">BDP("59261A5G Muni","GB_ASSURANCE_PROVIDERS")</f>
        <v>#NAME?</v>
      </c>
      <c r="O1483" t="e">
        <f ca="1">BDP("59261A5G Muni","GB_PROJECT_SELECTION_PROCESS")</f>
        <v>#NAME?</v>
      </c>
      <c r="P1483" t="e">
        <f ca="1">BDP("59261A5G Muni","ESG_FRAMEWORK_INDICATOR")</f>
        <v>#NAME?</v>
      </c>
      <c r="Q1483" t="e">
        <f ca="1">BDP("59261A5G Muni","BLOOMBERG_SECTOR_CODE")</f>
        <v>#NAME?</v>
      </c>
      <c r="R1483" t="e">
        <f ca="1">BDP("59261A5G Muni","ISSUER_TYPE")</f>
        <v>#NAME?</v>
      </c>
      <c r="S1483" t="e">
        <f ca="1">BDS("59261A5G Muni","ESG_PROJECT_CATEGORY", "aggregate=y")</f>
        <v>#NAME?</v>
      </c>
      <c r="T1483" t="e">
        <f ca="1">BDS("59261A5G Muni","ESG_PROJECT_SUBCATEGORY", "aggregate=y")</f>
        <v>#NAME?</v>
      </c>
    </row>
    <row r="1484" spans="1:20" x14ac:dyDescent="0.25">
      <c r="A1484" t="e">
        <f ca="1">BDP("91802RJK Muni","ID_CUSIP")</f>
        <v>#NAME?</v>
      </c>
      <c r="B1484" t="e">
        <f ca="1">BDP("91802RJK Muni","STATE_CODE")</f>
        <v>#NAME?</v>
      </c>
      <c r="C1484" t="s">
        <v>87</v>
      </c>
      <c r="D1484" t="e">
        <f ca="1">BDP("91802RJK Muni","YIELD_ON_ISSUE_DATE")</f>
        <v>#NAME?</v>
      </c>
      <c r="E1484">
        <v>17835000</v>
      </c>
      <c r="F1484" t="e">
        <f ca="1">BDP("91802RJK Muni","ISSUE_DT")</f>
        <v>#NAME?</v>
      </c>
      <c r="G1484" t="e">
        <f ca="1">BDP("91802RJK Muni","MATURITY")</f>
        <v>#NAME?</v>
      </c>
      <c r="H1484" t="e">
        <f ca="1">BDP("91802RJK Muni","MUNI_TAX_PROV")</f>
        <v>#NAME?</v>
      </c>
      <c r="I1484" t="e">
        <f ca="1">BDP("91802RJK Muni","FINANCING_TYPE")</f>
        <v>#NAME?</v>
      </c>
      <c r="J1484" t="e">
        <f ca="1">BDP("91802RJK Muni","BICS_LEVEL_2_INDUSTRY_GROUP_NAME")</f>
        <v>#NAME?</v>
      </c>
      <c r="K1484" t="e">
        <f ca="1">BDP("91802RJK Muni","SELF_REPRTD_GREEN_INSTR_INDCTR")</f>
        <v>#NAME?</v>
      </c>
      <c r="L1484" t="e">
        <f ca="1">BDP("91802RJK Muni","GB_MANAGEMENT_PROCEEDS")</f>
        <v>#NAME?</v>
      </c>
      <c r="M1484" t="e">
        <f ca="1">BDP("91802RJK Muni","GB_REPORTING")</f>
        <v>#NAME?</v>
      </c>
      <c r="N1484" t="e">
        <f ca="1">BDP("91802RJK Muni","GB_ASSURANCE_PROVIDERS")</f>
        <v>#NAME?</v>
      </c>
      <c r="O1484" t="e">
        <f ca="1">BDP("91802RJK Muni","GB_PROJECT_SELECTION_PROCESS")</f>
        <v>#NAME?</v>
      </c>
      <c r="P1484" t="e">
        <f ca="1">BDP("91802RJK Muni","ESG_FRAMEWORK_INDICATOR")</f>
        <v>#NAME?</v>
      </c>
      <c r="Q1484" t="e">
        <f ca="1">BDP("91802RJK Muni","BLOOMBERG_SECTOR_CODE")</f>
        <v>#NAME?</v>
      </c>
      <c r="R1484" t="e">
        <f ca="1">BDP("91802RJK Muni","ISSUER_TYPE")</f>
        <v>#NAME?</v>
      </c>
      <c r="S1484" t="e">
        <f ca="1">BDS("91802RJK Muni","ESG_PROJECT_CATEGORY", "aggregate=y")</f>
        <v>#NAME?</v>
      </c>
      <c r="T1484" t="e">
        <f ca="1">BDS("91802RJK Muni","ESG_PROJECT_SUBCATEGORY", "aggregate=y")</f>
        <v>#NAME?</v>
      </c>
    </row>
    <row r="1485" spans="1:20" x14ac:dyDescent="0.25">
      <c r="A1485" t="e">
        <f ca="1">BDP("64986DPV Muni","ID_CUSIP")</f>
        <v>#NAME?</v>
      </c>
      <c r="B1485" t="e">
        <f ca="1">BDP("64986DPV Muni","STATE_CODE")</f>
        <v>#NAME?</v>
      </c>
      <c r="C1485" t="s">
        <v>90</v>
      </c>
      <c r="D1485" t="e">
        <f ca="1">BDP("64986DPV Muni","YIELD_ON_ISSUE_DATE")</f>
        <v>#NAME?</v>
      </c>
      <c r="E1485">
        <v>13380000</v>
      </c>
      <c r="F1485" t="e">
        <f ca="1">BDP("64986DPV Muni","ISSUE_DT")</f>
        <v>#NAME?</v>
      </c>
      <c r="G1485" t="e">
        <f ca="1">BDP("64986DPV Muni","MATURITY")</f>
        <v>#NAME?</v>
      </c>
      <c r="H1485" t="e">
        <f ca="1">BDP("64986DPV Muni","MUNI_TAX_PROV")</f>
        <v>#NAME?</v>
      </c>
      <c r="I1485" t="e">
        <f ca="1">BDP("64986DPV Muni","FINANCING_TYPE")</f>
        <v>#NAME?</v>
      </c>
      <c r="J1485" t="e">
        <f ca="1">BDP("64986DPV Muni","BICS_LEVEL_2_INDUSTRY_GROUP_NAME")</f>
        <v>#NAME?</v>
      </c>
      <c r="K1485" t="e">
        <f ca="1">BDP("64986DPV Muni","SELF_REPRTD_GREEN_INSTR_INDCTR")</f>
        <v>#NAME?</v>
      </c>
      <c r="L1485" t="e">
        <f ca="1">BDP("64986DPV Muni","GB_MANAGEMENT_PROCEEDS")</f>
        <v>#NAME?</v>
      </c>
      <c r="M1485" t="e">
        <f ca="1">BDP("64986DPV Muni","GB_REPORTING")</f>
        <v>#NAME?</v>
      </c>
      <c r="N1485" t="e">
        <f ca="1">BDP("64986DPV Muni","GB_ASSURANCE_PROVIDERS")</f>
        <v>#NAME?</v>
      </c>
      <c r="O1485" t="e">
        <f ca="1">BDP("64986DPV Muni","GB_PROJECT_SELECTION_PROCESS")</f>
        <v>#NAME?</v>
      </c>
      <c r="P1485" t="e">
        <f ca="1">BDP("64986DPV Muni","ESG_FRAMEWORK_INDICATOR")</f>
        <v>#NAME?</v>
      </c>
      <c r="Q1485" t="e">
        <f ca="1">BDP("64986DPV Muni","BLOOMBERG_SECTOR_CODE")</f>
        <v>#NAME?</v>
      </c>
      <c r="R1485" t="e">
        <f ca="1">BDP("64986DPV Muni","ISSUER_TYPE")</f>
        <v>#NAME?</v>
      </c>
      <c r="S1485" t="e">
        <f ca="1">BDS("64986DPV Muni","ESG_PROJECT_CATEGORY", "aggregate=y")</f>
        <v>#NAME?</v>
      </c>
      <c r="T1485" t="e">
        <f ca="1">BDS("64986DPV Muni","ESG_PROJECT_SUBCATEGORY", "aggregate=y")</f>
        <v>#NAME?</v>
      </c>
    </row>
    <row r="1486" spans="1:20" x14ac:dyDescent="0.25">
      <c r="A1486" t="e">
        <f ca="1">BDP("650116JC Muni","ID_CUSIP")</f>
        <v>#NAME?</v>
      </c>
      <c r="B1486" t="e">
        <f ca="1">BDP("650116JC Muni","STATE_CODE")</f>
        <v>#NAME?</v>
      </c>
      <c r="C1486" t="s">
        <v>92</v>
      </c>
      <c r="D1486" t="e">
        <f ca="1">BDP("650116JC Muni","YIELD_ON_ISSUE_DATE")</f>
        <v>#NAME?</v>
      </c>
      <c r="E1486">
        <v>10770000</v>
      </c>
      <c r="F1486" t="e">
        <f ca="1">BDP("650116JC Muni","ISSUE_DT")</f>
        <v>#NAME?</v>
      </c>
      <c r="G1486" t="e">
        <f ca="1">BDP("650116JC Muni","MATURITY")</f>
        <v>#NAME?</v>
      </c>
      <c r="H1486" t="e">
        <f ca="1">BDP("650116JC Muni","MUNI_TAX_PROV")</f>
        <v>#NAME?</v>
      </c>
      <c r="I1486" t="e">
        <f ca="1">BDP("650116JC Muni","FINANCING_TYPE")</f>
        <v>#NAME?</v>
      </c>
      <c r="J1486" t="e">
        <f ca="1">BDP("650116JC Muni","BICS_LEVEL_2_INDUSTRY_GROUP_NAME")</f>
        <v>#NAME?</v>
      </c>
      <c r="K1486" t="e">
        <f ca="1">BDP("650116JC Muni","SELF_REPRTD_GREEN_INSTR_INDCTR")</f>
        <v>#NAME?</v>
      </c>
      <c r="L1486" t="e">
        <f ca="1">BDP("650116JC Muni","GB_MANAGEMENT_PROCEEDS")</f>
        <v>#NAME?</v>
      </c>
      <c r="M1486" t="e">
        <f ca="1">BDP("650116JC Muni","GB_REPORTING")</f>
        <v>#NAME?</v>
      </c>
      <c r="N1486" t="e">
        <f ca="1">BDP("650116JC Muni","GB_ASSURANCE_PROVIDERS")</f>
        <v>#NAME?</v>
      </c>
      <c r="O1486" t="e">
        <f ca="1">BDP("650116JC Muni","GB_PROJECT_SELECTION_PROCESS")</f>
        <v>#NAME?</v>
      </c>
      <c r="P1486" t="e">
        <f ca="1">BDP("650116JC Muni","ESG_FRAMEWORK_INDICATOR")</f>
        <v>#NAME?</v>
      </c>
      <c r="Q1486" t="e">
        <f ca="1">BDP("650116JC Muni","BLOOMBERG_SECTOR_CODE")</f>
        <v>#NAME?</v>
      </c>
      <c r="R1486" t="e">
        <f ca="1">BDP("650116JC Muni","ISSUER_TYPE")</f>
        <v>#NAME?</v>
      </c>
      <c r="S1486" t="e">
        <f ca="1">BDS("650116JC Muni","ESG_PROJECT_CATEGORY", "aggregate=y")</f>
        <v>#NAME?</v>
      </c>
      <c r="T1486" t="e">
        <f ca="1">BDS("650116JC Muni","ESG_PROJECT_SUBCATEGORY", "aggregate=y")</f>
        <v>#NAME?</v>
      </c>
    </row>
    <row r="1487" spans="1:20" x14ac:dyDescent="0.25">
      <c r="A1487" t="e">
        <f ca="1">BDP("650116HZ Muni","ID_CUSIP")</f>
        <v>#NAME?</v>
      </c>
      <c r="B1487" t="e">
        <f ca="1">BDP("650116HZ Muni","STATE_CODE")</f>
        <v>#NAME?</v>
      </c>
      <c r="C1487" t="s">
        <v>92</v>
      </c>
      <c r="D1487" t="e">
        <f ca="1">BDP("650116HZ Muni","YIELD_ON_ISSUE_DATE")</f>
        <v>#NAME?</v>
      </c>
      <c r="E1487">
        <v>3310000</v>
      </c>
      <c r="F1487" t="e">
        <f ca="1">BDP("650116HZ Muni","ISSUE_DT")</f>
        <v>#NAME?</v>
      </c>
      <c r="G1487" t="e">
        <f ca="1">BDP("650116HZ Muni","MATURITY")</f>
        <v>#NAME?</v>
      </c>
      <c r="H1487" t="e">
        <f ca="1">BDP("650116HZ Muni","MUNI_TAX_PROV")</f>
        <v>#NAME?</v>
      </c>
      <c r="I1487" t="e">
        <f ca="1">BDP("650116HZ Muni","FINANCING_TYPE")</f>
        <v>#NAME?</v>
      </c>
      <c r="J1487" t="e">
        <f ca="1">BDP("650116HZ Muni","BICS_LEVEL_2_INDUSTRY_GROUP_NAME")</f>
        <v>#NAME?</v>
      </c>
      <c r="K1487" t="e">
        <f ca="1">BDP("650116HZ Muni","SELF_REPRTD_GREEN_INSTR_INDCTR")</f>
        <v>#NAME?</v>
      </c>
      <c r="L1487" t="e">
        <f ca="1">BDP("650116HZ Muni","GB_MANAGEMENT_PROCEEDS")</f>
        <v>#NAME?</v>
      </c>
      <c r="M1487" t="e">
        <f ca="1">BDP("650116HZ Muni","GB_REPORTING")</f>
        <v>#NAME?</v>
      </c>
      <c r="N1487" t="e">
        <f ca="1">BDP("650116HZ Muni","GB_ASSURANCE_PROVIDERS")</f>
        <v>#NAME?</v>
      </c>
      <c r="O1487" t="e">
        <f ca="1">BDP("650116HZ Muni","GB_PROJECT_SELECTION_PROCESS")</f>
        <v>#NAME?</v>
      </c>
      <c r="P1487" t="e">
        <f ca="1">BDP("650116HZ Muni","ESG_FRAMEWORK_INDICATOR")</f>
        <v>#NAME?</v>
      </c>
      <c r="Q1487" t="e">
        <f ca="1">BDP("650116HZ Muni","BLOOMBERG_SECTOR_CODE")</f>
        <v>#NAME?</v>
      </c>
      <c r="R1487" t="e">
        <f ca="1">BDP("650116HZ Muni","ISSUER_TYPE")</f>
        <v>#NAME?</v>
      </c>
      <c r="S1487" t="e">
        <f ca="1">BDS("650116HZ Muni","ESG_PROJECT_CATEGORY", "aggregate=y")</f>
        <v>#NAME?</v>
      </c>
      <c r="T1487" t="e">
        <f ca="1">BDS("650116HZ Muni","ESG_PROJECT_SUBCATEGORY", "aggregate=y")</f>
        <v>#NAME?</v>
      </c>
    </row>
    <row r="1488" spans="1:20" x14ac:dyDescent="0.25">
      <c r="A1488" t="e">
        <f ca="1">BDP("91802RJP Muni","ID_CUSIP")</f>
        <v>#NAME?</v>
      </c>
      <c r="B1488" t="e">
        <f ca="1">BDP("91802RJP Muni","STATE_CODE")</f>
        <v>#NAME?</v>
      </c>
      <c r="C1488" t="s">
        <v>87</v>
      </c>
      <c r="D1488" t="e">
        <f ca="1">BDP("91802RJP Muni","YIELD_ON_ISSUE_DATE")</f>
        <v>#NAME?</v>
      </c>
      <c r="E1488">
        <v>21510000</v>
      </c>
      <c r="F1488" t="e">
        <f ca="1">BDP("91802RJP Muni","ISSUE_DT")</f>
        <v>#NAME?</v>
      </c>
      <c r="G1488" t="e">
        <f ca="1">BDP("91802RJP Muni","MATURITY")</f>
        <v>#NAME?</v>
      </c>
      <c r="H1488" t="e">
        <f ca="1">BDP("91802RJP Muni","MUNI_TAX_PROV")</f>
        <v>#NAME?</v>
      </c>
      <c r="I1488" t="e">
        <f ca="1">BDP("91802RJP Muni","FINANCING_TYPE")</f>
        <v>#NAME?</v>
      </c>
      <c r="J1488" t="e">
        <f ca="1">BDP("91802RJP Muni","BICS_LEVEL_2_INDUSTRY_GROUP_NAME")</f>
        <v>#NAME?</v>
      </c>
      <c r="K1488" t="e">
        <f ca="1">BDP("91802RJP Muni","SELF_REPRTD_GREEN_INSTR_INDCTR")</f>
        <v>#NAME?</v>
      </c>
      <c r="L1488" t="e">
        <f ca="1">BDP("91802RJP Muni","GB_MANAGEMENT_PROCEEDS")</f>
        <v>#NAME?</v>
      </c>
      <c r="M1488" t="e">
        <f ca="1">BDP("91802RJP Muni","GB_REPORTING")</f>
        <v>#NAME?</v>
      </c>
      <c r="N1488" t="e">
        <f ca="1">BDP("91802RJP Muni","GB_ASSURANCE_PROVIDERS")</f>
        <v>#NAME?</v>
      </c>
      <c r="O1488" t="e">
        <f ca="1">BDP("91802RJP Muni","GB_PROJECT_SELECTION_PROCESS")</f>
        <v>#NAME?</v>
      </c>
      <c r="P1488" t="e">
        <f ca="1">BDP("91802RJP Muni","ESG_FRAMEWORK_INDICATOR")</f>
        <v>#NAME?</v>
      </c>
      <c r="Q1488" t="e">
        <f ca="1">BDP("91802RJP Muni","BLOOMBERG_SECTOR_CODE")</f>
        <v>#NAME?</v>
      </c>
      <c r="R1488" t="e">
        <f ca="1">BDP("91802RJP Muni","ISSUER_TYPE")</f>
        <v>#NAME?</v>
      </c>
      <c r="S1488" t="e">
        <f ca="1">BDS("91802RJP Muni","ESG_PROJECT_CATEGORY", "aggregate=y")</f>
        <v>#NAME?</v>
      </c>
      <c r="T1488" t="e">
        <f ca="1">BDS("91802RJP Muni","ESG_PROJECT_SUBCATEGORY", "aggregate=y")</f>
        <v>#NAME?</v>
      </c>
    </row>
    <row r="1489" spans="1:20" x14ac:dyDescent="0.25">
      <c r="A1489" t="e">
        <f ca="1">BDP("59261A5Z Muni","ID_CUSIP")</f>
        <v>#NAME?</v>
      </c>
      <c r="B1489" t="e">
        <f ca="1">BDP("59261A5Z Muni","STATE_CODE")</f>
        <v>#NAME?</v>
      </c>
      <c r="C1489" t="s">
        <v>89</v>
      </c>
      <c r="D1489" t="e">
        <f ca="1">BDP("59261A5Z Muni","YIELD_ON_ISSUE_DATE")</f>
        <v>#NAME?</v>
      </c>
      <c r="E1489">
        <v>148570000</v>
      </c>
      <c r="F1489" t="e">
        <f ca="1">BDP("59261A5Z Muni","ISSUE_DT")</f>
        <v>#NAME?</v>
      </c>
      <c r="G1489" t="e">
        <f ca="1">BDP("59261A5Z Muni","MATURITY")</f>
        <v>#NAME?</v>
      </c>
      <c r="H1489" t="e">
        <f ca="1">BDP("59261A5Z Muni","MUNI_TAX_PROV")</f>
        <v>#NAME?</v>
      </c>
      <c r="I1489" t="e">
        <f ca="1">BDP("59261A5Z Muni","FINANCING_TYPE")</f>
        <v>#NAME?</v>
      </c>
      <c r="J1489" t="e">
        <f ca="1">BDP("59261A5Z Muni","BICS_LEVEL_2_INDUSTRY_GROUP_NAME")</f>
        <v>#NAME?</v>
      </c>
      <c r="K1489" t="e">
        <f ca="1">BDP("59261A5Z Muni","SELF_REPRTD_GREEN_INSTR_INDCTR")</f>
        <v>#NAME?</v>
      </c>
      <c r="L1489" t="e">
        <f ca="1">BDP("59261A5Z Muni","GB_MANAGEMENT_PROCEEDS")</f>
        <v>#NAME?</v>
      </c>
      <c r="M1489" t="e">
        <f ca="1">BDP("59261A5Z Muni","GB_REPORTING")</f>
        <v>#NAME?</v>
      </c>
      <c r="N1489" t="e">
        <f ca="1">BDP("59261A5Z Muni","GB_ASSURANCE_PROVIDERS")</f>
        <v>#NAME?</v>
      </c>
      <c r="O1489" t="e">
        <f ca="1">BDP("59261A5Z Muni","GB_PROJECT_SELECTION_PROCESS")</f>
        <v>#NAME?</v>
      </c>
      <c r="P1489" t="e">
        <f ca="1">BDP("59261A5Z Muni","ESG_FRAMEWORK_INDICATOR")</f>
        <v>#NAME?</v>
      </c>
      <c r="Q1489" t="e">
        <f ca="1">BDP("59261A5Z Muni","BLOOMBERG_SECTOR_CODE")</f>
        <v>#NAME?</v>
      </c>
      <c r="R1489" t="e">
        <f ca="1">BDP("59261A5Z Muni","ISSUER_TYPE")</f>
        <v>#NAME?</v>
      </c>
      <c r="S1489" t="e">
        <f ca="1">BDS("59261A5Z Muni","ESG_PROJECT_CATEGORY", "aggregate=y")</f>
        <v>#NAME?</v>
      </c>
      <c r="T1489" t="e">
        <f ca="1">BDS("59261A5Z Muni","ESG_PROJECT_SUBCATEGORY", "aggregate=y")</f>
        <v>#NAME?</v>
      </c>
    </row>
    <row r="1490" spans="1:20" x14ac:dyDescent="0.25">
      <c r="A1490" t="e">
        <f ca="1">BDP("64986DQE Muni","ID_CUSIP")</f>
        <v>#NAME?</v>
      </c>
      <c r="B1490" t="e">
        <f ca="1">BDP("64986DQE Muni","STATE_CODE")</f>
        <v>#NAME?</v>
      </c>
      <c r="C1490" t="s">
        <v>90</v>
      </c>
      <c r="D1490" t="e">
        <f ca="1">BDP("64986DQE Muni","YIELD_ON_ISSUE_DATE")</f>
        <v>#NAME?</v>
      </c>
      <c r="E1490">
        <v>13800000</v>
      </c>
      <c r="F1490" t="e">
        <f ca="1">BDP("64986DQE Muni","ISSUE_DT")</f>
        <v>#NAME?</v>
      </c>
      <c r="G1490" t="e">
        <f ca="1">BDP("64986DQE Muni","MATURITY")</f>
        <v>#NAME?</v>
      </c>
      <c r="H1490" t="e">
        <f ca="1">BDP("64986DQE Muni","MUNI_TAX_PROV")</f>
        <v>#NAME?</v>
      </c>
      <c r="I1490" t="e">
        <f ca="1">BDP("64986DQE Muni","FINANCING_TYPE")</f>
        <v>#NAME?</v>
      </c>
      <c r="J1490" t="e">
        <f ca="1">BDP("64986DQE Muni","BICS_LEVEL_2_INDUSTRY_GROUP_NAME")</f>
        <v>#NAME?</v>
      </c>
      <c r="K1490" t="e">
        <f ca="1">BDP("64986DQE Muni","SELF_REPRTD_GREEN_INSTR_INDCTR")</f>
        <v>#NAME?</v>
      </c>
      <c r="L1490" t="e">
        <f ca="1">BDP("64986DQE Muni","GB_MANAGEMENT_PROCEEDS")</f>
        <v>#NAME?</v>
      </c>
      <c r="M1490" t="e">
        <f ca="1">BDP("64986DQE Muni","GB_REPORTING")</f>
        <v>#NAME?</v>
      </c>
      <c r="N1490" t="e">
        <f ca="1">BDP("64986DQE Muni","GB_ASSURANCE_PROVIDERS")</f>
        <v>#NAME?</v>
      </c>
      <c r="O1490" t="e">
        <f ca="1">BDP("64986DQE Muni","GB_PROJECT_SELECTION_PROCESS")</f>
        <v>#NAME?</v>
      </c>
      <c r="P1490" t="e">
        <f ca="1">BDP("64986DQE Muni","ESG_FRAMEWORK_INDICATOR")</f>
        <v>#NAME?</v>
      </c>
      <c r="Q1490" t="e">
        <f ca="1">BDP("64986DQE Muni","BLOOMBERG_SECTOR_CODE")</f>
        <v>#NAME?</v>
      </c>
      <c r="R1490" t="e">
        <f ca="1">BDP("64986DQE Muni","ISSUER_TYPE")</f>
        <v>#NAME?</v>
      </c>
      <c r="S1490" t="e">
        <f ca="1">BDS("64986DQE Muni","ESG_PROJECT_CATEGORY", "aggregate=y")</f>
        <v>#NAME?</v>
      </c>
      <c r="T1490" t="e">
        <f ca="1">BDS("64986DQE Muni","ESG_PROJECT_SUBCATEGORY", "aggregate=y")</f>
        <v>#NAME?</v>
      </c>
    </row>
    <row r="1491" spans="1:20" x14ac:dyDescent="0.25">
      <c r="A1491" t="e">
        <f ca="1">BDP("59261A5T Muni","ID_CUSIP")</f>
        <v>#NAME?</v>
      </c>
      <c r="B1491" t="e">
        <f ca="1">BDP("59261A5T Muni","STATE_CODE")</f>
        <v>#NAME?</v>
      </c>
      <c r="C1491" t="s">
        <v>89</v>
      </c>
      <c r="D1491" t="e">
        <f ca="1">BDP("59261A5T Muni","YIELD_ON_ISSUE_DATE")</f>
        <v>#NAME?</v>
      </c>
      <c r="E1491">
        <v>110055000</v>
      </c>
      <c r="F1491" t="e">
        <f ca="1">BDP("59261A5T Muni","ISSUE_DT")</f>
        <v>#NAME?</v>
      </c>
      <c r="G1491" t="e">
        <f ca="1">BDP("59261A5T Muni","MATURITY")</f>
        <v>#NAME?</v>
      </c>
      <c r="H1491" t="e">
        <f ca="1">BDP("59261A5T Muni","MUNI_TAX_PROV")</f>
        <v>#NAME?</v>
      </c>
      <c r="I1491" t="e">
        <f ca="1">BDP("59261A5T Muni","FINANCING_TYPE")</f>
        <v>#NAME?</v>
      </c>
      <c r="J1491" t="e">
        <f ca="1">BDP("59261A5T Muni","BICS_LEVEL_2_INDUSTRY_GROUP_NAME")</f>
        <v>#NAME?</v>
      </c>
      <c r="K1491" t="e">
        <f ca="1">BDP("59261A5T Muni","SELF_REPRTD_GREEN_INSTR_INDCTR")</f>
        <v>#NAME?</v>
      </c>
      <c r="L1491" t="e">
        <f ca="1">BDP("59261A5T Muni","GB_MANAGEMENT_PROCEEDS")</f>
        <v>#NAME?</v>
      </c>
      <c r="M1491" t="e">
        <f ca="1">BDP("59261A5T Muni","GB_REPORTING")</f>
        <v>#NAME?</v>
      </c>
      <c r="N1491" t="e">
        <f ca="1">BDP("59261A5T Muni","GB_ASSURANCE_PROVIDERS")</f>
        <v>#NAME?</v>
      </c>
      <c r="O1491" t="e">
        <f ca="1">BDP("59261A5T Muni","GB_PROJECT_SELECTION_PROCESS")</f>
        <v>#NAME?</v>
      </c>
      <c r="P1491" t="e">
        <f ca="1">BDP("59261A5T Muni","ESG_FRAMEWORK_INDICATOR")</f>
        <v>#NAME?</v>
      </c>
      <c r="Q1491" t="e">
        <f ca="1">BDP("59261A5T Muni","BLOOMBERG_SECTOR_CODE")</f>
        <v>#NAME?</v>
      </c>
      <c r="R1491" t="e">
        <f ca="1">BDP("59261A5T Muni","ISSUER_TYPE")</f>
        <v>#NAME?</v>
      </c>
      <c r="S1491" t="e">
        <f ca="1">BDS("59261A5T Muni","ESG_PROJECT_CATEGORY", "aggregate=y")</f>
        <v>#NAME?</v>
      </c>
      <c r="T1491" t="e">
        <f ca="1">BDS("59261A5T Muni","ESG_PROJECT_SUBCATEGORY", "aggregate=y")</f>
        <v>#NAME?</v>
      </c>
    </row>
    <row r="1492" spans="1:20" x14ac:dyDescent="0.25">
      <c r="A1492" t="e">
        <f ca="1">BDP("64986DPT Muni","ID_CUSIP")</f>
        <v>#NAME?</v>
      </c>
      <c r="B1492" t="e">
        <f ca="1">BDP("64986DPT Muni","STATE_CODE")</f>
        <v>#NAME?</v>
      </c>
      <c r="C1492" t="s">
        <v>90</v>
      </c>
      <c r="D1492" t="e">
        <f ca="1">BDP("64986DPT Muni","YIELD_ON_ISSUE_DATE")</f>
        <v>#NAME?</v>
      </c>
      <c r="E1492">
        <v>12485000</v>
      </c>
      <c r="F1492" t="e">
        <f ca="1">BDP("64986DPT Muni","ISSUE_DT")</f>
        <v>#NAME?</v>
      </c>
      <c r="G1492" t="e">
        <f ca="1">BDP("64986DPT Muni","MATURITY")</f>
        <v>#NAME?</v>
      </c>
      <c r="H1492" t="e">
        <f ca="1">BDP("64986DPT Muni","MUNI_TAX_PROV")</f>
        <v>#NAME?</v>
      </c>
      <c r="I1492" t="e">
        <f ca="1">BDP("64986DPT Muni","FINANCING_TYPE")</f>
        <v>#NAME?</v>
      </c>
      <c r="J1492" t="e">
        <f ca="1">BDP("64986DPT Muni","BICS_LEVEL_2_INDUSTRY_GROUP_NAME")</f>
        <v>#NAME?</v>
      </c>
      <c r="K1492" t="e">
        <f ca="1">BDP("64986DPT Muni","SELF_REPRTD_GREEN_INSTR_INDCTR")</f>
        <v>#NAME?</v>
      </c>
      <c r="L1492" t="e">
        <f ca="1">BDP("64986DPT Muni","GB_MANAGEMENT_PROCEEDS")</f>
        <v>#NAME?</v>
      </c>
      <c r="M1492" t="e">
        <f ca="1">BDP("64986DPT Muni","GB_REPORTING")</f>
        <v>#NAME?</v>
      </c>
      <c r="N1492" t="e">
        <f ca="1">BDP("64986DPT Muni","GB_ASSURANCE_PROVIDERS")</f>
        <v>#NAME?</v>
      </c>
      <c r="O1492" t="e">
        <f ca="1">BDP("64986DPT Muni","GB_PROJECT_SELECTION_PROCESS")</f>
        <v>#NAME?</v>
      </c>
      <c r="P1492" t="e">
        <f ca="1">BDP("64986DPT Muni","ESG_FRAMEWORK_INDICATOR")</f>
        <v>#NAME?</v>
      </c>
      <c r="Q1492" t="e">
        <f ca="1">BDP("64986DPT Muni","BLOOMBERG_SECTOR_CODE")</f>
        <v>#NAME?</v>
      </c>
      <c r="R1492" t="e">
        <f ca="1">BDP("64986DPT Muni","ISSUER_TYPE")</f>
        <v>#NAME?</v>
      </c>
      <c r="S1492" t="e">
        <f ca="1">BDS("64986DPT Muni","ESG_PROJECT_CATEGORY", "aggregate=y")</f>
        <v>#NAME?</v>
      </c>
      <c r="T1492" t="e">
        <f ca="1">BDS("64986DPT Muni","ESG_PROJECT_SUBCATEGORY", "aggregate=y")</f>
        <v>#NAME?</v>
      </c>
    </row>
    <row r="1493" spans="1:20" x14ac:dyDescent="0.25">
      <c r="A1493" t="e">
        <f ca="1">BDP("64986DPU Muni","ID_CUSIP")</f>
        <v>#NAME?</v>
      </c>
      <c r="B1493" t="e">
        <f ca="1">BDP("64986DPU Muni","STATE_CODE")</f>
        <v>#NAME?</v>
      </c>
      <c r="C1493" t="s">
        <v>90</v>
      </c>
      <c r="D1493" t="e">
        <f ca="1">BDP("64986DPU Muni","YIELD_ON_ISSUE_DATE")</f>
        <v>#NAME?</v>
      </c>
      <c r="E1493">
        <v>12920000</v>
      </c>
      <c r="F1493" t="e">
        <f ca="1">BDP("64986DPU Muni","ISSUE_DT")</f>
        <v>#NAME?</v>
      </c>
      <c r="G1493" t="e">
        <f ca="1">BDP("64986DPU Muni","MATURITY")</f>
        <v>#NAME?</v>
      </c>
      <c r="H1493" t="e">
        <f ca="1">BDP("64986DPU Muni","MUNI_TAX_PROV")</f>
        <v>#NAME?</v>
      </c>
      <c r="I1493" t="e">
        <f ca="1">BDP("64986DPU Muni","FINANCING_TYPE")</f>
        <v>#NAME?</v>
      </c>
      <c r="J1493" t="e">
        <f ca="1">BDP("64986DPU Muni","BICS_LEVEL_2_INDUSTRY_GROUP_NAME")</f>
        <v>#NAME?</v>
      </c>
      <c r="K1493" t="e">
        <f ca="1">BDP("64986DPU Muni","SELF_REPRTD_GREEN_INSTR_INDCTR")</f>
        <v>#NAME?</v>
      </c>
      <c r="L1493" t="e">
        <f ca="1">BDP("64986DPU Muni","GB_MANAGEMENT_PROCEEDS")</f>
        <v>#NAME?</v>
      </c>
      <c r="M1493" t="e">
        <f ca="1">BDP("64986DPU Muni","GB_REPORTING")</f>
        <v>#NAME?</v>
      </c>
      <c r="N1493" t="e">
        <f ca="1">BDP("64986DPU Muni","GB_ASSURANCE_PROVIDERS")</f>
        <v>#NAME?</v>
      </c>
      <c r="O1493" t="e">
        <f ca="1">BDP("64986DPU Muni","GB_PROJECT_SELECTION_PROCESS")</f>
        <v>#NAME?</v>
      </c>
      <c r="P1493" t="e">
        <f ca="1">BDP("64986DPU Muni","ESG_FRAMEWORK_INDICATOR")</f>
        <v>#NAME?</v>
      </c>
      <c r="Q1493" t="e">
        <f ca="1">BDP("64986DPU Muni","BLOOMBERG_SECTOR_CODE")</f>
        <v>#NAME?</v>
      </c>
      <c r="R1493" t="e">
        <f ca="1">BDP("64986DPU Muni","ISSUER_TYPE")</f>
        <v>#NAME?</v>
      </c>
      <c r="S1493" t="e">
        <f ca="1">BDS("64986DPU Muni","ESG_PROJECT_CATEGORY", "aggregate=y")</f>
        <v>#NAME?</v>
      </c>
      <c r="T1493" t="e">
        <f ca="1">BDS("64986DPU Muni","ESG_PROJECT_SUBCATEGORY", "aggregate=y")</f>
        <v>#NAME?</v>
      </c>
    </row>
    <row r="1494" spans="1:20" x14ac:dyDescent="0.25">
      <c r="A1494" t="e">
        <f ca="1">BDP("64985H4F Muni","ID_CUSIP")</f>
        <v>#NAME?</v>
      </c>
      <c r="B1494" t="e">
        <f ca="1">BDP("64985H4F Muni","STATE_CODE")</f>
        <v>#NAME?</v>
      </c>
      <c r="C1494" t="s">
        <v>90</v>
      </c>
      <c r="D1494" t="e">
        <f ca="1">BDP("64985H4F Muni","YIELD_ON_ISSUE_DATE")</f>
        <v>#NAME?</v>
      </c>
      <c r="E1494">
        <v>4670000</v>
      </c>
      <c r="F1494" t="e">
        <f ca="1">BDP("64985H4F Muni","ISSUE_DT")</f>
        <v>#NAME?</v>
      </c>
      <c r="G1494" t="e">
        <f ca="1">BDP("64985H4F Muni","MATURITY")</f>
        <v>#NAME?</v>
      </c>
      <c r="H1494" t="e">
        <f ca="1">BDP("64985H4F Muni","MUNI_TAX_PROV")</f>
        <v>#NAME?</v>
      </c>
      <c r="I1494" t="e">
        <f ca="1">BDP("64985H4F Muni","FINANCING_TYPE")</f>
        <v>#NAME?</v>
      </c>
      <c r="J1494" t="e">
        <f ca="1">BDP("64985H4F Muni","BICS_LEVEL_2_INDUSTRY_GROUP_NAME")</f>
        <v>#NAME?</v>
      </c>
      <c r="K1494" t="e">
        <f ca="1">BDP("64985H4F Muni","SELF_REPRTD_GREEN_INSTR_INDCTR")</f>
        <v>#NAME?</v>
      </c>
      <c r="L1494" t="e">
        <f ca="1">BDP("64985H4F Muni","GB_MANAGEMENT_PROCEEDS")</f>
        <v>#NAME?</v>
      </c>
      <c r="M1494" t="e">
        <f ca="1">BDP("64985H4F Muni","GB_REPORTING")</f>
        <v>#NAME?</v>
      </c>
      <c r="N1494" t="e">
        <f ca="1">BDP("64985H4F Muni","GB_ASSURANCE_PROVIDERS")</f>
        <v>#NAME?</v>
      </c>
      <c r="O1494" t="e">
        <f ca="1">BDP("64985H4F Muni","GB_PROJECT_SELECTION_PROCESS")</f>
        <v>#NAME?</v>
      </c>
      <c r="P1494" t="e">
        <f ca="1">BDP("64985H4F Muni","ESG_FRAMEWORK_INDICATOR")</f>
        <v>#NAME?</v>
      </c>
      <c r="Q1494" t="e">
        <f ca="1">BDP("64985H4F Muni","BLOOMBERG_SECTOR_CODE")</f>
        <v>#NAME?</v>
      </c>
      <c r="R1494" t="e">
        <f ca="1">BDP("64985H4F Muni","ISSUER_TYPE")</f>
        <v>#NAME?</v>
      </c>
      <c r="S1494" t="e">
        <f ca="1">BDS("64985H4F Muni","ESG_PROJECT_CATEGORY", "aggregate=y")</f>
        <v>#NAME?</v>
      </c>
      <c r="T1494" t="e">
        <f ca="1">BDS("64985H4F Muni","ESG_PROJECT_SUBCATEGORY", "aggregate=y")</f>
        <v>#NAME?</v>
      </c>
    </row>
    <row r="1495" spans="1:20" x14ac:dyDescent="0.25">
      <c r="A1495" t="e">
        <f ca="1">BDP("64986DPM Muni","ID_CUSIP")</f>
        <v>#NAME?</v>
      </c>
      <c r="B1495" t="e">
        <f ca="1">BDP("64986DPM Muni","STATE_CODE")</f>
        <v>#NAME?</v>
      </c>
      <c r="C1495" t="s">
        <v>90</v>
      </c>
      <c r="D1495" t="e">
        <f ca="1">BDP("64986DPM Muni","YIELD_ON_ISSUE_DATE")</f>
        <v>#NAME?</v>
      </c>
      <c r="E1495">
        <v>10395000</v>
      </c>
      <c r="F1495" t="e">
        <f ca="1">BDP("64986DPM Muni","ISSUE_DT")</f>
        <v>#NAME?</v>
      </c>
      <c r="G1495" t="e">
        <f ca="1">BDP("64986DPM Muni","MATURITY")</f>
        <v>#NAME?</v>
      </c>
      <c r="H1495" t="e">
        <f ca="1">BDP("64986DPM Muni","MUNI_TAX_PROV")</f>
        <v>#NAME?</v>
      </c>
      <c r="I1495" t="e">
        <f ca="1">BDP("64986DPM Muni","FINANCING_TYPE")</f>
        <v>#NAME?</v>
      </c>
      <c r="J1495" t="e">
        <f ca="1">BDP("64986DPM Muni","BICS_LEVEL_2_INDUSTRY_GROUP_NAME")</f>
        <v>#NAME?</v>
      </c>
      <c r="K1495" t="e">
        <f ca="1">BDP("64986DPM Muni","SELF_REPRTD_GREEN_INSTR_INDCTR")</f>
        <v>#NAME?</v>
      </c>
      <c r="L1495" t="e">
        <f ca="1">BDP("64986DPM Muni","GB_MANAGEMENT_PROCEEDS")</f>
        <v>#NAME?</v>
      </c>
      <c r="M1495" t="e">
        <f ca="1">BDP("64986DPM Muni","GB_REPORTING")</f>
        <v>#NAME?</v>
      </c>
      <c r="N1495" t="e">
        <f ca="1">BDP("64986DPM Muni","GB_ASSURANCE_PROVIDERS")</f>
        <v>#NAME?</v>
      </c>
      <c r="O1495" t="e">
        <f ca="1">BDP("64986DPM Muni","GB_PROJECT_SELECTION_PROCESS")</f>
        <v>#NAME?</v>
      </c>
      <c r="P1495" t="e">
        <f ca="1">BDP("64986DPM Muni","ESG_FRAMEWORK_INDICATOR")</f>
        <v>#NAME?</v>
      </c>
      <c r="Q1495" t="e">
        <f ca="1">BDP("64986DPM Muni","BLOOMBERG_SECTOR_CODE")</f>
        <v>#NAME?</v>
      </c>
      <c r="R1495" t="e">
        <f ca="1">BDP("64986DPM Muni","ISSUER_TYPE")</f>
        <v>#NAME?</v>
      </c>
      <c r="S1495" t="e">
        <f ca="1">BDS("64986DPM Muni","ESG_PROJECT_CATEGORY", "aggregate=y")</f>
        <v>#NAME?</v>
      </c>
      <c r="T1495" t="e">
        <f ca="1">BDS("64986DPM Muni","ESG_PROJECT_SUBCATEGORY", "aggregate=y")</f>
        <v>#NAME?</v>
      </c>
    </row>
    <row r="1496" spans="1:20" x14ac:dyDescent="0.25">
      <c r="A1496" t="e">
        <f ca="1">BDP("59261A5W Muni","ID_CUSIP")</f>
        <v>#NAME?</v>
      </c>
      <c r="B1496" t="e">
        <f ca="1">BDP("59261A5W Muni","STATE_CODE")</f>
        <v>#NAME?</v>
      </c>
      <c r="C1496" t="s">
        <v>89</v>
      </c>
      <c r="D1496" t="e">
        <f ca="1">BDP("59261A5W Muni","YIELD_ON_ISSUE_DATE")</f>
        <v>#NAME?</v>
      </c>
      <c r="E1496">
        <v>202900000</v>
      </c>
      <c r="F1496" t="e">
        <f ca="1">BDP("59261A5W Muni","ISSUE_DT")</f>
        <v>#NAME?</v>
      </c>
      <c r="G1496" t="e">
        <f ca="1">BDP("59261A5W Muni","MATURITY")</f>
        <v>#NAME?</v>
      </c>
      <c r="H1496" t="e">
        <f ca="1">BDP("59261A5W Muni","MUNI_TAX_PROV")</f>
        <v>#NAME?</v>
      </c>
      <c r="I1496" t="e">
        <f ca="1">BDP("59261A5W Muni","FINANCING_TYPE")</f>
        <v>#NAME?</v>
      </c>
      <c r="J1496" t="e">
        <f ca="1">BDP("59261A5W Muni","BICS_LEVEL_2_INDUSTRY_GROUP_NAME")</f>
        <v>#NAME?</v>
      </c>
      <c r="K1496" t="e">
        <f ca="1">BDP("59261A5W Muni","SELF_REPRTD_GREEN_INSTR_INDCTR")</f>
        <v>#NAME?</v>
      </c>
      <c r="L1496" t="e">
        <f ca="1">BDP("59261A5W Muni","GB_MANAGEMENT_PROCEEDS")</f>
        <v>#NAME?</v>
      </c>
      <c r="M1496" t="e">
        <f ca="1">BDP("59261A5W Muni","GB_REPORTING")</f>
        <v>#NAME?</v>
      </c>
      <c r="N1496" t="e">
        <f ca="1">BDP("59261A5W Muni","GB_ASSURANCE_PROVIDERS")</f>
        <v>#NAME?</v>
      </c>
      <c r="O1496" t="e">
        <f ca="1">BDP("59261A5W Muni","GB_PROJECT_SELECTION_PROCESS")</f>
        <v>#NAME?</v>
      </c>
      <c r="P1496" t="e">
        <f ca="1">BDP("59261A5W Muni","ESG_FRAMEWORK_INDICATOR")</f>
        <v>#NAME?</v>
      </c>
      <c r="Q1496" t="e">
        <f ca="1">BDP("59261A5W Muni","BLOOMBERG_SECTOR_CODE")</f>
        <v>#NAME?</v>
      </c>
      <c r="R1496" t="e">
        <f ca="1">BDP("59261A5W Muni","ISSUER_TYPE")</f>
        <v>#NAME?</v>
      </c>
      <c r="S1496" t="e">
        <f ca="1">BDS("59261A5W Muni","ESG_PROJECT_CATEGORY", "aggregate=y")</f>
        <v>#NAME?</v>
      </c>
      <c r="T1496" t="e">
        <f ca="1">BDS("59261A5W Muni","ESG_PROJECT_SUBCATEGORY", "aggregate=y")</f>
        <v>#NAME?</v>
      </c>
    </row>
    <row r="1497" spans="1:20" x14ac:dyDescent="0.25">
      <c r="A1497" t="e">
        <f ca="1">BDP("59261A5Y Muni","ID_CUSIP")</f>
        <v>#NAME?</v>
      </c>
      <c r="B1497" t="e">
        <f ca="1">BDP("59261A5Y Muni","STATE_CODE")</f>
        <v>#NAME?</v>
      </c>
      <c r="C1497" t="s">
        <v>89</v>
      </c>
      <c r="D1497" t="e">
        <f ca="1">BDP("59261A5Y Muni","YIELD_ON_ISSUE_DATE")</f>
        <v>#NAME?</v>
      </c>
      <c r="E1497">
        <v>94310000</v>
      </c>
      <c r="F1497" t="e">
        <f ca="1">BDP("59261A5Y Muni","ISSUE_DT")</f>
        <v>#NAME?</v>
      </c>
      <c r="G1497" t="e">
        <f ca="1">BDP("59261A5Y Muni","MATURITY")</f>
        <v>#NAME?</v>
      </c>
      <c r="H1497" t="e">
        <f ca="1">BDP("59261A5Y Muni","MUNI_TAX_PROV")</f>
        <v>#NAME?</v>
      </c>
      <c r="I1497" t="e">
        <f ca="1">BDP("59261A5Y Muni","FINANCING_TYPE")</f>
        <v>#NAME?</v>
      </c>
      <c r="J1497" t="e">
        <f ca="1">BDP("59261A5Y Muni","BICS_LEVEL_2_INDUSTRY_GROUP_NAME")</f>
        <v>#NAME?</v>
      </c>
      <c r="K1497" t="e">
        <f ca="1">BDP("59261A5Y Muni","SELF_REPRTD_GREEN_INSTR_INDCTR")</f>
        <v>#NAME?</v>
      </c>
      <c r="L1497" t="e">
        <f ca="1">BDP("59261A5Y Muni","GB_MANAGEMENT_PROCEEDS")</f>
        <v>#NAME?</v>
      </c>
      <c r="M1497" t="e">
        <f ca="1">BDP("59261A5Y Muni","GB_REPORTING")</f>
        <v>#NAME?</v>
      </c>
      <c r="N1497" t="e">
        <f ca="1">BDP("59261A5Y Muni","GB_ASSURANCE_PROVIDERS")</f>
        <v>#NAME?</v>
      </c>
      <c r="O1497" t="e">
        <f ca="1">BDP("59261A5Y Muni","GB_PROJECT_SELECTION_PROCESS")</f>
        <v>#NAME?</v>
      </c>
      <c r="P1497" t="e">
        <f ca="1">BDP("59261A5Y Muni","ESG_FRAMEWORK_INDICATOR")</f>
        <v>#NAME?</v>
      </c>
      <c r="Q1497" t="e">
        <f ca="1">BDP("59261A5Y Muni","BLOOMBERG_SECTOR_CODE")</f>
        <v>#NAME?</v>
      </c>
      <c r="R1497" t="e">
        <f ca="1">BDP("59261A5Y Muni","ISSUER_TYPE")</f>
        <v>#NAME?</v>
      </c>
      <c r="S1497" t="e">
        <f ca="1">BDS("59261A5Y Muni","ESG_PROJECT_CATEGORY", "aggregate=y")</f>
        <v>#NAME?</v>
      </c>
      <c r="T1497" t="e">
        <f ca="1">BDS("59261A5Y Muni","ESG_PROJECT_SUBCATEGORY", "aggregate=y")</f>
        <v>#NAME?</v>
      </c>
    </row>
    <row r="1498" spans="1:20" x14ac:dyDescent="0.25">
      <c r="A1498" t="e">
        <f ca="1">BDP("64986DPW Muni","ID_CUSIP")</f>
        <v>#NAME?</v>
      </c>
      <c r="B1498" t="e">
        <f ca="1">BDP("64986DPW Muni","STATE_CODE")</f>
        <v>#NAME?</v>
      </c>
      <c r="C1498" t="s">
        <v>90</v>
      </c>
      <c r="D1498" t="e">
        <f ca="1">BDP("64986DPW Muni","YIELD_ON_ISSUE_DATE")</f>
        <v>#NAME?</v>
      </c>
      <c r="E1498">
        <v>13850000</v>
      </c>
      <c r="F1498" t="e">
        <f ca="1">BDP("64986DPW Muni","ISSUE_DT")</f>
        <v>#NAME?</v>
      </c>
      <c r="G1498" t="e">
        <f ca="1">BDP("64986DPW Muni","MATURITY")</f>
        <v>#NAME?</v>
      </c>
      <c r="H1498" t="e">
        <f ca="1">BDP("64986DPW Muni","MUNI_TAX_PROV")</f>
        <v>#NAME?</v>
      </c>
      <c r="I1498" t="e">
        <f ca="1">BDP("64986DPW Muni","FINANCING_TYPE")</f>
        <v>#NAME?</v>
      </c>
      <c r="J1498" t="e">
        <f ca="1">BDP("64986DPW Muni","BICS_LEVEL_2_INDUSTRY_GROUP_NAME")</f>
        <v>#NAME?</v>
      </c>
      <c r="K1498" t="e">
        <f ca="1">BDP("64986DPW Muni","SELF_REPRTD_GREEN_INSTR_INDCTR")</f>
        <v>#NAME?</v>
      </c>
      <c r="L1498" t="e">
        <f ca="1">BDP("64986DPW Muni","GB_MANAGEMENT_PROCEEDS")</f>
        <v>#NAME?</v>
      </c>
      <c r="M1498" t="e">
        <f ca="1">BDP("64986DPW Muni","GB_REPORTING")</f>
        <v>#NAME?</v>
      </c>
      <c r="N1498" t="e">
        <f ca="1">BDP("64986DPW Muni","GB_ASSURANCE_PROVIDERS")</f>
        <v>#NAME?</v>
      </c>
      <c r="O1498" t="e">
        <f ca="1">BDP("64986DPW Muni","GB_PROJECT_SELECTION_PROCESS")</f>
        <v>#NAME?</v>
      </c>
      <c r="P1498" t="e">
        <f ca="1">BDP("64986DPW Muni","ESG_FRAMEWORK_INDICATOR")</f>
        <v>#NAME?</v>
      </c>
      <c r="Q1498" t="e">
        <f ca="1">BDP("64986DPW Muni","BLOOMBERG_SECTOR_CODE")</f>
        <v>#NAME?</v>
      </c>
      <c r="R1498" t="e">
        <f ca="1">BDP("64986DPW Muni","ISSUER_TYPE")</f>
        <v>#NAME?</v>
      </c>
      <c r="S1498" t="e">
        <f ca="1">BDS("64986DPW Muni","ESG_PROJECT_CATEGORY", "aggregate=y")</f>
        <v>#NAME?</v>
      </c>
      <c r="T1498" t="e">
        <f ca="1">BDS("64986DPW Muni","ESG_PROJECT_SUBCATEGORY", "aggregate=y")</f>
        <v>#NAME?</v>
      </c>
    </row>
    <row r="1499" spans="1:20" x14ac:dyDescent="0.25">
      <c r="A1499" t="e">
        <f ca="1">BDP("650116JA Muni","ID_CUSIP")</f>
        <v>#NAME?</v>
      </c>
      <c r="B1499" t="e">
        <f ca="1">BDP("650116JA Muni","STATE_CODE")</f>
        <v>#NAME?</v>
      </c>
      <c r="C1499" t="s">
        <v>92</v>
      </c>
      <c r="D1499" t="e">
        <f ca="1">BDP("650116JA Muni","YIELD_ON_ISSUE_DATE")</f>
        <v>#NAME?</v>
      </c>
      <c r="E1499">
        <v>14980000</v>
      </c>
      <c r="F1499" t="e">
        <f ca="1">BDP("650116JA Muni","ISSUE_DT")</f>
        <v>#NAME?</v>
      </c>
      <c r="G1499" t="e">
        <f ca="1">BDP("650116JA Muni","MATURITY")</f>
        <v>#NAME?</v>
      </c>
      <c r="H1499" t="e">
        <f ca="1">BDP("650116JA Muni","MUNI_TAX_PROV")</f>
        <v>#NAME?</v>
      </c>
      <c r="I1499" t="e">
        <f ca="1">BDP("650116JA Muni","FINANCING_TYPE")</f>
        <v>#NAME?</v>
      </c>
      <c r="J1499" t="e">
        <f ca="1">BDP("650116JA Muni","BICS_LEVEL_2_INDUSTRY_GROUP_NAME")</f>
        <v>#NAME?</v>
      </c>
      <c r="K1499" t="e">
        <f ca="1">BDP("650116JA Muni","SELF_REPRTD_GREEN_INSTR_INDCTR")</f>
        <v>#NAME?</v>
      </c>
      <c r="L1499" t="e">
        <f ca="1">BDP("650116JA Muni","GB_MANAGEMENT_PROCEEDS")</f>
        <v>#NAME?</v>
      </c>
      <c r="M1499" t="e">
        <f ca="1">BDP("650116JA Muni","GB_REPORTING")</f>
        <v>#NAME?</v>
      </c>
      <c r="N1499" t="e">
        <f ca="1">BDP("650116JA Muni","GB_ASSURANCE_PROVIDERS")</f>
        <v>#NAME?</v>
      </c>
      <c r="O1499" t="e">
        <f ca="1">BDP("650116JA Muni","GB_PROJECT_SELECTION_PROCESS")</f>
        <v>#NAME?</v>
      </c>
      <c r="P1499" t="e">
        <f ca="1">BDP("650116JA Muni","ESG_FRAMEWORK_INDICATOR")</f>
        <v>#NAME?</v>
      </c>
      <c r="Q1499" t="e">
        <f ca="1">BDP("650116JA Muni","BLOOMBERG_SECTOR_CODE")</f>
        <v>#NAME?</v>
      </c>
      <c r="R1499" t="e">
        <f ca="1">BDP("650116JA Muni","ISSUER_TYPE")</f>
        <v>#NAME?</v>
      </c>
      <c r="S1499" t="e">
        <f ca="1">BDS("650116JA Muni","ESG_PROJECT_CATEGORY", "aggregate=y")</f>
        <v>#NAME?</v>
      </c>
      <c r="T1499" t="e">
        <f ca="1">BDS("650116JA Muni","ESG_PROJECT_SUBCATEGORY", "aggregate=y")</f>
        <v>#NAME?</v>
      </c>
    </row>
    <row r="1500" spans="1:20" x14ac:dyDescent="0.25">
      <c r="A1500" t="e">
        <f ca="1">BDP("59261A5X Muni","ID_CUSIP")</f>
        <v>#NAME?</v>
      </c>
      <c r="B1500" t="e">
        <f ca="1">BDP("59261A5X Muni","STATE_CODE")</f>
        <v>#NAME?</v>
      </c>
      <c r="C1500" t="s">
        <v>89</v>
      </c>
      <c r="D1500" t="e">
        <f ca="1">BDP("59261A5X Muni","YIELD_ON_ISSUE_DATE")</f>
        <v>#NAME?</v>
      </c>
      <c r="E1500">
        <v>64840000</v>
      </c>
      <c r="F1500" t="e">
        <f ca="1">BDP("59261A5X Muni","ISSUE_DT")</f>
        <v>#NAME?</v>
      </c>
      <c r="G1500" t="e">
        <f ca="1">BDP("59261A5X Muni","MATURITY")</f>
        <v>#NAME?</v>
      </c>
      <c r="H1500" t="e">
        <f ca="1">BDP("59261A5X Muni","MUNI_TAX_PROV")</f>
        <v>#NAME?</v>
      </c>
      <c r="I1500" t="e">
        <f ca="1">BDP("59261A5X Muni","FINANCING_TYPE")</f>
        <v>#NAME?</v>
      </c>
      <c r="J1500" t="e">
        <f ca="1">BDP("59261A5X Muni","BICS_LEVEL_2_INDUSTRY_GROUP_NAME")</f>
        <v>#NAME?</v>
      </c>
      <c r="K1500" t="e">
        <f ca="1">BDP("59261A5X Muni","SELF_REPRTD_GREEN_INSTR_INDCTR")</f>
        <v>#NAME?</v>
      </c>
      <c r="L1500" t="e">
        <f ca="1">BDP("59261A5X Muni","GB_MANAGEMENT_PROCEEDS")</f>
        <v>#NAME?</v>
      </c>
      <c r="M1500" t="e">
        <f ca="1">BDP("59261A5X Muni","GB_REPORTING")</f>
        <v>#NAME?</v>
      </c>
      <c r="N1500" t="e">
        <f ca="1">BDP("59261A5X Muni","GB_ASSURANCE_PROVIDERS")</f>
        <v>#NAME?</v>
      </c>
      <c r="O1500" t="e">
        <f ca="1">BDP("59261A5X Muni","GB_PROJECT_SELECTION_PROCESS")</f>
        <v>#NAME?</v>
      </c>
      <c r="P1500" t="e">
        <f ca="1">BDP("59261A5X Muni","ESG_FRAMEWORK_INDICATOR")</f>
        <v>#NAME?</v>
      </c>
      <c r="Q1500" t="e">
        <f ca="1">BDP("59261A5X Muni","BLOOMBERG_SECTOR_CODE")</f>
        <v>#NAME?</v>
      </c>
      <c r="R1500" t="e">
        <f ca="1">BDP("59261A5X Muni","ISSUER_TYPE")</f>
        <v>#NAME?</v>
      </c>
      <c r="S1500" t="e">
        <f ca="1">BDS("59261A5X Muni","ESG_PROJECT_CATEGORY", "aggregate=y")</f>
        <v>#NAME?</v>
      </c>
      <c r="T1500" t="e">
        <f ca="1">BDS("59261A5X Muni","ESG_PROJECT_SUBCATEGORY", "aggregate=y")</f>
        <v>#NAME?</v>
      </c>
    </row>
    <row r="1501" spans="1:20" x14ac:dyDescent="0.25">
      <c r="A1501" t="e">
        <f ca="1">BDP("88035M7Y Muni","ID_CUSIP")</f>
        <v>#NAME?</v>
      </c>
      <c r="B1501" t="e">
        <f ca="1">BDP("88035M7Y Muni","STATE_CODE")</f>
        <v>#NAME?</v>
      </c>
      <c r="C1501" t="s">
        <v>25</v>
      </c>
      <c r="D1501" t="e">
        <f ca="1">BDP("88035M7Y Muni","YIELD_ON_ISSUE_DATE")</f>
        <v>#NAME?</v>
      </c>
      <c r="E1501">
        <v>2015000</v>
      </c>
      <c r="F1501" t="e">
        <f ca="1">BDP("88035M7Y Muni","ISSUE_DT")</f>
        <v>#NAME?</v>
      </c>
      <c r="G1501" t="e">
        <f ca="1">BDP("88035M7Y Muni","MATURITY")</f>
        <v>#NAME?</v>
      </c>
      <c r="H1501" t="e">
        <f ca="1">BDP("88035M7Y Muni","MUNI_TAX_PROV")</f>
        <v>#NAME?</v>
      </c>
      <c r="I1501" t="e">
        <f ca="1">BDP("88035M7Y Muni","FINANCING_TYPE")</f>
        <v>#NAME?</v>
      </c>
      <c r="J1501" t="e">
        <f ca="1">BDP("88035M7Y Muni","BICS_LEVEL_2_INDUSTRY_GROUP_NAME")</f>
        <v>#NAME?</v>
      </c>
      <c r="K1501" t="e">
        <f ca="1">BDP("88035M7Y Muni","SELF_REPRTD_GREEN_INSTR_INDCTR")</f>
        <v>#NAME?</v>
      </c>
      <c r="L1501" t="e">
        <f ca="1">BDP("88035M7Y Muni","GB_MANAGEMENT_PROCEEDS")</f>
        <v>#NAME?</v>
      </c>
      <c r="M1501" t="e">
        <f ca="1">BDP("88035M7Y Muni","GB_REPORTING")</f>
        <v>#NAME?</v>
      </c>
      <c r="N1501" t="e">
        <f ca="1">BDP("88035M7Y Muni","GB_ASSURANCE_PROVIDERS")</f>
        <v>#NAME?</v>
      </c>
      <c r="O1501" t="e">
        <f ca="1">BDP("88035M7Y Muni","GB_PROJECT_SELECTION_PROCESS")</f>
        <v>#NAME?</v>
      </c>
      <c r="P1501" t="e">
        <f ca="1">BDP("88035M7Y Muni","ESG_FRAMEWORK_INDICATOR")</f>
        <v>#NAME?</v>
      </c>
      <c r="Q1501" t="e">
        <f ca="1">BDP("88035M7Y Muni","BLOOMBERG_SECTOR_CODE")</f>
        <v>#NAME?</v>
      </c>
      <c r="R1501" t="e">
        <f ca="1">BDP("88035M7Y Muni","ISSUER_TYPE")</f>
        <v>#NAME?</v>
      </c>
      <c r="S1501" t="e">
        <f ca="1">BDS("88035M7Y Muni","ESG_PROJECT_CATEGORY", "aggregate=y")</f>
        <v>#NAME?</v>
      </c>
      <c r="T1501" t="e">
        <f ca="1">BDS("88035M7Y Muni","ESG_PROJECT_SUBCATEGORY", "aggregate=y")</f>
        <v>#NAME?</v>
      </c>
    </row>
    <row r="1502" spans="1:20" x14ac:dyDescent="0.25">
      <c r="A1502" t="e">
        <f ca="1">BDP("59261A4S Muni","ID_CUSIP")</f>
        <v>#NAME?</v>
      </c>
      <c r="B1502" t="e">
        <f ca="1">BDP("59261A4S Muni","STATE_CODE")</f>
        <v>#NAME?</v>
      </c>
      <c r="C1502" t="s">
        <v>89</v>
      </c>
      <c r="D1502" t="e">
        <f ca="1">BDP("59261A4S Muni","YIELD_ON_ISSUE_DATE")</f>
        <v>#NAME?</v>
      </c>
      <c r="E1502">
        <v>42745000</v>
      </c>
      <c r="F1502" t="e">
        <f ca="1">BDP("59261A4S Muni","ISSUE_DT")</f>
        <v>#NAME?</v>
      </c>
      <c r="G1502" t="e">
        <f ca="1">BDP("59261A4S Muni","MATURITY")</f>
        <v>#NAME?</v>
      </c>
      <c r="H1502" t="e">
        <f ca="1">BDP("59261A4S Muni","MUNI_TAX_PROV")</f>
        <v>#NAME?</v>
      </c>
      <c r="I1502" t="e">
        <f ca="1">BDP("59261A4S Muni","FINANCING_TYPE")</f>
        <v>#NAME?</v>
      </c>
      <c r="J1502" t="e">
        <f ca="1">BDP("59261A4S Muni","BICS_LEVEL_2_INDUSTRY_GROUP_NAME")</f>
        <v>#NAME?</v>
      </c>
      <c r="K1502" t="e">
        <f ca="1">BDP("59261A4S Muni","SELF_REPRTD_GREEN_INSTR_INDCTR")</f>
        <v>#NAME?</v>
      </c>
      <c r="L1502" t="e">
        <f ca="1">BDP("59261A4S Muni","GB_MANAGEMENT_PROCEEDS")</f>
        <v>#NAME?</v>
      </c>
      <c r="M1502" t="e">
        <f ca="1">BDP("59261A4S Muni","GB_REPORTING")</f>
        <v>#NAME?</v>
      </c>
      <c r="N1502" t="e">
        <f ca="1">BDP("59261A4S Muni","GB_ASSURANCE_PROVIDERS")</f>
        <v>#NAME?</v>
      </c>
      <c r="O1502" t="e">
        <f ca="1">BDP("59261A4S Muni","GB_PROJECT_SELECTION_PROCESS")</f>
        <v>#NAME?</v>
      </c>
      <c r="P1502" t="e">
        <f ca="1">BDP("59261A4S Muni","ESG_FRAMEWORK_INDICATOR")</f>
        <v>#NAME?</v>
      </c>
      <c r="Q1502" t="e">
        <f ca="1">BDP("59261A4S Muni","BLOOMBERG_SECTOR_CODE")</f>
        <v>#NAME?</v>
      </c>
      <c r="R1502" t="e">
        <f ca="1">BDP("59261A4S Muni","ISSUER_TYPE")</f>
        <v>#NAME?</v>
      </c>
      <c r="S1502" t="e">
        <f ca="1">BDS("59261A4S Muni","ESG_PROJECT_CATEGORY", "aggregate=y")</f>
        <v>#NAME?</v>
      </c>
      <c r="T1502" t="e">
        <f ca="1">BDS("59261A4S Muni","ESG_PROJECT_SUBCATEGORY", "aggregate=y")</f>
        <v>#NAME?</v>
      </c>
    </row>
    <row r="1503" spans="1:20" x14ac:dyDescent="0.25">
      <c r="A1503" t="e">
        <f ca="1">BDP("64986DPR Muni","ID_CUSIP")</f>
        <v>#NAME?</v>
      </c>
      <c r="B1503" t="e">
        <f ca="1">BDP("64986DPR Muni","STATE_CODE")</f>
        <v>#NAME?</v>
      </c>
      <c r="C1503" t="s">
        <v>90</v>
      </c>
      <c r="D1503" t="e">
        <f ca="1">BDP("64986DPR Muni","YIELD_ON_ISSUE_DATE")</f>
        <v>#NAME?</v>
      </c>
      <c r="E1503">
        <v>11620000</v>
      </c>
      <c r="F1503" t="e">
        <f ca="1">BDP("64986DPR Muni","ISSUE_DT")</f>
        <v>#NAME?</v>
      </c>
      <c r="G1503" t="e">
        <f ca="1">BDP("64986DPR Muni","MATURITY")</f>
        <v>#NAME?</v>
      </c>
      <c r="H1503" t="e">
        <f ca="1">BDP("64986DPR Muni","MUNI_TAX_PROV")</f>
        <v>#NAME?</v>
      </c>
      <c r="I1503" t="e">
        <f ca="1">BDP("64986DPR Muni","FINANCING_TYPE")</f>
        <v>#NAME?</v>
      </c>
      <c r="J1503" t="e">
        <f ca="1">BDP("64986DPR Muni","BICS_LEVEL_2_INDUSTRY_GROUP_NAME")</f>
        <v>#NAME?</v>
      </c>
      <c r="K1503" t="e">
        <f ca="1">BDP("64986DPR Muni","SELF_REPRTD_GREEN_INSTR_INDCTR")</f>
        <v>#NAME?</v>
      </c>
      <c r="L1503" t="e">
        <f ca="1">BDP("64986DPR Muni","GB_MANAGEMENT_PROCEEDS")</f>
        <v>#NAME?</v>
      </c>
      <c r="M1503" t="e">
        <f ca="1">BDP("64986DPR Muni","GB_REPORTING")</f>
        <v>#NAME?</v>
      </c>
      <c r="N1503" t="e">
        <f ca="1">BDP("64986DPR Muni","GB_ASSURANCE_PROVIDERS")</f>
        <v>#NAME?</v>
      </c>
      <c r="O1503" t="e">
        <f ca="1">BDP("64986DPR Muni","GB_PROJECT_SELECTION_PROCESS")</f>
        <v>#NAME?</v>
      </c>
      <c r="P1503" t="e">
        <f ca="1">BDP("64986DPR Muni","ESG_FRAMEWORK_INDICATOR")</f>
        <v>#NAME?</v>
      </c>
      <c r="Q1503" t="e">
        <f ca="1">BDP("64986DPR Muni","BLOOMBERG_SECTOR_CODE")</f>
        <v>#NAME?</v>
      </c>
      <c r="R1503" t="e">
        <f ca="1">BDP("64986DPR Muni","ISSUER_TYPE")</f>
        <v>#NAME?</v>
      </c>
      <c r="S1503" t="e">
        <f ca="1">BDS("64986DPR Muni","ESG_PROJECT_CATEGORY", "aggregate=y")</f>
        <v>#NAME?</v>
      </c>
      <c r="T1503" t="e">
        <f ca="1">BDS("64986DPR Muni","ESG_PROJECT_SUBCATEGORY", "aggregate=y")</f>
        <v>#NAME?</v>
      </c>
    </row>
    <row r="1504" spans="1:20" x14ac:dyDescent="0.25">
      <c r="A1504" t="e">
        <f ca="1">BDP("88035M7Z Muni","ID_CUSIP")</f>
        <v>#NAME?</v>
      </c>
      <c r="B1504" t="e">
        <f ca="1">BDP("88035M7Z Muni","STATE_CODE")</f>
        <v>#NAME?</v>
      </c>
      <c r="C1504" t="s">
        <v>25</v>
      </c>
      <c r="D1504" t="e">
        <f ca="1">BDP("88035M7Z Muni","YIELD_ON_ISSUE_DATE")</f>
        <v>#NAME?</v>
      </c>
      <c r="E1504">
        <v>1555000</v>
      </c>
      <c r="F1504" t="e">
        <f ca="1">BDP("88035M7Z Muni","ISSUE_DT")</f>
        <v>#NAME?</v>
      </c>
      <c r="G1504" t="e">
        <f ca="1">BDP("88035M7Z Muni","MATURITY")</f>
        <v>#NAME?</v>
      </c>
      <c r="H1504" t="e">
        <f ca="1">BDP("88035M7Z Muni","MUNI_TAX_PROV")</f>
        <v>#NAME?</v>
      </c>
      <c r="I1504" t="e">
        <f ca="1">BDP("88035M7Z Muni","FINANCING_TYPE")</f>
        <v>#NAME?</v>
      </c>
      <c r="J1504" t="e">
        <f ca="1">BDP("88035M7Z Muni","BICS_LEVEL_2_INDUSTRY_GROUP_NAME")</f>
        <v>#NAME?</v>
      </c>
      <c r="K1504" t="e">
        <f ca="1">BDP("88035M7Z Muni","SELF_REPRTD_GREEN_INSTR_INDCTR")</f>
        <v>#NAME?</v>
      </c>
      <c r="L1504" t="e">
        <f ca="1">BDP("88035M7Z Muni","GB_MANAGEMENT_PROCEEDS")</f>
        <v>#NAME?</v>
      </c>
      <c r="M1504" t="e">
        <f ca="1">BDP("88035M7Z Muni","GB_REPORTING")</f>
        <v>#NAME?</v>
      </c>
      <c r="N1504" t="e">
        <f ca="1">BDP("88035M7Z Muni","GB_ASSURANCE_PROVIDERS")</f>
        <v>#NAME?</v>
      </c>
      <c r="O1504" t="e">
        <f ca="1">BDP("88035M7Z Muni","GB_PROJECT_SELECTION_PROCESS")</f>
        <v>#NAME?</v>
      </c>
      <c r="P1504" t="e">
        <f ca="1">BDP("88035M7Z Muni","ESG_FRAMEWORK_INDICATOR")</f>
        <v>#NAME?</v>
      </c>
      <c r="Q1504" t="e">
        <f ca="1">BDP("88035M7Z Muni","BLOOMBERG_SECTOR_CODE")</f>
        <v>#NAME?</v>
      </c>
      <c r="R1504" t="e">
        <f ca="1">BDP("88035M7Z Muni","ISSUER_TYPE")</f>
        <v>#NAME?</v>
      </c>
      <c r="S1504" t="e">
        <f ca="1">BDS("88035M7Z Muni","ESG_PROJECT_CATEGORY", "aggregate=y")</f>
        <v>#NAME?</v>
      </c>
      <c r="T1504" t="e">
        <f ca="1">BDS("88035M7Z Muni","ESG_PROJECT_SUBCATEGORY", "aggregate=y")</f>
        <v>#NAME?</v>
      </c>
    </row>
    <row r="1505" spans="1:20" x14ac:dyDescent="0.25">
      <c r="A1505" t="e">
        <f ca="1">BDP("64985H3S Muni","ID_CUSIP")</f>
        <v>#NAME?</v>
      </c>
      <c r="B1505" t="e">
        <f ca="1">BDP("64985H3S Muni","STATE_CODE")</f>
        <v>#NAME?</v>
      </c>
      <c r="C1505" t="s">
        <v>90</v>
      </c>
      <c r="D1505" t="e">
        <f ca="1">BDP("64985H3S Muni","YIELD_ON_ISSUE_DATE")</f>
        <v>#NAME?</v>
      </c>
      <c r="E1505">
        <v>2810000</v>
      </c>
      <c r="F1505" t="e">
        <f ca="1">BDP("64985H3S Muni","ISSUE_DT")</f>
        <v>#NAME?</v>
      </c>
      <c r="G1505" t="e">
        <f ca="1">BDP("64985H3S Muni","MATURITY")</f>
        <v>#NAME?</v>
      </c>
      <c r="H1505" t="e">
        <f ca="1">BDP("64985H3S Muni","MUNI_TAX_PROV")</f>
        <v>#NAME?</v>
      </c>
      <c r="I1505" t="e">
        <f ca="1">BDP("64985H3S Muni","FINANCING_TYPE")</f>
        <v>#NAME?</v>
      </c>
      <c r="J1505" t="e">
        <f ca="1">BDP("64985H3S Muni","BICS_LEVEL_2_INDUSTRY_GROUP_NAME")</f>
        <v>#NAME?</v>
      </c>
      <c r="K1505" t="e">
        <f ca="1">BDP("64985H3S Muni","SELF_REPRTD_GREEN_INSTR_INDCTR")</f>
        <v>#NAME?</v>
      </c>
      <c r="L1505" t="e">
        <f ca="1">BDP("64985H3S Muni","GB_MANAGEMENT_PROCEEDS")</f>
        <v>#NAME?</v>
      </c>
      <c r="M1505" t="e">
        <f ca="1">BDP("64985H3S Muni","GB_REPORTING")</f>
        <v>#NAME?</v>
      </c>
      <c r="N1505" t="e">
        <f ca="1">BDP("64985H3S Muni","GB_ASSURANCE_PROVIDERS")</f>
        <v>#NAME?</v>
      </c>
      <c r="O1505" t="e">
        <f ca="1">BDP("64985H3S Muni","GB_PROJECT_SELECTION_PROCESS")</f>
        <v>#NAME?</v>
      </c>
      <c r="P1505" t="e">
        <f ca="1">BDP("64985H3S Muni","ESG_FRAMEWORK_INDICATOR")</f>
        <v>#NAME?</v>
      </c>
      <c r="Q1505" t="e">
        <f ca="1">BDP("64985H3S Muni","BLOOMBERG_SECTOR_CODE")</f>
        <v>#NAME?</v>
      </c>
      <c r="R1505" t="e">
        <f ca="1">BDP("64985H3S Muni","ISSUER_TYPE")</f>
        <v>#NAME?</v>
      </c>
      <c r="S1505" t="e">
        <f ca="1">BDS("64985H3S Muni","ESG_PROJECT_CATEGORY", "aggregate=y")</f>
        <v>#NAME?</v>
      </c>
      <c r="T1505" t="e">
        <f ca="1">BDS("64985H3S Muni","ESG_PROJECT_SUBCATEGORY", "aggregate=y")</f>
        <v>#NAME?</v>
      </c>
    </row>
    <row r="1506" spans="1:20" x14ac:dyDescent="0.25">
      <c r="A1506" t="e">
        <f ca="1">BDP("64985H4L Muni","ID_CUSIP")</f>
        <v>#NAME?</v>
      </c>
      <c r="B1506" t="e">
        <f ca="1">BDP("64985H4L Muni","STATE_CODE")</f>
        <v>#NAME?</v>
      </c>
      <c r="C1506" t="s">
        <v>90</v>
      </c>
      <c r="D1506" t="e">
        <f ca="1">BDP("64985H4L Muni","YIELD_ON_ISSUE_DATE")</f>
        <v>#NAME?</v>
      </c>
      <c r="E1506">
        <v>21055000</v>
      </c>
      <c r="F1506" t="e">
        <f ca="1">BDP("64985H4L Muni","ISSUE_DT")</f>
        <v>#NAME?</v>
      </c>
      <c r="G1506" t="e">
        <f ca="1">BDP("64985H4L Muni","MATURITY")</f>
        <v>#NAME?</v>
      </c>
      <c r="H1506" t="e">
        <f ca="1">BDP("64985H4L Muni","MUNI_TAX_PROV")</f>
        <v>#NAME?</v>
      </c>
      <c r="I1506" t="e">
        <f ca="1">BDP("64985H4L Muni","FINANCING_TYPE")</f>
        <v>#NAME?</v>
      </c>
      <c r="J1506" t="e">
        <f ca="1">BDP("64985H4L Muni","BICS_LEVEL_2_INDUSTRY_GROUP_NAME")</f>
        <v>#NAME?</v>
      </c>
      <c r="K1506" t="e">
        <f ca="1">BDP("64985H4L Muni","SELF_REPRTD_GREEN_INSTR_INDCTR")</f>
        <v>#NAME?</v>
      </c>
      <c r="L1506" t="e">
        <f ca="1">BDP("64985H4L Muni","GB_MANAGEMENT_PROCEEDS")</f>
        <v>#NAME?</v>
      </c>
      <c r="M1506" t="e">
        <f ca="1">BDP("64985H4L Muni","GB_REPORTING")</f>
        <v>#NAME?</v>
      </c>
      <c r="N1506" t="e">
        <f ca="1">BDP("64985H4L Muni","GB_ASSURANCE_PROVIDERS")</f>
        <v>#NAME?</v>
      </c>
      <c r="O1506" t="e">
        <f ca="1">BDP("64985H4L Muni","GB_PROJECT_SELECTION_PROCESS")</f>
        <v>#NAME?</v>
      </c>
      <c r="P1506" t="e">
        <f ca="1">BDP("64985H4L Muni","ESG_FRAMEWORK_INDICATOR")</f>
        <v>#NAME?</v>
      </c>
      <c r="Q1506" t="e">
        <f ca="1">BDP("64985H4L Muni","BLOOMBERG_SECTOR_CODE")</f>
        <v>#NAME?</v>
      </c>
      <c r="R1506" t="e">
        <f ca="1">BDP("64985H4L Muni","ISSUER_TYPE")</f>
        <v>#NAME?</v>
      </c>
      <c r="S1506" t="e">
        <f ca="1">BDS("64985H4L Muni","ESG_PROJECT_CATEGORY", "aggregate=y")</f>
        <v>#NAME?</v>
      </c>
      <c r="T1506" t="e">
        <f ca="1">BDS("64985H4L Muni","ESG_PROJECT_SUBCATEGORY", "aggregate=y")</f>
        <v>#NAME?</v>
      </c>
    </row>
    <row r="1507" spans="1:20" x14ac:dyDescent="0.25">
      <c r="A1507" t="e">
        <f ca="1">BDP("59261A4N Muni","ID_CUSIP")</f>
        <v>#NAME?</v>
      </c>
      <c r="B1507" t="e">
        <f ca="1">BDP("59261A4N Muni","STATE_CODE")</f>
        <v>#NAME?</v>
      </c>
      <c r="C1507" t="s">
        <v>89</v>
      </c>
      <c r="D1507" t="e">
        <f ca="1">BDP("59261A4N Muni","YIELD_ON_ISSUE_DATE")</f>
        <v>#NAME?</v>
      </c>
      <c r="E1507">
        <v>49410000</v>
      </c>
      <c r="F1507" t="e">
        <f ca="1">BDP("59261A4N Muni","ISSUE_DT")</f>
        <v>#NAME?</v>
      </c>
      <c r="G1507" t="e">
        <f ca="1">BDP("59261A4N Muni","MATURITY")</f>
        <v>#NAME?</v>
      </c>
      <c r="H1507" t="e">
        <f ca="1">BDP("59261A4N Muni","MUNI_TAX_PROV")</f>
        <v>#NAME?</v>
      </c>
      <c r="I1507" t="e">
        <f ca="1">BDP("59261A4N Muni","FINANCING_TYPE")</f>
        <v>#NAME?</v>
      </c>
      <c r="J1507" t="e">
        <f ca="1">BDP("59261A4N Muni","BICS_LEVEL_2_INDUSTRY_GROUP_NAME")</f>
        <v>#NAME?</v>
      </c>
      <c r="K1507" t="e">
        <f ca="1">BDP("59261A4N Muni","SELF_REPRTD_GREEN_INSTR_INDCTR")</f>
        <v>#NAME?</v>
      </c>
      <c r="L1507" t="e">
        <f ca="1">BDP("59261A4N Muni","GB_MANAGEMENT_PROCEEDS")</f>
        <v>#NAME?</v>
      </c>
      <c r="M1507" t="e">
        <f ca="1">BDP("59261A4N Muni","GB_REPORTING")</f>
        <v>#NAME?</v>
      </c>
      <c r="N1507" t="e">
        <f ca="1">BDP("59261A4N Muni","GB_ASSURANCE_PROVIDERS")</f>
        <v>#NAME?</v>
      </c>
      <c r="O1507" t="e">
        <f ca="1">BDP("59261A4N Muni","GB_PROJECT_SELECTION_PROCESS")</f>
        <v>#NAME?</v>
      </c>
      <c r="P1507" t="e">
        <f ca="1">BDP("59261A4N Muni","ESG_FRAMEWORK_INDICATOR")</f>
        <v>#NAME?</v>
      </c>
      <c r="Q1507" t="e">
        <f ca="1">BDP("59261A4N Muni","BLOOMBERG_SECTOR_CODE")</f>
        <v>#NAME?</v>
      </c>
      <c r="R1507" t="e">
        <f ca="1">BDP("59261A4N Muni","ISSUER_TYPE")</f>
        <v>#NAME?</v>
      </c>
      <c r="S1507" t="e">
        <f ca="1">BDS("59261A4N Muni","ESG_PROJECT_CATEGORY", "aggregate=y")</f>
        <v>#NAME?</v>
      </c>
      <c r="T1507" t="e">
        <f ca="1">BDS("59261A4N Muni","ESG_PROJECT_SUBCATEGORY", "aggregate=y")</f>
        <v>#NAME?</v>
      </c>
    </row>
    <row r="1508" spans="1:20" x14ac:dyDescent="0.25">
      <c r="A1508" t="e">
        <f ca="1">BDP("59261A4Z Muni","ID_CUSIP")</f>
        <v>#NAME?</v>
      </c>
      <c r="B1508" t="e">
        <f ca="1">BDP("59261A4Z Muni","STATE_CODE")</f>
        <v>#NAME?</v>
      </c>
      <c r="C1508" t="s">
        <v>89</v>
      </c>
      <c r="D1508" t="e">
        <f ca="1">BDP("59261A4Z Muni","YIELD_ON_ISSUE_DATE")</f>
        <v>#NAME?</v>
      </c>
      <c r="E1508">
        <v>41760000</v>
      </c>
      <c r="F1508" t="e">
        <f ca="1">BDP("59261A4Z Muni","ISSUE_DT")</f>
        <v>#NAME?</v>
      </c>
      <c r="G1508" t="e">
        <f ca="1">BDP("59261A4Z Muni","MATURITY")</f>
        <v>#NAME?</v>
      </c>
      <c r="H1508" t="e">
        <f ca="1">BDP("59261A4Z Muni","MUNI_TAX_PROV")</f>
        <v>#NAME?</v>
      </c>
      <c r="I1508" t="e">
        <f ca="1">BDP("59261A4Z Muni","FINANCING_TYPE")</f>
        <v>#NAME?</v>
      </c>
      <c r="J1508" t="e">
        <f ca="1">BDP("59261A4Z Muni","BICS_LEVEL_2_INDUSTRY_GROUP_NAME")</f>
        <v>#NAME?</v>
      </c>
      <c r="K1508" t="e">
        <f ca="1">BDP("59261A4Z Muni","SELF_REPRTD_GREEN_INSTR_INDCTR")</f>
        <v>#NAME?</v>
      </c>
      <c r="L1508" t="e">
        <f ca="1">BDP("59261A4Z Muni","GB_MANAGEMENT_PROCEEDS")</f>
        <v>#NAME?</v>
      </c>
      <c r="M1508" t="e">
        <f ca="1">BDP("59261A4Z Muni","GB_REPORTING")</f>
        <v>#NAME?</v>
      </c>
      <c r="N1508" t="e">
        <f ca="1">BDP("59261A4Z Muni","GB_ASSURANCE_PROVIDERS")</f>
        <v>#NAME?</v>
      </c>
      <c r="O1508" t="e">
        <f ca="1">BDP("59261A4Z Muni","GB_PROJECT_SELECTION_PROCESS")</f>
        <v>#NAME?</v>
      </c>
      <c r="P1508" t="e">
        <f ca="1">BDP("59261A4Z Muni","ESG_FRAMEWORK_INDICATOR")</f>
        <v>#NAME?</v>
      </c>
      <c r="Q1508" t="e">
        <f ca="1">BDP("59261A4Z Muni","BLOOMBERG_SECTOR_CODE")</f>
        <v>#NAME?</v>
      </c>
      <c r="R1508" t="e">
        <f ca="1">BDP("59261A4Z Muni","ISSUER_TYPE")</f>
        <v>#NAME?</v>
      </c>
      <c r="S1508" t="e">
        <f ca="1">BDS("59261A4Z Muni","ESG_PROJECT_CATEGORY", "aggregate=y")</f>
        <v>#NAME?</v>
      </c>
      <c r="T1508" t="e">
        <f ca="1">BDS("59261A4Z Muni","ESG_PROJECT_SUBCATEGORY", "aggregate=y")</f>
        <v>#NAME?</v>
      </c>
    </row>
    <row r="1509" spans="1:20" x14ac:dyDescent="0.25">
      <c r="A1509" t="e">
        <f ca="1">BDP("59261A4X Muni","ID_CUSIP")</f>
        <v>#NAME?</v>
      </c>
      <c r="B1509" t="e">
        <f ca="1">BDP("59261A4X Muni","STATE_CODE")</f>
        <v>#NAME?</v>
      </c>
      <c r="C1509" t="s">
        <v>89</v>
      </c>
      <c r="D1509" t="e">
        <f ca="1">BDP("59261A4X Muni","YIELD_ON_ISSUE_DATE")</f>
        <v>#NAME?</v>
      </c>
      <c r="E1509">
        <v>48030000</v>
      </c>
      <c r="F1509" t="e">
        <f ca="1">BDP("59261A4X Muni","ISSUE_DT")</f>
        <v>#NAME?</v>
      </c>
      <c r="G1509" t="e">
        <f ca="1">BDP("59261A4X Muni","MATURITY")</f>
        <v>#NAME?</v>
      </c>
      <c r="H1509" t="e">
        <f ca="1">BDP("59261A4X Muni","MUNI_TAX_PROV")</f>
        <v>#NAME?</v>
      </c>
      <c r="I1509" t="e">
        <f ca="1">BDP("59261A4X Muni","FINANCING_TYPE")</f>
        <v>#NAME?</v>
      </c>
      <c r="J1509" t="e">
        <f ca="1">BDP("59261A4X Muni","BICS_LEVEL_2_INDUSTRY_GROUP_NAME")</f>
        <v>#NAME?</v>
      </c>
      <c r="K1509" t="e">
        <f ca="1">BDP("59261A4X Muni","SELF_REPRTD_GREEN_INSTR_INDCTR")</f>
        <v>#NAME?</v>
      </c>
      <c r="L1509" t="e">
        <f ca="1">BDP("59261A4X Muni","GB_MANAGEMENT_PROCEEDS")</f>
        <v>#NAME?</v>
      </c>
      <c r="M1509" t="e">
        <f ca="1">BDP("59261A4X Muni","GB_REPORTING")</f>
        <v>#NAME?</v>
      </c>
      <c r="N1509" t="e">
        <f ca="1">BDP("59261A4X Muni","GB_ASSURANCE_PROVIDERS")</f>
        <v>#NAME?</v>
      </c>
      <c r="O1509" t="e">
        <f ca="1">BDP("59261A4X Muni","GB_PROJECT_SELECTION_PROCESS")</f>
        <v>#NAME?</v>
      </c>
      <c r="P1509" t="e">
        <f ca="1">BDP("59261A4X Muni","ESG_FRAMEWORK_INDICATOR")</f>
        <v>#NAME?</v>
      </c>
      <c r="Q1509" t="e">
        <f ca="1">BDP("59261A4X Muni","BLOOMBERG_SECTOR_CODE")</f>
        <v>#NAME?</v>
      </c>
      <c r="R1509" t="e">
        <f ca="1">BDP("59261A4X Muni","ISSUER_TYPE")</f>
        <v>#NAME?</v>
      </c>
      <c r="S1509" t="e">
        <f ca="1">BDS("59261A4X Muni","ESG_PROJECT_CATEGORY", "aggregate=y")</f>
        <v>#NAME?</v>
      </c>
      <c r="T1509" t="e">
        <f ca="1">BDS("59261A4X Muni","ESG_PROJECT_SUBCATEGORY", "aggregate=y")</f>
        <v>#NAME?</v>
      </c>
    </row>
    <row r="1510" spans="1:20" x14ac:dyDescent="0.25">
      <c r="A1510" t="e">
        <f ca="1">BDP("64986DQG Muni","ID_CUSIP")</f>
        <v>#NAME?</v>
      </c>
      <c r="B1510" t="e">
        <f ca="1">BDP("64986DQG Muni","STATE_CODE")</f>
        <v>#NAME?</v>
      </c>
      <c r="C1510" t="s">
        <v>90</v>
      </c>
      <c r="D1510" t="e">
        <f ca="1">BDP("64986DQG Muni","YIELD_ON_ISSUE_DATE")</f>
        <v>#NAME?</v>
      </c>
      <c r="E1510">
        <v>14975000</v>
      </c>
      <c r="F1510" t="e">
        <f ca="1">BDP("64986DQG Muni","ISSUE_DT")</f>
        <v>#NAME?</v>
      </c>
      <c r="G1510" t="e">
        <f ca="1">BDP("64986DQG Muni","MATURITY")</f>
        <v>#NAME?</v>
      </c>
      <c r="H1510" t="e">
        <f ca="1">BDP("64986DQG Muni","MUNI_TAX_PROV")</f>
        <v>#NAME?</v>
      </c>
      <c r="I1510" t="e">
        <f ca="1">BDP("64986DQG Muni","FINANCING_TYPE")</f>
        <v>#NAME?</v>
      </c>
      <c r="J1510" t="e">
        <f ca="1">BDP("64986DQG Muni","BICS_LEVEL_2_INDUSTRY_GROUP_NAME")</f>
        <v>#NAME?</v>
      </c>
      <c r="K1510" t="e">
        <f ca="1">BDP("64986DQG Muni","SELF_REPRTD_GREEN_INSTR_INDCTR")</f>
        <v>#NAME?</v>
      </c>
      <c r="L1510" t="e">
        <f ca="1">BDP("64986DQG Muni","GB_MANAGEMENT_PROCEEDS")</f>
        <v>#NAME?</v>
      </c>
      <c r="M1510" t="e">
        <f ca="1">BDP("64986DQG Muni","GB_REPORTING")</f>
        <v>#NAME?</v>
      </c>
      <c r="N1510" t="e">
        <f ca="1">BDP("64986DQG Muni","GB_ASSURANCE_PROVIDERS")</f>
        <v>#NAME?</v>
      </c>
      <c r="O1510" t="e">
        <f ca="1">BDP("64986DQG Muni","GB_PROJECT_SELECTION_PROCESS")</f>
        <v>#NAME?</v>
      </c>
      <c r="P1510" t="e">
        <f ca="1">BDP("64986DQG Muni","ESG_FRAMEWORK_INDICATOR")</f>
        <v>#NAME?</v>
      </c>
      <c r="Q1510" t="e">
        <f ca="1">BDP("64986DQG Muni","BLOOMBERG_SECTOR_CODE")</f>
        <v>#NAME?</v>
      </c>
      <c r="R1510" t="e">
        <f ca="1">BDP("64986DQG Muni","ISSUER_TYPE")</f>
        <v>#NAME?</v>
      </c>
      <c r="S1510" t="e">
        <f ca="1">BDS("64986DQG Muni","ESG_PROJECT_CATEGORY", "aggregate=y")</f>
        <v>#NAME?</v>
      </c>
      <c r="T1510" t="e">
        <f ca="1">BDS("64986DQG Muni","ESG_PROJECT_SUBCATEGORY", "aggregate=y")</f>
        <v>#NAME?</v>
      </c>
    </row>
    <row r="1511" spans="1:20" x14ac:dyDescent="0.25">
      <c r="A1511" t="e">
        <f ca="1">BDP("59261A6A Muni","ID_CUSIP")</f>
        <v>#NAME?</v>
      </c>
      <c r="B1511" t="e">
        <f ca="1">BDP("59261A6A Muni","STATE_CODE")</f>
        <v>#NAME?</v>
      </c>
      <c r="C1511" t="s">
        <v>89</v>
      </c>
      <c r="D1511" t="e">
        <f ca="1">BDP("59261A6A Muni","YIELD_ON_ISSUE_DATE")</f>
        <v>#NAME?</v>
      </c>
      <c r="E1511">
        <v>143015000</v>
      </c>
      <c r="F1511" t="e">
        <f ca="1">BDP("59261A6A Muni","ISSUE_DT")</f>
        <v>#NAME?</v>
      </c>
      <c r="G1511" t="e">
        <f ca="1">BDP("59261A6A Muni","MATURITY")</f>
        <v>#NAME?</v>
      </c>
      <c r="H1511" t="e">
        <f ca="1">BDP("59261A6A Muni","MUNI_TAX_PROV")</f>
        <v>#NAME?</v>
      </c>
      <c r="I1511" t="e">
        <f ca="1">BDP("59261A6A Muni","FINANCING_TYPE")</f>
        <v>#NAME?</v>
      </c>
      <c r="J1511" t="e">
        <f ca="1">BDP("59261A6A Muni","BICS_LEVEL_2_INDUSTRY_GROUP_NAME")</f>
        <v>#NAME?</v>
      </c>
      <c r="K1511" t="e">
        <f ca="1">BDP("59261A6A Muni","SELF_REPRTD_GREEN_INSTR_INDCTR")</f>
        <v>#NAME?</v>
      </c>
      <c r="L1511" t="e">
        <f ca="1">BDP("59261A6A Muni","GB_MANAGEMENT_PROCEEDS")</f>
        <v>#NAME?</v>
      </c>
      <c r="M1511" t="e">
        <f ca="1">BDP("59261A6A Muni","GB_REPORTING")</f>
        <v>#NAME?</v>
      </c>
      <c r="N1511" t="e">
        <f ca="1">BDP("59261A6A Muni","GB_ASSURANCE_PROVIDERS")</f>
        <v>#NAME?</v>
      </c>
      <c r="O1511" t="e">
        <f ca="1">BDP("59261A6A Muni","GB_PROJECT_SELECTION_PROCESS")</f>
        <v>#NAME?</v>
      </c>
      <c r="P1511" t="e">
        <f ca="1">BDP("59261A6A Muni","ESG_FRAMEWORK_INDICATOR")</f>
        <v>#NAME?</v>
      </c>
      <c r="Q1511" t="e">
        <f ca="1">BDP("59261A6A Muni","BLOOMBERG_SECTOR_CODE")</f>
        <v>#NAME?</v>
      </c>
      <c r="R1511" t="e">
        <f ca="1">BDP("59261A6A Muni","ISSUER_TYPE")</f>
        <v>#NAME?</v>
      </c>
      <c r="S1511" t="e">
        <f ca="1">BDS("59261A6A Muni","ESG_PROJECT_CATEGORY", "aggregate=y")</f>
        <v>#NAME?</v>
      </c>
      <c r="T1511" t="e">
        <f ca="1">BDS("59261A6A Muni","ESG_PROJECT_SUBCATEGORY", "aggregate=y")</f>
        <v>#NAME?</v>
      </c>
    </row>
    <row r="1512" spans="1:20" x14ac:dyDescent="0.25">
      <c r="A1512" t="e">
        <f ca="1">BDP("650116JD Muni","ID_CUSIP")</f>
        <v>#NAME?</v>
      </c>
      <c r="B1512" t="e">
        <f ca="1">BDP("650116JD Muni","STATE_CODE")</f>
        <v>#NAME?</v>
      </c>
      <c r="C1512" t="s">
        <v>92</v>
      </c>
      <c r="D1512" t="e">
        <f ca="1">BDP("650116JD Muni","YIELD_ON_ISSUE_DATE")</f>
        <v>#NAME?</v>
      </c>
      <c r="E1512">
        <v>9765000</v>
      </c>
      <c r="F1512" t="e">
        <f ca="1">BDP("650116JD Muni","ISSUE_DT")</f>
        <v>#NAME?</v>
      </c>
      <c r="G1512" t="e">
        <f ca="1">BDP("650116JD Muni","MATURITY")</f>
        <v>#NAME?</v>
      </c>
      <c r="H1512" t="e">
        <f ca="1">BDP("650116JD Muni","MUNI_TAX_PROV")</f>
        <v>#NAME?</v>
      </c>
      <c r="I1512" t="e">
        <f ca="1">BDP("650116JD Muni","FINANCING_TYPE")</f>
        <v>#NAME?</v>
      </c>
      <c r="J1512" t="e">
        <f ca="1">BDP("650116JD Muni","BICS_LEVEL_2_INDUSTRY_GROUP_NAME")</f>
        <v>#NAME?</v>
      </c>
      <c r="K1512" t="e">
        <f ca="1">BDP("650116JD Muni","SELF_REPRTD_GREEN_INSTR_INDCTR")</f>
        <v>#NAME?</v>
      </c>
      <c r="L1512" t="e">
        <f ca="1">BDP("650116JD Muni","GB_MANAGEMENT_PROCEEDS")</f>
        <v>#NAME?</v>
      </c>
      <c r="M1512" t="e">
        <f ca="1">BDP("650116JD Muni","GB_REPORTING")</f>
        <v>#NAME?</v>
      </c>
      <c r="N1512" t="e">
        <f ca="1">BDP("650116JD Muni","GB_ASSURANCE_PROVIDERS")</f>
        <v>#NAME?</v>
      </c>
      <c r="O1512" t="e">
        <f ca="1">BDP("650116JD Muni","GB_PROJECT_SELECTION_PROCESS")</f>
        <v>#NAME?</v>
      </c>
      <c r="P1512" t="e">
        <f ca="1">BDP("650116JD Muni","ESG_FRAMEWORK_INDICATOR")</f>
        <v>#NAME?</v>
      </c>
      <c r="Q1512" t="e">
        <f ca="1">BDP("650116JD Muni","BLOOMBERG_SECTOR_CODE")</f>
        <v>#NAME?</v>
      </c>
      <c r="R1512" t="e">
        <f ca="1">BDP("650116JD Muni","ISSUER_TYPE")</f>
        <v>#NAME?</v>
      </c>
      <c r="S1512" t="e">
        <f ca="1">BDS("650116JD Muni","ESG_PROJECT_CATEGORY", "aggregate=y")</f>
        <v>#NAME?</v>
      </c>
      <c r="T1512" t="e">
        <f ca="1">BDS("650116JD Muni","ESG_PROJECT_SUBCATEGORY", "aggregate=y")</f>
        <v>#NAME?</v>
      </c>
    </row>
    <row r="1513" spans="1:20" x14ac:dyDescent="0.25">
      <c r="A1513" t="e">
        <f ca="1">BDP("274767JL Muni","ID_CUSIP")</f>
        <v>#NAME?</v>
      </c>
      <c r="B1513" t="e">
        <f ca="1">BDP("274767JL Muni","STATE_CODE")</f>
        <v>#NAME?</v>
      </c>
      <c r="C1513" t="s">
        <v>88</v>
      </c>
      <c r="D1513" t="e">
        <f ca="1">BDP("274767JL Muni","YIELD_ON_ISSUE_DATE")</f>
        <v>#NAME?</v>
      </c>
      <c r="E1513">
        <v>285000</v>
      </c>
      <c r="F1513" t="e">
        <f ca="1">BDP("274767JL Muni","ISSUE_DT")</f>
        <v>#NAME?</v>
      </c>
      <c r="G1513" t="e">
        <f ca="1">BDP("274767JL Muni","MATURITY")</f>
        <v>#NAME?</v>
      </c>
      <c r="H1513" t="e">
        <f ca="1">BDP("274767JL Muni","MUNI_TAX_PROV")</f>
        <v>#NAME?</v>
      </c>
      <c r="I1513" t="e">
        <f ca="1">BDP("274767JL Muni","FINANCING_TYPE")</f>
        <v>#NAME?</v>
      </c>
      <c r="J1513" t="e">
        <f ca="1">BDP("274767JL Muni","BICS_LEVEL_2_INDUSTRY_GROUP_NAME")</f>
        <v>#NAME?</v>
      </c>
      <c r="K1513" t="e">
        <f ca="1">BDP("274767JL Muni","SELF_REPRTD_GREEN_INSTR_INDCTR")</f>
        <v>#NAME?</v>
      </c>
      <c r="L1513" t="e">
        <f ca="1">BDP("274767JL Muni","GB_MANAGEMENT_PROCEEDS")</f>
        <v>#NAME?</v>
      </c>
      <c r="M1513" t="e">
        <f ca="1">BDP("274767JL Muni","GB_REPORTING")</f>
        <v>#NAME?</v>
      </c>
      <c r="N1513" t="e">
        <f ca="1">BDP("274767JL Muni","GB_ASSURANCE_PROVIDERS")</f>
        <v>#NAME?</v>
      </c>
      <c r="O1513" t="e">
        <f ca="1">BDP("274767JL Muni","GB_PROJECT_SELECTION_PROCESS")</f>
        <v>#NAME?</v>
      </c>
      <c r="P1513" t="e">
        <f ca="1">BDP("274767JL Muni","ESG_FRAMEWORK_INDICATOR")</f>
        <v>#NAME?</v>
      </c>
      <c r="Q1513" t="e">
        <f ca="1">BDP("274767JL Muni","BLOOMBERG_SECTOR_CODE")</f>
        <v>#NAME?</v>
      </c>
      <c r="R1513" t="e">
        <f ca="1">BDP("274767JL Muni","ISSUER_TYPE")</f>
        <v>#NAME?</v>
      </c>
      <c r="S1513" t="e">
        <f ca="1">BDS("274767JL Muni","ESG_PROJECT_CATEGORY", "aggregate=y")</f>
        <v>#NAME?</v>
      </c>
      <c r="T1513" t="e">
        <f ca="1">BDS("274767JL Muni","ESG_PROJECT_SUBCATEGORY", "aggregate=y")</f>
        <v>#NAME?</v>
      </c>
    </row>
    <row r="1514" spans="1:20" x14ac:dyDescent="0.25">
      <c r="A1514" t="e">
        <f ca="1">BDP("59261A6E Muni","ID_CUSIP")</f>
        <v>#NAME?</v>
      </c>
      <c r="B1514" t="e">
        <f ca="1">BDP("59261A6E Muni","STATE_CODE")</f>
        <v>#NAME?</v>
      </c>
      <c r="C1514" t="s">
        <v>89</v>
      </c>
      <c r="D1514" t="e">
        <f ca="1">BDP("59261A6E Muni","YIELD_ON_ISSUE_DATE")</f>
        <v>#NAME?</v>
      </c>
      <c r="E1514">
        <v>48725000</v>
      </c>
      <c r="F1514" t="e">
        <f ca="1">BDP("59261A6E Muni","ISSUE_DT")</f>
        <v>#NAME?</v>
      </c>
      <c r="G1514" t="e">
        <f ca="1">BDP("59261A6E Muni","MATURITY")</f>
        <v>#NAME?</v>
      </c>
      <c r="H1514" t="e">
        <f ca="1">BDP("59261A6E Muni","MUNI_TAX_PROV")</f>
        <v>#NAME?</v>
      </c>
      <c r="I1514" t="e">
        <f ca="1">BDP("59261A6E Muni","FINANCING_TYPE")</f>
        <v>#NAME?</v>
      </c>
      <c r="J1514" t="e">
        <f ca="1">BDP("59261A6E Muni","BICS_LEVEL_2_INDUSTRY_GROUP_NAME")</f>
        <v>#NAME?</v>
      </c>
      <c r="K1514" t="e">
        <f ca="1">BDP("59261A6E Muni","SELF_REPRTD_GREEN_INSTR_INDCTR")</f>
        <v>#NAME?</v>
      </c>
      <c r="L1514" t="e">
        <f ca="1">BDP("59261A6E Muni","GB_MANAGEMENT_PROCEEDS")</f>
        <v>#NAME?</v>
      </c>
      <c r="M1514" t="e">
        <f ca="1">BDP("59261A6E Muni","GB_REPORTING")</f>
        <v>#NAME?</v>
      </c>
      <c r="N1514" t="e">
        <f ca="1">BDP("59261A6E Muni","GB_ASSURANCE_PROVIDERS")</f>
        <v>#NAME?</v>
      </c>
      <c r="O1514" t="e">
        <f ca="1">BDP("59261A6E Muni","GB_PROJECT_SELECTION_PROCESS")</f>
        <v>#NAME?</v>
      </c>
      <c r="P1514" t="e">
        <f ca="1">BDP("59261A6E Muni","ESG_FRAMEWORK_INDICATOR")</f>
        <v>#NAME?</v>
      </c>
      <c r="Q1514" t="e">
        <f ca="1">BDP("59261A6E Muni","BLOOMBERG_SECTOR_CODE")</f>
        <v>#NAME?</v>
      </c>
      <c r="R1514" t="e">
        <f ca="1">BDP("59261A6E Muni","ISSUER_TYPE")</f>
        <v>#NAME?</v>
      </c>
      <c r="S1514" t="e">
        <f ca="1">BDS("59261A6E Muni","ESG_PROJECT_CATEGORY", "aggregate=y")</f>
        <v>#NAME?</v>
      </c>
      <c r="T1514" t="e">
        <f ca="1">BDS("59261A6E Muni","ESG_PROJECT_SUBCATEGORY", "aggregate=y")</f>
        <v>#NAME?</v>
      </c>
    </row>
    <row r="1515" spans="1:20" x14ac:dyDescent="0.25">
      <c r="A1515" t="e">
        <f ca="1">BDP("916091KH Muni","ID_CUSIP")</f>
        <v>#NAME?</v>
      </c>
      <c r="B1515" t="e">
        <f ca="1">BDP("916091KH Muni","STATE_CODE")</f>
        <v>#NAME?</v>
      </c>
      <c r="C1515" t="s">
        <v>86</v>
      </c>
      <c r="D1515" t="e">
        <f ca="1">BDP("916091KH Muni","YIELD_ON_ISSUE_DATE")</f>
        <v>#NAME?</v>
      </c>
      <c r="E1515">
        <v>4510000</v>
      </c>
      <c r="F1515" t="e">
        <f ca="1">BDP("916091KH Muni","ISSUE_DT")</f>
        <v>#NAME?</v>
      </c>
      <c r="G1515" t="e">
        <f ca="1">BDP("916091KH Muni","MATURITY")</f>
        <v>#NAME?</v>
      </c>
      <c r="H1515" t="e">
        <f ca="1">BDP("916091KH Muni","MUNI_TAX_PROV")</f>
        <v>#NAME?</v>
      </c>
      <c r="I1515" t="e">
        <f ca="1">BDP("916091KH Muni","FINANCING_TYPE")</f>
        <v>#NAME?</v>
      </c>
      <c r="J1515" t="e">
        <f ca="1">BDP("916091KH Muni","BICS_LEVEL_2_INDUSTRY_GROUP_NAME")</f>
        <v>#NAME?</v>
      </c>
      <c r="K1515" t="e">
        <f ca="1">BDP("916091KH Muni","SELF_REPRTD_GREEN_INSTR_INDCTR")</f>
        <v>#NAME?</v>
      </c>
      <c r="L1515" t="e">
        <f ca="1">BDP("916091KH Muni","GB_MANAGEMENT_PROCEEDS")</f>
        <v>#NAME?</v>
      </c>
      <c r="M1515" t="e">
        <f ca="1">BDP("916091KH Muni","GB_REPORTING")</f>
        <v>#NAME?</v>
      </c>
      <c r="N1515" t="e">
        <f ca="1">BDP("916091KH Muni","GB_ASSURANCE_PROVIDERS")</f>
        <v>#NAME?</v>
      </c>
      <c r="O1515" t="e">
        <f ca="1">BDP("916091KH Muni","GB_PROJECT_SELECTION_PROCESS")</f>
        <v>#NAME?</v>
      </c>
      <c r="P1515" t="e">
        <f ca="1">BDP("916091KH Muni","ESG_FRAMEWORK_INDICATOR")</f>
        <v>#NAME?</v>
      </c>
      <c r="Q1515" t="e">
        <f ca="1">BDP("916091KH Muni","BLOOMBERG_SECTOR_CODE")</f>
        <v>#NAME?</v>
      </c>
      <c r="R1515" t="e">
        <f ca="1">BDP("916091KH Muni","ISSUER_TYPE")</f>
        <v>#NAME?</v>
      </c>
      <c r="S1515" t="e">
        <f ca="1">BDS("916091KH Muni","ESG_PROJECT_CATEGORY", "aggregate=y")</f>
        <v>#NAME?</v>
      </c>
      <c r="T1515" t="e">
        <f ca="1">BDS("916091KH Muni","ESG_PROJECT_SUBCATEGORY", "aggregate=y")</f>
        <v>#NAME?</v>
      </c>
    </row>
    <row r="1516" spans="1:20" x14ac:dyDescent="0.25">
      <c r="A1516" t="e">
        <f ca="1">BDP("59261A5R Muni","ID_CUSIP")</f>
        <v>#NAME?</v>
      </c>
      <c r="B1516" t="e">
        <f ca="1">BDP("59261A5R Muni","STATE_CODE")</f>
        <v>#NAME?</v>
      </c>
      <c r="C1516" t="s">
        <v>89</v>
      </c>
      <c r="D1516" t="e">
        <f ca="1">BDP("59261A5R Muni","YIELD_ON_ISSUE_DATE")</f>
        <v>#NAME?</v>
      </c>
      <c r="E1516">
        <v>56475000</v>
      </c>
      <c r="F1516" t="e">
        <f ca="1">BDP("59261A5R Muni","ISSUE_DT")</f>
        <v>#NAME?</v>
      </c>
      <c r="G1516" t="e">
        <f ca="1">BDP("59261A5R Muni","MATURITY")</f>
        <v>#NAME?</v>
      </c>
      <c r="H1516" t="e">
        <f ca="1">BDP("59261A5R Muni","MUNI_TAX_PROV")</f>
        <v>#NAME?</v>
      </c>
      <c r="I1516" t="e">
        <f ca="1">BDP("59261A5R Muni","FINANCING_TYPE")</f>
        <v>#NAME?</v>
      </c>
      <c r="J1516" t="e">
        <f ca="1">BDP("59261A5R Muni","BICS_LEVEL_2_INDUSTRY_GROUP_NAME")</f>
        <v>#NAME?</v>
      </c>
      <c r="K1516" t="e">
        <f ca="1">BDP("59261A5R Muni","SELF_REPRTD_GREEN_INSTR_INDCTR")</f>
        <v>#NAME?</v>
      </c>
      <c r="L1516" t="e">
        <f ca="1">BDP("59261A5R Muni","GB_MANAGEMENT_PROCEEDS")</f>
        <v>#NAME?</v>
      </c>
      <c r="M1516" t="e">
        <f ca="1">BDP("59261A5R Muni","GB_REPORTING")</f>
        <v>#NAME?</v>
      </c>
      <c r="N1516" t="e">
        <f ca="1">BDP("59261A5R Muni","GB_ASSURANCE_PROVIDERS")</f>
        <v>#NAME?</v>
      </c>
      <c r="O1516" t="e">
        <f ca="1">BDP("59261A5R Muni","GB_PROJECT_SELECTION_PROCESS")</f>
        <v>#NAME?</v>
      </c>
      <c r="P1516" t="e">
        <f ca="1">BDP("59261A5R Muni","ESG_FRAMEWORK_INDICATOR")</f>
        <v>#NAME?</v>
      </c>
      <c r="Q1516" t="e">
        <f ca="1">BDP("59261A5R Muni","BLOOMBERG_SECTOR_CODE")</f>
        <v>#NAME?</v>
      </c>
      <c r="R1516" t="e">
        <f ca="1">BDP("59261A5R Muni","ISSUER_TYPE")</f>
        <v>#NAME?</v>
      </c>
      <c r="S1516" t="e">
        <f ca="1">BDS("59261A5R Muni","ESG_PROJECT_CATEGORY", "aggregate=y")</f>
        <v>#NAME?</v>
      </c>
      <c r="T1516" t="e">
        <f ca="1">BDS("59261A5R Muni","ESG_PROJECT_SUBCATEGORY", "aggregate=y")</f>
        <v>#NAME?</v>
      </c>
    </row>
    <row r="1517" spans="1:20" x14ac:dyDescent="0.25">
      <c r="A1517" t="e">
        <f ca="1">BDP("64985H4E Muni","ID_CUSIP")</f>
        <v>#NAME?</v>
      </c>
      <c r="B1517" t="e">
        <f ca="1">BDP("64985H4E Muni","STATE_CODE")</f>
        <v>#NAME?</v>
      </c>
      <c r="C1517" t="s">
        <v>90</v>
      </c>
      <c r="D1517" t="e">
        <f ca="1">BDP("64985H4E Muni","YIELD_ON_ISSUE_DATE")</f>
        <v>#NAME?</v>
      </c>
      <c r="E1517">
        <v>4495000</v>
      </c>
      <c r="F1517" t="e">
        <f ca="1">BDP("64985H4E Muni","ISSUE_DT")</f>
        <v>#NAME?</v>
      </c>
      <c r="G1517" t="e">
        <f ca="1">BDP("64985H4E Muni","MATURITY")</f>
        <v>#NAME?</v>
      </c>
      <c r="H1517" t="e">
        <f ca="1">BDP("64985H4E Muni","MUNI_TAX_PROV")</f>
        <v>#NAME?</v>
      </c>
      <c r="I1517" t="e">
        <f ca="1">BDP("64985H4E Muni","FINANCING_TYPE")</f>
        <v>#NAME?</v>
      </c>
      <c r="J1517" t="e">
        <f ca="1">BDP("64985H4E Muni","BICS_LEVEL_2_INDUSTRY_GROUP_NAME")</f>
        <v>#NAME?</v>
      </c>
      <c r="K1517" t="e">
        <f ca="1">BDP("64985H4E Muni","SELF_REPRTD_GREEN_INSTR_INDCTR")</f>
        <v>#NAME?</v>
      </c>
      <c r="L1517" t="e">
        <f ca="1">BDP("64985H4E Muni","GB_MANAGEMENT_PROCEEDS")</f>
        <v>#NAME?</v>
      </c>
      <c r="M1517" t="e">
        <f ca="1">BDP("64985H4E Muni","GB_REPORTING")</f>
        <v>#NAME?</v>
      </c>
      <c r="N1517" t="e">
        <f ca="1">BDP("64985H4E Muni","GB_ASSURANCE_PROVIDERS")</f>
        <v>#NAME?</v>
      </c>
      <c r="O1517" t="e">
        <f ca="1">BDP("64985H4E Muni","GB_PROJECT_SELECTION_PROCESS")</f>
        <v>#NAME?</v>
      </c>
      <c r="P1517" t="e">
        <f ca="1">BDP("64985H4E Muni","ESG_FRAMEWORK_INDICATOR")</f>
        <v>#NAME?</v>
      </c>
      <c r="Q1517" t="e">
        <f ca="1">BDP("64985H4E Muni","BLOOMBERG_SECTOR_CODE")</f>
        <v>#NAME?</v>
      </c>
      <c r="R1517" t="e">
        <f ca="1">BDP("64985H4E Muni","ISSUER_TYPE")</f>
        <v>#NAME?</v>
      </c>
      <c r="S1517" t="e">
        <f ca="1">BDS("64985H4E Muni","ESG_PROJECT_CATEGORY", "aggregate=y")</f>
        <v>#NAME?</v>
      </c>
      <c r="T1517" t="e">
        <f ca="1">BDS("64985H4E Muni","ESG_PROJECT_SUBCATEGORY", "aggregate=y")</f>
        <v>#NAME?</v>
      </c>
    </row>
    <row r="1518" spans="1:20" x14ac:dyDescent="0.25">
      <c r="A1518" t="e">
        <f ca="1">BDP("64986DQB Muni","ID_CUSIP")</f>
        <v>#NAME?</v>
      </c>
      <c r="B1518" t="e">
        <f ca="1">BDP("64986DQB Muni","STATE_CODE")</f>
        <v>#NAME?</v>
      </c>
      <c r="C1518" t="s">
        <v>90</v>
      </c>
      <c r="D1518" t="e">
        <f ca="1">BDP("64986DQB Muni","YIELD_ON_ISSUE_DATE")</f>
        <v>#NAME?</v>
      </c>
      <c r="E1518">
        <v>12285000</v>
      </c>
      <c r="F1518" t="e">
        <f ca="1">BDP("64986DQB Muni","ISSUE_DT")</f>
        <v>#NAME?</v>
      </c>
      <c r="G1518" t="e">
        <f ca="1">BDP("64986DQB Muni","MATURITY")</f>
        <v>#NAME?</v>
      </c>
      <c r="H1518" t="e">
        <f ca="1">BDP("64986DQB Muni","MUNI_TAX_PROV")</f>
        <v>#NAME?</v>
      </c>
      <c r="I1518" t="e">
        <f ca="1">BDP("64986DQB Muni","FINANCING_TYPE")</f>
        <v>#NAME?</v>
      </c>
      <c r="J1518" t="e">
        <f ca="1">BDP("64986DQB Muni","BICS_LEVEL_2_INDUSTRY_GROUP_NAME")</f>
        <v>#NAME?</v>
      </c>
      <c r="K1518" t="e">
        <f ca="1">BDP("64986DQB Muni","SELF_REPRTD_GREEN_INSTR_INDCTR")</f>
        <v>#NAME?</v>
      </c>
      <c r="L1518" t="e">
        <f ca="1">BDP("64986DQB Muni","GB_MANAGEMENT_PROCEEDS")</f>
        <v>#NAME?</v>
      </c>
      <c r="M1518" t="e">
        <f ca="1">BDP("64986DQB Muni","GB_REPORTING")</f>
        <v>#NAME?</v>
      </c>
      <c r="N1518" t="e">
        <f ca="1">BDP("64986DQB Muni","GB_ASSURANCE_PROVIDERS")</f>
        <v>#NAME?</v>
      </c>
      <c r="O1518" t="e">
        <f ca="1">BDP("64986DQB Muni","GB_PROJECT_SELECTION_PROCESS")</f>
        <v>#NAME?</v>
      </c>
      <c r="P1518" t="e">
        <f ca="1">BDP("64986DQB Muni","ESG_FRAMEWORK_INDICATOR")</f>
        <v>#NAME?</v>
      </c>
      <c r="Q1518" t="e">
        <f ca="1">BDP("64986DQB Muni","BLOOMBERG_SECTOR_CODE")</f>
        <v>#NAME?</v>
      </c>
      <c r="R1518" t="e">
        <f ca="1">BDP("64986DQB Muni","ISSUER_TYPE")</f>
        <v>#NAME?</v>
      </c>
      <c r="S1518" t="e">
        <f ca="1">BDS("64986DQB Muni","ESG_PROJECT_CATEGORY", "aggregate=y")</f>
        <v>#NAME?</v>
      </c>
      <c r="T1518" t="e">
        <f ca="1">BDS("64986DQB Muni","ESG_PROJECT_SUBCATEGORY", "aggregate=y")</f>
        <v>#NAME?</v>
      </c>
    </row>
    <row r="1519" spans="1:20" x14ac:dyDescent="0.25">
      <c r="A1519" t="e">
        <f ca="1">BDP("88035MNX Muni","ID_CUSIP")</f>
        <v>#NAME?</v>
      </c>
      <c r="B1519" t="e">
        <f ca="1">BDP("88035MNX Muni","STATE_CODE")</f>
        <v>#NAME?</v>
      </c>
      <c r="C1519" t="s">
        <v>25</v>
      </c>
      <c r="D1519" t="e">
        <f ca="1">BDP("88035MNX Muni","YIELD_ON_ISSUE_DATE")</f>
        <v>#NAME?</v>
      </c>
      <c r="E1519">
        <v>26925000</v>
      </c>
      <c r="F1519" t="e">
        <f ca="1">BDP("88035MNX Muni","ISSUE_DT")</f>
        <v>#NAME?</v>
      </c>
      <c r="G1519" t="e">
        <f ca="1">BDP("88035MNX Muni","MATURITY")</f>
        <v>#NAME?</v>
      </c>
      <c r="H1519" t="e">
        <f ca="1">BDP("88035MNX Muni","MUNI_TAX_PROV")</f>
        <v>#NAME?</v>
      </c>
      <c r="I1519" t="e">
        <f ca="1">BDP("88035MNX Muni","FINANCING_TYPE")</f>
        <v>#NAME?</v>
      </c>
      <c r="J1519" t="e">
        <f ca="1">BDP("88035MNX Muni","BICS_LEVEL_2_INDUSTRY_GROUP_NAME")</f>
        <v>#NAME?</v>
      </c>
      <c r="K1519" t="e">
        <f ca="1">BDP("88035MNX Muni","SELF_REPRTD_GREEN_INSTR_INDCTR")</f>
        <v>#NAME?</v>
      </c>
      <c r="L1519" t="e">
        <f ca="1">BDP("88035MNX Muni","GB_MANAGEMENT_PROCEEDS")</f>
        <v>#NAME?</v>
      </c>
      <c r="M1519" t="e">
        <f ca="1">BDP("88035MNX Muni","GB_REPORTING")</f>
        <v>#NAME?</v>
      </c>
      <c r="N1519" t="e">
        <f ca="1">BDP("88035MNX Muni","GB_ASSURANCE_PROVIDERS")</f>
        <v>#NAME?</v>
      </c>
      <c r="O1519" t="e">
        <f ca="1">BDP("88035MNX Muni","GB_PROJECT_SELECTION_PROCESS")</f>
        <v>#NAME?</v>
      </c>
      <c r="P1519" t="e">
        <f ca="1">BDP("88035MNX Muni","ESG_FRAMEWORK_INDICATOR")</f>
        <v>#NAME?</v>
      </c>
      <c r="Q1519" t="e">
        <f ca="1">BDP("88035MNX Muni","BLOOMBERG_SECTOR_CODE")</f>
        <v>#NAME?</v>
      </c>
      <c r="R1519" t="e">
        <f ca="1">BDP("88035MNX Muni","ISSUER_TYPE")</f>
        <v>#NAME?</v>
      </c>
      <c r="S1519" t="e">
        <f ca="1">BDS("88035MNX Muni","ESG_PROJECT_CATEGORY", "aggregate=y")</f>
        <v>#NAME?</v>
      </c>
      <c r="T1519" t="e">
        <f ca="1">BDS("88035MNX Muni","ESG_PROJECT_SUBCATEGORY", "aggregate=y")</f>
        <v>#NAME?</v>
      </c>
    </row>
    <row r="1520" spans="1:20" x14ac:dyDescent="0.25">
      <c r="A1520" t="e">
        <f ca="1">BDP("274767JK Muni","ID_CUSIP")</f>
        <v>#NAME?</v>
      </c>
      <c r="B1520" t="e">
        <f ca="1">BDP("274767JK Muni","STATE_CODE")</f>
        <v>#NAME?</v>
      </c>
      <c r="C1520" t="s">
        <v>88</v>
      </c>
      <c r="D1520" t="e">
        <f ca="1">BDP("274767JK Muni","YIELD_ON_ISSUE_DATE")</f>
        <v>#NAME?</v>
      </c>
      <c r="E1520">
        <v>275000</v>
      </c>
      <c r="F1520" t="e">
        <f ca="1">BDP("274767JK Muni","ISSUE_DT")</f>
        <v>#NAME?</v>
      </c>
      <c r="G1520" t="e">
        <f ca="1">BDP("274767JK Muni","MATURITY")</f>
        <v>#NAME?</v>
      </c>
      <c r="H1520" t="e">
        <f ca="1">BDP("274767JK Muni","MUNI_TAX_PROV")</f>
        <v>#NAME?</v>
      </c>
      <c r="I1520" t="e">
        <f ca="1">BDP("274767JK Muni","FINANCING_TYPE")</f>
        <v>#NAME?</v>
      </c>
      <c r="J1520" t="e">
        <f ca="1">BDP("274767JK Muni","BICS_LEVEL_2_INDUSTRY_GROUP_NAME")</f>
        <v>#NAME?</v>
      </c>
      <c r="K1520" t="e">
        <f ca="1">BDP("274767JK Muni","SELF_REPRTD_GREEN_INSTR_INDCTR")</f>
        <v>#NAME?</v>
      </c>
      <c r="L1520" t="e">
        <f ca="1">BDP("274767JK Muni","GB_MANAGEMENT_PROCEEDS")</f>
        <v>#NAME?</v>
      </c>
      <c r="M1520" t="e">
        <f ca="1">BDP("274767JK Muni","GB_REPORTING")</f>
        <v>#NAME?</v>
      </c>
      <c r="N1520" t="e">
        <f ca="1">BDP("274767JK Muni","GB_ASSURANCE_PROVIDERS")</f>
        <v>#NAME?</v>
      </c>
      <c r="O1520" t="e">
        <f ca="1">BDP("274767JK Muni","GB_PROJECT_SELECTION_PROCESS")</f>
        <v>#NAME?</v>
      </c>
      <c r="P1520" t="e">
        <f ca="1">BDP("274767JK Muni","ESG_FRAMEWORK_INDICATOR")</f>
        <v>#NAME?</v>
      </c>
      <c r="Q1520" t="e">
        <f ca="1">BDP("274767JK Muni","BLOOMBERG_SECTOR_CODE")</f>
        <v>#NAME?</v>
      </c>
      <c r="R1520" t="e">
        <f ca="1">BDP("274767JK Muni","ISSUER_TYPE")</f>
        <v>#NAME?</v>
      </c>
      <c r="S1520" t="e">
        <f ca="1">BDS("274767JK Muni","ESG_PROJECT_CATEGORY", "aggregate=y")</f>
        <v>#NAME?</v>
      </c>
      <c r="T1520" t="e">
        <f ca="1">BDS("274767JK Muni","ESG_PROJECT_SUBCATEGORY", "aggregate=y")</f>
        <v>#NAME?</v>
      </c>
    </row>
    <row r="1521" spans="1:20" x14ac:dyDescent="0.25">
      <c r="A1521" t="e">
        <f ca="1">BDP("64986DPN Muni","ID_CUSIP")</f>
        <v>#NAME?</v>
      </c>
      <c r="B1521" t="e">
        <f ca="1">BDP("64986DPN Muni","STATE_CODE")</f>
        <v>#NAME?</v>
      </c>
      <c r="C1521" t="s">
        <v>90</v>
      </c>
      <c r="D1521" t="e">
        <f ca="1">BDP("64986DPN Muni","YIELD_ON_ISSUE_DATE")</f>
        <v>#NAME?</v>
      </c>
      <c r="E1521">
        <v>11140000</v>
      </c>
      <c r="F1521" t="e">
        <f ca="1">BDP("64986DPN Muni","ISSUE_DT")</f>
        <v>#NAME?</v>
      </c>
      <c r="G1521" t="e">
        <f ca="1">BDP("64986DPN Muni","MATURITY")</f>
        <v>#NAME?</v>
      </c>
      <c r="H1521" t="e">
        <f ca="1">BDP("64986DPN Muni","MUNI_TAX_PROV")</f>
        <v>#NAME?</v>
      </c>
      <c r="I1521" t="e">
        <f ca="1">BDP("64986DPN Muni","FINANCING_TYPE")</f>
        <v>#NAME?</v>
      </c>
      <c r="J1521" t="e">
        <f ca="1">BDP("64986DPN Muni","BICS_LEVEL_2_INDUSTRY_GROUP_NAME")</f>
        <v>#NAME?</v>
      </c>
      <c r="K1521" t="e">
        <f ca="1">BDP("64986DPN Muni","SELF_REPRTD_GREEN_INSTR_INDCTR")</f>
        <v>#NAME?</v>
      </c>
      <c r="L1521" t="e">
        <f ca="1">BDP("64986DPN Muni","GB_MANAGEMENT_PROCEEDS")</f>
        <v>#NAME?</v>
      </c>
      <c r="M1521" t="e">
        <f ca="1">BDP("64986DPN Muni","GB_REPORTING")</f>
        <v>#NAME?</v>
      </c>
      <c r="N1521" t="e">
        <f ca="1">BDP("64986DPN Muni","GB_ASSURANCE_PROVIDERS")</f>
        <v>#NAME?</v>
      </c>
      <c r="O1521" t="e">
        <f ca="1">BDP("64986DPN Muni","GB_PROJECT_SELECTION_PROCESS")</f>
        <v>#NAME?</v>
      </c>
      <c r="P1521" t="e">
        <f ca="1">BDP("64986DPN Muni","ESG_FRAMEWORK_INDICATOR")</f>
        <v>#NAME?</v>
      </c>
      <c r="Q1521" t="e">
        <f ca="1">BDP("64986DPN Muni","BLOOMBERG_SECTOR_CODE")</f>
        <v>#NAME?</v>
      </c>
      <c r="R1521" t="e">
        <f ca="1">BDP("64986DPN Muni","ISSUER_TYPE")</f>
        <v>#NAME?</v>
      </c>
      <c r="S1521" t="e">
        <f ca="1">BDS("64986DPN Muni","ESG_PROJECT_CATEGORY", "aggregate=y")</f>
        <v>#NAME?</v>
      </c>
      <c r="T1521" t="e">
        <f ca="1">BDS("64986DPN Muni","ESG_PROJECT_SUBCATEGORY", "aggregate=y")</f>
        <v>#NAME?</v>
      </c>
    </row>
    <row r="1522" spans="1:20" x14ac:dyDescent="0.25">
      <c r="A1522" t="e">
        <f ca="1">BDP("64986DQC Muni","ID_CUSIP")</f>
        <v>#NAME?</v>
      </c>
      <c r="B1522" t="e">
        <f ca="1">BDP("64986DQC Muni","STATE_CODE")</f>
        <v>#NAME?</v>
      </c>
      <c r="C1522" t="s">
        <v>90</v>
      </c>
      <c r="D1522" t="e">
        <f ca="1">BDP("64986DQC Muni","YIELD_ON_ISSUE_DATE")</f>
        <v>#NAME?</v>
      </c>
      <c r="E1522">
        <v>12770000</v>
      </c>
      <c r="F1522" t="e">
        <f ca="1">BDP("64986DQC Muni","ISSUE_DT")</f>
        <v>#NAME?</v>
      </c>
      <c r="G1522" t="e">
        <f ca="1">BDP("64986DQC Muni","MATURITY")</f>
        <v>#NAME?</v>
      </c>
      <c r="H1522" t="e">
        <f ca="1">BDP("64986DQC Muni","MUNI_TAX_PROV")</f>
        <v>#NAME?</v>
      </c>
      <c r="I1522" t="e">
        <f ca="1">BDP("64986DQC Muni","FINANCING_TYPE")</f>
        <v>#NAME?</v>
      </c>
      <c r="J1522" t="e">
        <f ca="1">BDP("64986DQC Muni","BICS_LEVEL_2_INDUSTRY_GROUP_NAME")</f>
        <v>#NAME?</v>
      </c>
      <c r="K1522" t="e">
        <f ca="1">BDP("64986DQC Muni","SELF_REPRTD_GREEN_INSTR_INDCTR")</f>
        <v>#NAME?</v>
      </c>
      <c r="L1522" t="e">
        <f ca="1">BDP("64986DQC Muni","GB_MANAGEMENT_PROCEEDS")</f>
        <v>#NAME?</v>
      </c>
      <c r="M1522" t="e">
        <f ca="1">BDP("64986DQC Muni","GB_REPORTING")</f>
        <v>#NAME?</v>
      </c>
      <c r="N1522" t="e">
        <f ca="1">BDP("64986DQC Muni","GB_ASSURANCE_PROVIDERS")</f>
        <v>#NAME?</v>
      </c>
      <c r="O1522" t="e">
        <f ca="1">BDP("64986DQC Muni","GB_PROJECT_SELECTION_PROCESS")</f>
        <v>#NAME?</v>
      </c>
      <c r="P1522" t="e">
        <f ca="1">BDP("64986DQC Muni","ESG_FRAMEWORK_INDICATOR")</f>
        <v>#NAME?</v>
      </c>
      <c r="Q1522" t="e">
        <f ca="1">BDP("64986DQC Muni","BLOOMBERG_SECTOR_CODE")</f>
        <v>#NAME?</v>
      </c>
      <c r="R1522" t="e">
        <f ca="1">BDP("64986DQC Muni","ISSUER_TYPE")</f>
        <v>#NAME?</v>
      </c>
      <c r="S1522" t="e">
        <f ca="1">BDS("64986DQC Muni","ESG_PROJECT_CATEGORY", "aggregate=y")</f>
        <v>#NAME?</v>
      </c>
      <c r="T1522" t="e">
        <f ca="1">BDS("64986DQC Muni","ESG_PROJECT_SUBCATEGORY", "aggregate=y")</f>
        <v>#NAME?</v>
      </c>
    </row>
    <row r="1523" spans="1:20" x14ac:dyDescent="0.25">
      <c r="A1523" t="e">
        <f ca="1">BDP("650116JB Muni","ID_CUSIP")</f>
        <v>#NAME?</v>
      </c>
      <c r="B1523" t="e">
        <f ca="1">BDP("650116JB Muni","STATE_CODE")</f>
        <v>#NAME?</v>
      </c>
      <c r="C1523" t="s">
        <v>92</v>
      </c>
      <c r="D1523" t="e">
        <f ca="1">BDP("650116JB Muni","YIELD_ON_ISSUE_DATE")</f>
        <v>#NAME?</v>
      </c>
      <c r="E1523">
        <v>10685000</v>
      </c>
      <c r="F1523" t="e">
        <f ca="1">BDP("650116JB Muni","ISSUE_DT")</f>
        <v>#NAME?</v>
      </c>
      <c r="G1523" t="e">
        <f ca="1">BDP("650116JB Muni","MATURITY")</f>
        <v>#NAME?</v>
      </c>
      <c r="H1523" t="e">
        <f ca="1">BDP("650116JB Muni","MUNI_TAX_PROV")</f>
        <v>#NAME?</v>
      </c>
      <c r="I1523" t="e">
        <f ca="1">BDP("650116JB Muni","FINANCING_TYPE")</f>
        <v>#NAME?</v>
      </c>
      <c r="J1523" t="e">
        <f ca="1">BDP("650116JB Muni","BICS_LEVEL_2_INDUSTRY_GROUP_NAME")</f>
        <v>#NAME?</v>
      </c>
      <c r="K1523" t="e">
        <f ca="1">BDP("650116JB Muni","SELF_REPRTD_GREEN_INSTR_INDCTR")</f>
        <v>#NAME?</v>
      </c>
      <c r="L1523" t="e">
        <f ca="1">BDP("650116JB Muni","GB_MANAGEMENT_PROCEEDS")</f>
        <v>#NAME?</v>
      </c>
      <c r="M1523" t="e">
        <f ca="1">BDP("650116JB Muni","GB_REPORTING")</f>
        <v>#NAME?</v>
      </c>
      <c r="N1523" t="e">
        <f ca="1">BDP("650116JB Muni","GB_ASSURANCE_PROVIDERS")</f>
        <v>#NAME?</v>
      </c>
      <c r="O1523" t="e">
        <f ca="1">BDP("650116JB Muni","GB_PROJECT_SELECTION_PROCESS")</f>
        <v>#NAME?</v>
      </c>
      <c r="P1523" t="e">
        <f ca="1">BDP("650116JB Muni","ESG_FRAMEWORK_INDICATOR")</f>
        <v>#NAME?</v>
      </c>
      <c r="Q1523" t="e">
        <f ca="1">BDP("650116JB Muni","BLOOMBERG_SECTOR_CODE")</f>
        <v>#NAME?</v>
      </c>
      <c r="R1523" t="e">
        <f ca="1">BDP("650116JB Muni","ISSUER_TYPE")</f>
        <v>#NAME?</v>
      </c>
      <c r="S1523" t="e">
        <f ca="1">BDS("650116JB Muni","ESG_PROJECT_CATEGORY", "aggregate=y")</f>
        <v>#NAME?</v>
      </c>
      <c r="T1523" t="e">
        <f ca="1">BDS("650116JB Muni","ESG_PROJECT_SUBCATEGORY", "aggregate=y")</f>
        <v>#NAME?</v>
      </c>
    </row>
    <row r="1524" spans="1:20" x14ac:dyDescent="0.25">
      <c r="A1524" t="e">
        <f ca="1">BDP("916091KD Muni","ID_CUSIP")</f>
        <v>#NAME?</v>
      </c>
      <c r="B1524" t="e">
        <f ca="1">BDP("916091KD Muni","STATE_CODE")</f>
        <v>#NAME?</v>
      </c>
      <c r="C1524" t="s">
        <v>86</v>
      </c>
      <c r="D1524" t="e">
        <f ca="1">BDP("916091KD Muni","YIELD_ON_ISSUE_DATE")</f>
        <v>#NAME?</v>
      </c>
      <c r="E1524">
        <v>825000</v>
      </c>
      <c r="F1524" t="e">
        <f ca="1">BDP("916091KD Muni","ISSUE_DT")</f>
        <v>#NAME?</v>
      </c>
      <c r="G1524" t="e">
        <f ca="1">BDP("916091KD Muni","MATURITY")</f>
        <v>#NAME?</v>
      </c>
      <c r="H1524" t="e">
        <f ca="1">BDP("916091KD Muni","MUNI_TAX_PROV")</f>
        <v>#NAME?</v>
      </c>
      <c r="I1524" t="e">
        <f ca="1">BDP("916091KD Muni","FINANCING_TYPE")</f>
        <v>#NAME?</v>
      </c>
      <c r="J1524" t="e">
        <f ca="1">BDP("916091KD Muni","BICS_LEVEL_2_INDUSTRY_GROUP_NAME")</f>
        <v>#NAME?</v>
      </c>
      <c r="K1524" t="e">
        <f ca="1">BDP("916091KD Muni","SELF_REPRTD_GREEN_INSTR_INDCTR")</f>
        <v>#NAME?</v>
      </c>
      <c r="L1524" t="e">
        <f ca="1">BDP("916091KD Muni","GB_MANAGEMENT_PROCEEDS")</f>
        <v>#NAME?</v>
      </c>
      <c r="M1524" t="e">
        <f ca="1">BDP("916091KD Muni","GB_REPORTING")</f>
        <v>#NAME?</v>
      </c>
      <c r="N1524" t="e">
        <f ca="1">BDP("916091KD Muni","GB_ASSURANCE_PROVIDERS")</f>
        <v>#NAME?</v>
      </c>
      <c r="O1524" t="e">
        <f ca="1">BDP("916091KD Muni","GB_PROJECT_SELECTION_PROCESS")</f>
        <v>#NAME?</v>
      </c>
      <c r="P1524" t="e">
        <f ca="1">BDP("916091KD Muni","ESG_FRAMEWORK_INDICATOR")</f>
        <v>#NAME?</v>
      </c>
      <c r="Q1524" t="e">
        <f ca="1">BDP("916091KD Muni","BLOOMBERG_SECTOR_CODE")</f>
        <v>#NAME?</v>
      </c>
      <c r="R1524" t="e">
        <f ca="1">BDP("916091KD Muni","ISSUER_TYPE")</f>
        <v>#NAME?</v>
      </c>
      <c r="S1524" t="e">
        <f ca="1">BDS("916091KD Muni","ESG_PROJECT_CATEGORY", "aggregate=y")</f>
        <v>#NAME?</v>
      </c>
      <c r="T1524" t="e">
        <f ca="1">BDS("916091KD Muni","ESG_PROJECT_SUBCATEGORY", "aggregate=y")</f>
        <v>#NAME?</v>
      </c>
    </row>
    <row r="1525" spans="1:20" x14ac:dyDescent="0.25">
      <c r="A1525" t="e">
        <f ca="1">BDP("59261A4Q Muni","ID_CUSIP")</f>
        <v>#NAME?</v>
      </c>
      <c r="B1525" t="e">
        <f ca="1">BDP("59261A4Q Muni","STATE_CODE")</f>
        <v>#NAME?</v>
      </c>
      <c r="C1525" t="s">
        <v>89</v>
      </c>
      <c r="D1525" t="e">
        <f ca="1">BDP("59261A4Q Muni","YIELD_ON_ISSUE_DATE")</f>
        <v>#NAME?</v>
      </c>
      <c r="E1525">
        <v>37285000</v>
      </c>
      <c r="F1525" t="e">
        <f ca="1">BDP("59261A4Q Muni","ISSUE_DT")</f>
        <v>#NAME?</v>
      </c>
      <c r="G1525" t="e">
        <f ca="1">BDP("59261A4Q Muni","MATURITY")</f>
        <v>#NAME?</v>
      </c>
      <c r="H1525" t="e">
        <f ca="1">BDP("59261A4Q Muni","MUNI_TAX_PROV")</f>
        <v>#NAME?</v>
      </c>
      <c r="I1525" t="e">
        <f ca="1">BDP("59261A4Q Muni","FINANCING_TYPE")</f>
        <v>#NAME?</v>
      </c>
      <c r="J1525" t="e">
        <f ca="1">BDP("59261A4Q Muni","BICS_LEVEL_2_INDUSTRY_GROUP_NAME")</f>
        <v>#NAME?</v>
      </c>
      <c r="K1525" t="e">
        <f ca="1">BDP("59261A4Q Muni","SELF_REPRTD_GREEN_INSTR_INDCTR")</f>
        <v>#NAME?</v>
      </c>
      <c r="L1525" t="e">
        <f ca="1">BDP("59261A4Q Muni","GB_MANAGEMENT_PROCEEDS")</f>
        <v>#NAME?</v>
      </c>
      <c r="M1525" t="e">
        <f ca="1">BDP("59261A4Q Muni","GB_REPORTING")</f>
        <v>#NAME?</v>
      </c>
      <c r="N1525" t="e">
        <f ca="1">BDP("59261A4Q Muni","GB_ASSURANCE_PROVIDERS")</f>
        <v>#NAME?</v>
      </c>
      <c r="O1525" t="e">
        <f ca="1">BDP("59261A4Q Muni","GB_PROJECT_SELECTION_PROCESS")</f>
        <v>#NAME?</v>
      </c>
      <c r="P1525" t="e">
        <f ca="1">BDP("59261A4Q Muni","ESG_FRAMEWORK_INDICATOR")</f>
        <v>#NAME?</v>
      </c>
      <c r="Q1525" t="e">
        <f ca="1">BDP("59261A4Q Muni","BLOOMBERG_SECTOR_CODE")</f>
        <v>#NAME?</v>
      </c>
      <c r="R1525" t="e">
        <f ca="1">BDP("59261A4Q Muni","ISSUER_TYPE")</f>
        <v>#NAME?</v>
      </c>
      <c r="S1525" t="e">
        <f ca="1">BDS("59261A4Q Muni","ESG_PROJECT_CATEGORY", "aggregate=y")</f>
        <v>#NAME?</v>
      </c>
      <c r="T1525" t="e">
        <f ca="1">BDS("59261A4Q Muni","ESG_PROJECT_SUBCATEGORY", "aggregate=y")</f>
        <v>#NAME?</v>
      </c>
    </row>
    <row r="1526" spans="1:20" x14ac:dyDescent="0.25">
      <c r="A1526" t="e">
        <f ca="1">BDP("64985H3U Muni","ID_CUSIP")</f>
        <v>#NAME?</v>
      </c>
      <c r="B1526" t="e">
        <f ca="1">BDP("64985H3U Muni","STATE_CODE")</f>
        <v>#NAME?</v>
      </c>
      <c r="C1526" t="s">
        <v>90</v>
      </c>
      <c r="D1526" t="e">
        <f ca="1">BDP("64985H3U Muni","YIELD_ON_ISSUE_DATE")</f>
        <v>#NAME?</v>
      </c>
      <c r="E1526">
        <v>3045000</v>
      </c>
      <c r="F1526" t="e">
        <f ca="1">BDP("64985H3U Muni","ISSUE_DT")</f>
        <v>#NAME?</v>
      </c>
      <c r="G1526" t="e">
        <f ca="1">BDP("64985H3U Muni","MATURITY")</f>
        <v>#NAME?</v>
      </c>
      <c r="H1526" t="e">
        <f ca="1">BDP("64985H3U Muni","MUNI_TAX_PROV")</f>
        <v>#NAME?</v>
      </c>
      <c r="I1526" t="e">
        <f ca="1">BDP("64985H3U Muni","FINANCING_TYPE")</f>
        <v>#NAME?</v>
      </c>
      <c r="J1526" t="e">
        <f ca="1">BDP("64985H3U Muni","BICS_LEVEL_2_INDUSTRY_GROUP_NAME")</f>
        <v>#NAME?</v>
      </c>
      <c r="K1526" t="e">
        <f ca="1">BDP("64985H3U Muni","SELF_REPRTD_GREEN_INSTR_INDCTR")</f>
        <v>#NAME?</v>
      </c>
      <c r="L1526" t="e">
        <f ca="1">BDP("64985H3U Muni","GB_MANAGEMENT_PROCEEDS")</f>
        <v>#NAME?</v>
      </c>
      <c r="M1526" t="e">
        <f ca="1">BDP("64985H3U Muni","GB_REPORTING")</f>
        <v>#NAME?</v>
      </c>
      <c r="N1526" t="e">
        <f ca="1">BDP("64985H3U Muni","GB_ASSURANCE_PROVIDERS")</f>
        <v>#NAME?</v>
      </c>
      <c r="O1526" t="e">
        <f ca="1">BDP("64985H3U Muni","GB_PROJECT_SELECTION_PROCESS")</f>
        <v>#NAME?</v>
      </c>
      <c r="P1526" t="e">
        <f ca="1">BDP("64985H3U Muni","ESG_FRAMEWORK_INDICATOR")</f>
        <v>#NAME?</v>
      </c>
      <c r="Q1526" t="e">
        <f ca="1">BDP("64985H3U Muni","BLOOMBERG_SECTOR_CODE")</f>
        <v>#NAME?</v>
      </c>
      <c r="R1526" t="e">
        <f ca="1">BDP("64985H3U Muni","ISSUER_TYPE")</f>
        <v>#NAME?</v>
      </c>
      <c r="S1526" t="e">
        <f ca="1">BDS("64985H3U Muni","ESG_PROJECT_CATEGORY", "aggregate=y")</f>
        <v>#NAME?</v>
      </c>
      <c r="T1526" t="e">
        <f ca="1">BDS("64985H3U Muni","ESG_PROJECT_SUBCATEGORY", "aggregate=y")</f>
        <v>#NAME?</v>
      </c>
    </row>
    <row r="1527" spans="1:20" x14ac:dyDescent="0.25">
      <c r="A1527" t="e">
        <f ca="1">BDP("64986DPP Muni","ID_CUSIP")</f>
        <v>#NAME?</v>
      </c>
      <c r="B1527" t="e">
        <f ca="1">BDP("64986DPP Muni","STATE_CODE")</f>
        <v>#NAME?</v>
      </c>
      <c r="C1527" t="s">
        <v>90</v>
      </c>
      <c r="D1527" t="e">
        <f ca="1">BDP("64986DPP Muni","YIELD_ON_ISSUE_DATE")</f>
        <v>#NAME?</v>
      </c>
      <c r="E1527">
        <v>10845000</v>
      </c>
      <c r="F1527" t="e">
        <f ca="1">BDP("64986DPP Muni","ISSUE_DT")</f>
        <v>#NAME?</v>
      </c>
      <c r="G1527" t="e">
        <f ca="1">BDP("64986DPP Muni","MATURITY")</f>
        <v>#NAME?</v>
      </c>
      <c r="H1527" t="e">
        <f ca="1">BDP("64986DPP Muni","MUNI_TAX_PROV")</f>
        <v>#NAME?</v>
      </c>
      <c r="I1527" t="e">
        <f ca="1">BDP("64986DPP Muni","FINANCING_TYPE")</f>
        <v>#NAME?</v>
      </c>
      <c r="J1527" t="e">
        <f ca="1">BDP("64986DPP Muni","BICS_LEVEL_2_INDUSTRY_GROUP_NAME")</f>
        <v>#NAME?</v>
      </c>
      <c r="K1527" t="e">
        <f ca="1">BDP("64986DPP Muni","SELF_REPRTD_GREEN_INSTR_INDCTR")</f>
        <v>#NAME?</v>
      </c>
      <c r="L1527" t="e">
        <f ca="1">BDP("64986DPP Muni","GB_MANAGEMENT_PROCEEDS")</f>
        <v>#NAME?</v>
      </c>
      <c r="M1527" t="e">
        <f ca="1">BDP("64986DPP Muni","GB_REPORTING")</f>
        <v>#NAME?</v>
      </c>
      <c r="N1527" t="e">
        <f ca="1">BDP("64986DPP Muni","GB_ASSURANCE_PROVIDERS")</f>
        <v>#NAME?</v>
      </c>
      <c r="O1527" t="e">
        <f ca="1">BDP("64986DPP Muni","GB_PROJECT_SELECTION_PROCESS")</f>
        <v>#NAME?</v>
      </c>
      <c r="P1527" t="e">
        <f ca="1">BDP("64986DPP Muni","ESG_FRAMEWORK_INDICATOR")</f>
        <v>#NAME?</v>
      </c>
      <c r="Q1527" t="e">
        <f ca="1">BDP("64986DPP Muni","BLOOMBERG_SECTOR_CODE")</f>
        <v>#NAME?</v>
      </c>
      <c r="R1527" t="e">
        <f ca="1">BDP("64986DPP Muni","ISSUER_TYPE")</f>
        <v>#NAME?</v>
      </c>
      <c r="S1527" t="e">
        <f ca="1">BDS("64986DPP Muni","ESG_PROJECT_CATEGORY", "aggregate=y")</f>
        <v>#NAME?</v>
      </c>
      <c r="T1527" t="e">
        <f ca="1">BDS("64986DPP Muni","ESG_PROJECT_SUBCATEGORY", "aggregate=y")</f>
        <v>#NAME?</v>
      </c>
    </row>
    <row r="1528" spans="1:20" x14ac:dyDescent="0.25">
      <c r="A1528" t="e">
        <f ca="1">BDP("274767JN Muni","ID_CUSIP")</f>
        <v>#NAME?</v>
      </c>
      <c r="B1528" t="e">
        <f ca="1">BDP("274767JN Muni","STATE_CODE")</f>
        <v>#NAME?</v>
      </c>
      <c r="C1528" t="s">
        <v>88</v>
      </c>
      <c r="D1528" t="e">
        <f ca="1">BDP("274767JN Muni","YIELD_ON_ISSUE_DATE")</f>
        <v>#NAME?</v>
      </c>
      <c r="E1528">
        <v>310000</v>
      </c>
      <c r="F1528" t="e">
        <f ca="1">BDP("274767JN Muni","ISSUE_DT")</f>
        <v>#NAME?</v>
      </c>
      <c r="G1528" t="e">
        <f ca="1">BDP("274767JN Muni","MATURITY")</f>
        <v>#NAME?</v>
      </c>
      <c r="H1528" t="e">
        <f ca="1">BDP("274767JN Muni","MUNI_TAX_PROV")</f>
        <v>#NAME?</v>
      </c>
      <c r="I1528" t="e">
        <f ca="1">BDP("274767JN Muni","FINANCING_TYPE")</f>
        <v>#NAME?</v>
      </c>
      <c r="J1528" t="e">
        <f ca="1">BDP("274767JN Muni","BICS_LEVEL_2_INDUSTRY_GROUP_NAME")</f>
        <v>#NAME?</v>
      </c>
      <c r="K1528" t="e">
        <f ca="1">BDP("274767JN Muni","SELF_REPRTD_GREEN_INSTR_INDCTR")</f>
        <v>#NAME?</v>
      </c>
      <c r="L1528" t="e">
        <f ca="1">BDP("274767JN Muni","GB_MANAGEMENT_PROCEEDS")</f>
        <v>#NAME?</v>
      </c>
      <c r="M1528" t="e">
        <f ca="1">BDP("274767JN Muni","GB_REPORTING")</f>
        <v>#NAME?</v>
      </c>
      <c r="N1528" t="e">
        <f ca="1">BDP("274767JN Muni","GB_ASSURANCE_PROVIDERS")</f>
        <v>#NAME?</v>
      </c>
      <c r="O1528" t="e">
        <f ca="1">BDP("274767JN Muni","GB_PROJECT_SELECTION_PROCESS")</f>
        <v>#NAME?</v>
      </c>
      <c r="P1528" t="e">
        <f ca="1">BDP("274767JN Muni","ESG_FRAMEWORK_INDICATOR")</f>
        <v>#NAME?</v>
      </c>
      <c r="Q1528" t="e">
        <f ca="1">BDP("274767JN Muni","BLOOMBERG_SECTOR_CODE")</f>
        <v>#NAME?</v>
      </c>
      <c r="R1528" t="e">
        <f ca="1">BDP("274767JN Muni","ISSUER_TYPE")</f>
        <v>#NAME?</v>
      </c>
      <c r="S1528" t="e">
        <f ca="1">BDS("274767JN Muni","ESG_PROJECT_CATEGORY", "aggregate=y")</f>
        <v>#NAME?</v>
      </c>
      <c r="T1528" t="e">
        <f ca="1">BDS("274767JN Muni","ESG_PROJECT_SUBCATEGORY", "aggregate=y")</f>
        <v>#NAME?</v>
      </c>
    </row>
    <row r="1529" spans="1:20" x14ac:dyDescent="0.25">
      <c r="A1529" t="e">
        <f ca="1">BDP("274767HZ Muni","ID_CUSIP")</f>
        <v>#NAME?</v>
      </c>
      <c r="B1529" t="e">
        <f ca="1">BDP("274767HZ Muni","STATE_CODE")</f>
        <v>#NAME?</v>
      </c>
      <c r="C1529" t="s">
        <v>88</v>
      </c>
      <c r="D1529" t="e">
        <f ca="1">BDP("274767HZ Muni","YIELD_ON_ISSUE_DATE")</f>
        <v>#NAME?</v>
      </c>
      <c r="E1529">
        <v>135000</v>
      </c>
      <c r="F1529" t="e">
        <f ca="1">BDP("274767HZ Muni","ISSUE_DT")</f>
        <v>#NAME?</v>
      </c>
      <c r="G1529" t="e">
        <f ca="1">BDP("274767HZ Muni","MATURITY")</f>
        <v>#NAME?</v>
      </c>
      <c r="H1529" t="e">
        <f ca="1">BDP("274767HZ Muni","MUNI_TAX_PROV")</f>
        <v>#NAME?</v>
      </c>
      <c r="I1529" t="e">
        <f ca="1">BDP("274767HZ Muni","FINANCING_TYPE")</f>
        <v>#NAME?</v>
      </c>
      <c r="J1529" t="e">
        <f ca="1">BDP("274767HZ Muni","BICS_LEVEL_2_INDUSTRY_GROUP_NAME")</f>
        <v>#NAME?</v>
      </c>
      <c r="K1529" t="e">
        <f ca="1">BDP("274767HZ Muni","SELF_REPRTD_GREEN_INSTR_INDCTR")</f>
        <v>#NAME?</v>
      </c>
      <c r="L1529" t="e">
        <f ca="1">BDP("274767HZ Muni","GB_MANAGEMENT_PROCEEDS")</f>
        <v>#NAME?</v>
      </c>
      <c r="M1529" t="e">
        <f ca="1">BDP("274767HZ Muni","GB_REPORTING")</f>
        <v>#NAME?</v>
      </c>
      <c r="N1529" t="e">
        <f ca="1">BDP("274767HZ Muni","GB_ASSURANCE_PROVIDERS")</f>
        <v>#NAME?</v>
      </c>
      <c r="O1529" t="e">
        <f ca="1">BDP("274767HZ Muni","GB_PROJECT_SELECTION_PROCESS")</f>
        <v>#NAME?</v>
      </c>
      <c r="P1529" t="e">
        <f ca="1">BDP("274767HZ Muni","ESG_FRAMEWORK_INDICATOR")</f>
        <v>#NAME?</v>
      </c>
      <c r="Q1529" t="e">
        <f ca="1">BDP("274767HZ Muni","BLOOMBERG_SECTOR_CODE")</f>
        <v>#NAME?</v>
      </c>
      <c r="R1529" t="e">
        <f ca="1">BDP("274767HZ Muni","ISSUER_TYPE")</f>
        <v>#NAME?</v>
      </c>
      <c r="S1529" t="e">
        <f ca="1">BDS("274767HZ Muni","ESG_PROJECT_CATEGORY", "aggregate=y")</f>
        <v>#NAME?</v>
      </c>
      <c r="T1529" t="e">
        <f ca="1">BDS("274767HZ Muni","ESG_PROJECT_SUBCATEGORY", "aggregate=y")</f>
        <v>#NAME?</v>
      </c>
    </row>
    <row r="1530" spans="1:20" x14ac:dyDescent="0.25">
      <c r="A1530" t="e">
        <f ca="1">BDP("64985H4D Muni","ID_CUSIP")</f>
        <v>#NAME?</v>
      </c>
      <c r="B1530" t="e">
        <f ca="1">BDP("64985H4D Muni","STATE_CODE")</f>
        <v>#NAME?</v>
      </c>
      <c r="C1530" t="s">
        <v>90</v>
      </c>
      <c r="D1530" t="e">
        <f ca="1">BDP("64985H4D Muni","YIELD_ON_ISSUE_DATE")</f>
        <v>#NAME?</v>
      </c>
      <c r="E1530">
        <v>4330000</v>
      </c>
      <c r="F1530" t="e">
        <f ca="1">BDP("64985H4D Muni","ISSUE_DT")</f>
        <v>#NAME?</v>
      </c>
      <c r="G1530" t="e">
        <f ca="1">BDP("64985H4D Muni","MATURITY")</f>
        <v>#NAME?</v>
      </c>
      <c r="H1530" t="e">
        <f ca="1">BDP("64985H4D Muni","MUNI_TAX_PROV")</f>
        <v>#NAME?</v>
      </c>
      <c r="I1530" t="e">
        <f ca="1">BDP("64985H4D Muni","FINANCING_TYPE")</f>
        <v>#NAME?</v>
      </c>
      <c r="J1530" t="e">
        <f ca="1">BDP("64985H4D Muni","BICS_LEVEL_2_INDUSTRY_GROUP_NAME")</f>
        <v>#NAME?</v>
      </c>
      <c r="K1530" t="e">
        <f ca="1">BDP("64985H4D Muni","SELF_REPRTD_GREEN_INSTR_INDCTR")</f>
        <v>#NAME?</v>
      </c>
      <c r="L1530" t="e">
        <f ca="1">BDP("64985H4D Muni","GB_MANAGEMENT_PROCEEDS")</f>
        <v>#NAME?</v>
      </c>
      <c r="M1530" t="e">
        <f ca="1">BDP("64985H4D Muni","GB_REPORTING")</f>
        <v>#NAME?</v>
      </c>
      <c r="N1530" t="e">
        <f ca="1">BDP("64985H4D Muni","GB_ASSURANCE_PROVIDERS")</f>
        <v>#NAME?</v>
      </c>
      <c r="O1530" t="e">
        <f ca="1">BDP("64985H4D Muni","GB_PROJECT_SELECTION_PROCESS")</f>
        <v>#NAME?</v>
      </c>
      <c r="P1530" t="e">
        <f ca="1">BDP("64985H4D Muni","ESG_FRAMEWORK_INDICATOR")</f>
        <v>#NAME?</v>
      </c>
      <c r="Q1530" t="e">
        <f ca="1">BDP("64985H4D Muni","BLOOMBERG_SECTOR_CODE")</f>
        <v>#NAME?</v>
      </c>
      <c r="R1530" t="e">
        <f ca="1">BDP("64985H4D Muni","ISSUER_TYPE")</f>
        <v>#NAME?</v>
      </c>
      <c r="S1530" t="e">
        <f ca="1">BDS("64985H4D Muni","ESG_PROJECT_CATEGORY", "aggregate=y")</f>
        <v>#NAME?</v>
      </c>
      <c r="T1530" t="e">
        <f ca="1">BDS("64985H4D Muni","ESG_PROJECT_SUBCATEGORY", "aggregate=y")</f>
        <v>#NAME?</v>
      </c>
    </row>
    <row r="1531" spans="1:20" x14ac:dyDescent="0.25">
      <c r="A1531" t="e">
        <f ca="1">BDP("64986DPY Muni","ID_CUSIP")</f>
        <v>#NAME?</v>
      </c>
      <c r="B1531" t="e">
        <f ca="1">BDP("64986DPY Muni","STATE_CODE")</f>
        <v>#NAME?</v>
      </c>
      <c r="C1531" t="s">
        <v>90</v>
      </c>
      <c r="D1531" t="e">
        <f ca="1">BDP("64986DPY Muni","YIELD_ON_ISSUE_DATE")</f>
        <v>#NAME?</v>
      </c>
      <c r="E1531">
        <v>10950000</v>
      </c>
      <c r="F1531" t="e">
        <f ca="1">BDP("64986DPY Muni","ISSUE_DT")</f>
        <v>#NAME?</v>
      </c>
      <c r="G1531" t="e">
        <f ca="1">BDP("64986DPY Muni","MATURITY")</f>
        <v>#NAME?</v>
      </c>
      <c r="H1531" t="e">
        <f ca="1">BDP("64986DPY Muni","MUNI_TAX_PROV")</f>
        <v>#NAME?</v>
      </c>
      <c r="I1531" t="e">
        <f ca="1">BDP("64986DPY Muni","FINANCING_TYPE")</f>
        <v>#NAME?</v>
      </c>
      <c r="J1531" t="e">
        <f ca="1">BDP("64986DPY Muni","BICS_LEVEL_2_INDUSTRY_GROUP_NAME")</f>
        <v>#NAME?</v>
      </c>
      <c r="K1531" t="e">
        <f ca="1">BDP("64986DPY Muni","SELF_REPRTD_GREEN_INSTR_INDCTR")</f>
        <v>#NAME?</v>
      </c>
      <c r="L1531" t="e">
        <f ca="1">BDP("64986DPY Muni","GB_MANAGEMENT_PROCEEDS")</f>
        <v>#NAME?</v>
      </c>
      <c r="M1531" t="e">
        <f ca="1">BDP("64986DPY Muni","GB_REPORTING")</f>
        <v>#NAME?</v>
      </c>
      <c r="N1531" t="e">
        <f ca="1">BDP("64986DPY Muni","GB_ASSURANCE_PROVIDERS")</f>
        <v>#NAME?</v>
      </c>
      <c r="O1531" t="e">
        <f ca="1">BDP("64986DPY Muni","GB_PROJECT_SELECTION_PROCESS")</f>
        <v>#NAME?</v>
      </c>
      <c r="P1531" t="e">
        <f ca="1">BDP("64986DPY Muni","ESG_FRAMEWORK_INDICATOR")</f>
        <v>#NAME?</v>
      </c>
      <c r="Q1531" t="e">
        <f ca="1">BDP("64986DPY Muni","BLOOMBERG_SECTOR_CODE")</f>
        <v>#NAME?</v>
      </c>
      <c r="R1531" t="e">
        <f ca="1">BDP("64986DPY Muni","ISSUER_TYPE")</f>
        <v>#NAME?</v>
      </c>
      <c r="S1531" t="e">
        <f ca="1">BDS("64986DPY Muni","ESG_PROJECT_CATEGORY", "aggregate=y")</f>
        <v>#NAME?</v>
      </c>
      <c r="T1531" t="e">
        <f ca="1">BDS("64986DPY Muni","ESG_PROJECT_SUBCATEGORY", "aggregate=y")</f>
        <v>#NAME?</v>
      </c>
    </row>
    <row r="1532" spans="1:20" x14ac:dyDescent="0.25">
      <c r="A1532" t="e">
        <f ca="1">BDP("88035R4R Muni","ID_CUSIP")</f>
        <v>#NAME?</v>
      </c>
      <c r="B1532" t="e">
        <f ca="1">BDP("88035R4R Muni","STATE_CODE")</f>
        <v>#NAME?</v>
      </c>
      <c r="C1532" t="s">
        <v>25</v>
      </c>
      <c r="D1532" t="e">
        <f ca="1">BDP("88035R4R Muni","YIELD_ON_ISSUE_DATE")</f>
        <v>#NAME?</v>
      </c>
      <c r="E1532">
        <v>13600000</v>
      </c>
      <c r="F1532" t="e">
        <f ca="1">BDP("88035R4R Muni","ISSUE_DT")</f>
        <v>#NAME?</v>
      </c>
      <c r="G1532" t="e">
        <f ca="1">BDP("88035R4R Muni","MATURITY")</f>
        <v>#NAME?</v>
      </c>
      <c r="H1532" t="e">
        <f ca="1">BDP("88035R4R Muni","MUNI_TAX_PROV")</f>
        <v>#NAME?</v>
      </c>
      <c r="I1532" t="e">
        <f ca="1">BDP("88035R4R Muni","FINANCING_TYPE")</f>
        <v>#NAME?</v>
      </c>
      <c r="J1532" t="e">
        <f ca="1">BDP("88035R4R Muni","BICS_LEVEL_2_INDUSTRY_GROUP_NAME")</f>
        <v>#NAME?</v>
      </c>
      <c r="K1532" t="e">
        <f ca="1">BDP("88035R4R Muni","SELF_REPRTD_GREEN_INSTR_INDCTR")</f>
        <v>#NAME?</v>
      </c>
      <c r="L1532" t="e">
        <f ca="1">BDP("88035R4R Muni","GB_MANAGEMENT_PROCEEDS")</f>
        <v>#NAME?</v>
      </c>
      <c r="M1532" t="e">
        <f ca="1">BDP("88035R4R Muni","GB_REPORTING")</f>
        <v>#NAME?</v>
      </c>
      <c r="N1532" t="e">
        <f ca="1">BDP("88035R4R Muni","GB_ASSURANCE_PROVIDERS")</f>
        <v>#NAME?</v>
      </c>
      <c r="O1532" t="e">
        <f ca="1">BDP("88035R4R Muni","GB_PROJECT_SELECTION_PROCESS")</f>
        <v>#NAME?</v>
      </c>
      <c r="P1532" t="e">
        <f ca="1">BDP("88035R4R Muni","ESG_FRAMEWORK_INDICATOR")</f>
        <v>#NAME?</v>
      </c>
      <c r="Q1532" t="e">
        <f ca="1">BDP("88035R4R Muni","BLOOMBERG_SECTOR_CODE")</f>
        <v>#NAME?</v>
      </c>
      <c r="R1532" t="e">
        <f ca="1">BDP("88035R4R Muni","ISSUER_TYPE")</f>
        <v>#NAME?</v>
      </c>
      <c r="S1532" t="e">
        <f ca="1">BDS("88035R4R Muni","ESG_PROJECT_CATEGORY", "aggregate=y")</f>
        <v>#NAME?</v>
      </c>
      <c r="T1532" t="e">
        <f ca="1">BDS("88035R4R Muni","ESG_PROJECT_SUBCATEGORY", "aggregate=y")</f>
        <v>#NAME?</v>
      </c>
    </row>
    <row r="1533" spans="1:20" x14ac:dyDescent="0.25">
      <c r="A1533" t="e">
        <f ca="1">BDP("88035RCC Muni","ID_CUSIP")</f>
        <v>#NAME?</v>
      </c>
      <c r="B1533" t="e">
        <f ca="1">BDP("88035RCC Muni","STATE_CODE")</f>
        <v>#NAME?</v>
      </c>
      <c r="C1533" t="s">
        <v>25</v>
      </c>
      <c r="D1533" t="e">
        <f ca="1">BDP("88035RCC Muni","YIELD_ON_ISSUE_DATE")</f>
        <v>#NAME?</v>
      </c>
      <c r="E1533">
        <v>4100000</v>
      </c>
      <c r="F1533" t="e">
        <f ca="1">BDP("88035RCC Muni","ISSUE_DT")</f>
        <v>#NAME?</v>
      </c>
      <c r="G1533" t="e">
        <f ca="1">BDP("88035RCC Muni","MATURITY")</f>
        <v>#NAME?</v>
      </c>
      <c r="H1533" t="e">
        <f ca="1">BDP("88035RCC Muni","MUNI_TAX_PROV")</f>
        <v>#NAME?</v>
      </c>
      <c r="I1533" t="e">
        <f ca="1">BDP("88035RCC Muni","FINANCING_TYPE")</f>
        <v>#NAME?</v>
      </c>
      <c r="J1533" t="e">
        <f ca="1">BDP("88035RCC Muni","BICS_LEVEL_2_INDUSTRY_GROUP_NAME")</f>
        <v>#NAME?</v>
      </c>
      <c r="K1533" t="e">
        <f ca="1">BDP("88035RCC Muni","SELF_REPRTD_GREEN_INSTR_INDCTR")</f>
        <v>#NAME?</v>
      </c>
      <c r="L1533" t="e">
        <f ca="1">BDP("88035RCC Muni","GB_MANAGEMENT_PROCEEDS")</f>
        <v>#NAME?</v>
      </c>
      <c r="M1533" t="e">
        <f ca="1">BDP("88035RCC Muni","GB_REPORTING")</f>
        <v>#NAME?</v>
      </c>
      <c r="N1533" t="e">
        <f ca="1">BDP("88035RCC Muni","GB_ASSURANCE_PROVIDERS")</f>
        <v>#NAME?</v>
      </c>
      <c r="O1533" t="e">
        <f ca="1">BDP("88035RCC Muni","GB_PROJECT_SELECTION_PROCESS")</f>
        <v>#NAME?</v>
      </c>
      <c r="P1533" t="e">
        <f ca="1">BDP("88035RCC Muni","ESG_FRAMEWORK_INDICATOR")</f>
        <v>#NAME?</v>
      </c>
      <c r="Q1533" t="e">
        <f ca="1">BDP("88035RCC Muni","BLOOMBERG_SECTOR_CODE")</f>
        <v>#NAME?</v>
      </c>
      <c r="R1533" t="e">
        <f ca="1">BDP("88035RCC Muni","ISSUER_TYPE")</f>
        <v>#NAME?</v>
      </c>
      <c r="S1533" t="e">
        <f ca="1">BDS("88035RCC Muni","ESG_PROJECT_CATEGORY", "aggregate=y")</f>
        <v>#NAME?</v>
      </c>
      <c r="T1533" t="e">
        <f ca="1">BDS("88035RCC Muni","ESG_PROJECT_SUBCATEGORY", "aggregate=y")</f>
        <v>#NAME?</v>
      </c>
    </row>
    <row r="1534" spans="1:20" x14ac:dyDescent="0.25">
      <c r="A1534" t="e">
        <f ca="1">BDP("46640KR7 Muni","ID_CUSIP")</f>
        <v>#NAME?</v>
      </c>
      <c r="B1534" t="e">
        <f ca="1">BDP("46640KR7 Muni","STATE_CODE")</f>
        <v>#NAME?</v>
      </c>
      <c r="C1534" t="s">
        <v>46</v>
      </c>
      <c r="D1534" t="e">
        <f ca="1">BDP("46640KR7 Muni","YIELD_ON_ISSUE_DATE")</f>
        <v>#NAME?</v>
      </c>
      <c r="E1534">
        <v>11800000</v>
      </c>
      <c r="F1534" t="e">
        <f ca="1">BDP("46640KR7 Muni","ISSUE_DT")</f>
        <v>#NAME?</v>
      </c>
      <c r="G1534" t="e">
        <f ca="1">BDP("46640KR7 Muni","MATURITY")</f>
        <v>#NAME?</v>
      </c>
      <c r="H1534" t="e">
        <f ca="1">BDP("46640KR7 Muni","MUNI_TAX_PROV")</f>
        <v>#NAME?</v>
      </c>
      <c r="I1534" t="e">
        <f ca="1">BDP("46640KR7 Muni","FINANCING_TYPE")</f>
        <v>#NAME?</v>
      </c>
      <c r="J1534" t="e">
        <f ca="1">BDP("46640KR7 Muni","BICS_LEVEL_2_INDUSTRY_GROUP_NAME")</f>
        <v>#NAME?</v>
      </c>
      <c r="K1534" t="e">
        <f ca="1">BDP("46640KR7 Muni","SELF_REPRTD_GREEN_INSTR_INDCTR")</f>
        <v>#NAME?</v>
      </c>
      <c r="L1534" t="e">
        <f ca="1">BDP("46640KR7 Muni","GB_MANAGEMENT_PROCEEDS")</f>
        <v>#NAME?</v>
      </c>
      <c r="M1534" t="e">
        <f ca="1">BDP("46640KR7 Muni","GB_REPORTING")</f>
        <v>#NAME?</v>
      </c>
      <c r="N1534" t="e">
        <f ca="1">BDP("46640KR7 Muni","GB_ASSURANCE_PROVIDERS")</f>
        <v>#NAME?</v>
      </c>
      <c r="O1534" t="e">
        <f ca="1">BDP("46640KR7 Muni","GB_PROJECT_SELECTION_PROCESS")</f>
        <v>#NAME?</v>
      </c>
      <c r="P1534" t="e">
        <f ca="1">BDP("46640KR7 Muni","ESG_FRAMEWORK_INDICATOR")</f>
        <v>#NAME?</v>
      </c>
      <c r="Q1534" t="e">
        <f ca="1">BDP("46640KR7 Muni","BLOOMBERG_SECTOR_CODE")</f>
        <v>#NAME?</v>
      </c>
      <c r="R1534" t="e">
        <f ca="1">BDP("46640KR7 Muni","ISSUER_TYPE")</f>
        <v>#NAME?</v>
      </c>
      <c r="S1534" t="e">
        <f ca="1">BDS("46640KR7 Muni","ESG_PROJECT_CATEGORY", "aggregate=y")</f>
        <v>#NAME?</v>
      </c>
      <c r="T1534" t="e">
        <f ca="1">BDS("46640KR7 Muni","ESG_PROJECT_SUBCATEGORY", "aggregate=y")</f>
        <v>#NAME?</v>
      </c>
    </row>
    <row r="1535" spans="1:20" x14ac:dyDescent="0.25">
      <c r="A1535" t="e">
        <f ca="1">BDP("64986DPZ Muni","ID_CUSIP")</f>
        <v>#NAME?</v>
      </c>
      <c r="B1535" t="e">
        <f ca="1">BDP("64986DPZ Muni","STATE_CODE")</f>
        <v>#NAME?</v>
      </c>
      <c r="C1535" t="s">
        <v>90</v>
      </c>
      <c r="D1535" t="e">
        <f ca="1">BDP("64986DPZ Muni","YIELD_ON_ISSUE_DATE")</f>
        <v>#NAME?</v>
      </c>
      <c r="E1535">
        <v>11380000</v>
      </c>
      <c r="F1535" t="e">
        <f ca="1">BDP("64986DPZ Muni","ISSUE_DT")</f>
        <v>#NAME?</v>
      </c>
      <c r="G1535" t="e">
        <f ca="1">BDP("64986DPZ Muni","MATURITY")</f>
        <v>#NAME?</v>
      </c>
      <c r="H1535" t="e">
        <f ca="1">BDP("64986DPZ Muni","MUNI_TAX_PROV")</f>
        <v>#NAME?</v>
      </c>
      <c r="I1535" t="e">
        <f ca="1">BDP("64986DPZ Muni","FINANCING_TYPE")</f>
        <v>#NAME?</v>
      </c>
      <c r="J1535" t="e">
        <f ca="1">BDP("64986DPZ Muni","BICS_LEVEL_2_INDUSTRY_GROUP_NAME")</f>
        <v>#NAME?</v>
      </c>
      <c r="K1535" t="e">
        <f ca="1">BDP("64986DPZ Muni","SELF_REPRTD_GREEN_INSTR_INDCTR")</f>
        <v>#NAME?</v>
      </c>
      <c r="L1535" t="e">
        <f ca="1">BDP("64986DPZ Muni","GB_MANAGEMENT_PROCEEDS")</f>
        <v>#NAME?</v>
      </c>
      <c r="M1535" t="e">
        <f ca="1">BDP("64986DPZ Muni","GB_REPORTING")</f>
        <v>#NAME?</v>
      </c>
      <c r="N1535" t="e">
        <f ca="1">BDP("64986DPZ Muni","GB_ASSURANCE_PROVIDERS")</f>
        <v>#NAME?</v>
      </c>
      <c r="O1535" t="e">
        <f ca="1">BDP("64986DPZ Muni","GB_PROJECT_SELECTION_PROCESS")</f>
        <v>#NAME?</v>
      </c>
      <c r="P1535" t="e">
        <f ca="1">BDP("64986DPZ Muni","ESG_FRAMEWORK_INDICATOR")</f>
        <v>#NAME?</v>
      </c>
      <c r="Q1535" t="e">
        <f ca="1">BDP("64986DPZ Muni","BLOOMBERG_SECTOR_CODE")</f>
        <v>#NAME?</v>
      </c>
      <c r="R1535" t="e">
        <f ca="1">BDP("64986DPZ Muni","ISSUER_TYPE")</f>
        <v>#NAME?</v>
      </c>
      <c r="S1535" t="e">
        <f ca="1">BDS("64986DPZ Muni","ESG_PROJECT_CATEGORY", "aggregate=y")</f>
        <v>#NAME?</v>
      </c>
      <c r="T1535" t="e">
        <f ca="1">BDS("64986DPZ Muni","ESG_PROJECT_SUBCATEGORY", "aggregate=y")</f>
        <v>#NAME?</v>
      </c>
    </row>
    <row r="1536" spans="1:20" x14ac:dyDescent="0.25">
      <c r="A1536" t="e">
        <f ca="1">BDP("64986DQF Muni","ID_CUSIP")</f>
        <v>#NAME?</v>
      </c>
      <c r="B1536" t="e">
        <f ca="1">BDP("64986DQF Muni","STATE_CODE")</f>
        <v>#NAME?</v>
      </c>
      <c r="C1536" t="s">
        <v>90</v>
      </c>
      <c r="D1536" t="e">
        <f ca="1">BDP("64986DQF Muni","YIELD_ON_ISSUE_DATE")</f>
        <v>#NAME?</v>
      </c>
      <c r="E1536">
        <v>14390000</v>
      </c>
      <c r="F1536" t="e">
        <f ca="1">BDP("64986DQF Muni","ISSUE_DT")</f>
        <v>#NAME?</v>
      </c>
      <c r="G1536" t="e">
        <f ca="1">BDP("64986DQF Muni","MATURITY")</f>
        <v>#NAME?</v>
      </c>
      <c r="H1536" t="e">
        <f ca="1">BDP("64986DQF Muni","MUNI_TAX_PROV")</f>
        <v>#NAME?</v>
      </c>
      <c r="I1536" t="e">
        <f ca="1">BDP("64986DQF Muni","FINANCING_TYPE")</f>
        <v>#NAME?</v>
      </c>
      <c r="J1536" t="e">
        <f ca="1">BDP("64986DQF Muni","BICS_LEVEL_2_INDUSTRY_GROUP_NAME")</f>
        <v>#NAME?</v>
      </c>
      <c r="K1536" t="e">
        <f ca="1">BDP("64986DQF Muni","SELF_REPRTD_GREEN_INSTR_INDCTR")</f>
        <v>#NAME?</v>
      </c>
      <c r="L1536" t="e">
        <f ca="1">BDP("64986DQF Muni","GB_MANAGEMENT_PROCEEDS")</f>
        <v>#NAME?</v>
      </c>
      <c r="M1536" t="e">
        <f ca="1">BDP("64986DQF Muni","GB_REPORTING")</f>
        <v>#NAME?</v>
      </c>
      <c r="N1536" t="e">
        <f ca="1">BDP("64986DQF Muni","GB_ASSURANCE_PROVIDERS")</f>
        <v>#NAME?</v>
      </c>
      <c r="O1536" t="e">
        <f ca="1">BDP("64986DQF Muni","GB_PROJECT_SELECTION_PROCESS")</f>
        <v>#NAME?</v>
      </c>
      <c r="P1536" t="e">
        <f ca="1">BDP("64986DQF Muni","ESG_FRAMEWORK_INDICATOR")</f>
        <v>#NAME?</v>
      </c>
      <c r="Q1536" t="e">
        <f ca="1">BDP("64986DQF Muni","BLOOMBERG_SECTOR_CODE")</f>
        <v>#NAME?</v>
      </c>
      <c r="R1536" t="e">
        <f ca="1">BDP("64986DQF Muni","ISSUER_TYPE")</f>
        <v>#NAME?</v>
      </c>
      <c r="S1536" t="e">
        <f ca="1">BDS("64986DQF Muni","ESG_PROJECT_CATEGORY", "aggregate=y")</f>
        <v>#NAME?</v>
      </c>
      <c r="T1536" t="e">
        <f ca="1">BDS("64986DQF Muni","ESG_PROJECT_SUBCATEGORY", "aggregate=y")</f>
        <v>#NAME?</v>
      </c>
    </row>
    <row r="1537" spans="1:20" x14ac:dyDescent="0.25">
      <c r="A1537" t="e">
        <f ca="1">BDP("88035RHX Muni","ID_CUSIP")</f>
        <v>#NAME?</v>
      </c>
      <c r="B1537" t="e">
        <f ca="1">BDP("88035RHX Muni","STATE_CODE")</f>
        <v>#NAME?</v>
      </c>
      <c r="C1537" t="s">
        <v>25</v>
      </c>
      <c r="D1537" t="e">
        <f ca="1">BDP("88035RHX Muni","YIELD_ON_ISSUE_DATE")</f>
        <v>#NAME?</v>
      </c>
      <c r="E1537">
        <v>14400000</v>
      </c>
      <c r="F1537" t="e">
        <f ca="1">BDP("88035RHX Muni","ISSUE_DT")</f>
        <v>#NAME?</v>
      </c>
      <c r="G1537" t="e">
        <f ca="1">BDP("88035RHX Muni","MATURITY")</f>
        <v>#NAME?</v>
      </c>
      <c r="H1537" t="e">
        <f ca="1">BDP("88035RHX Muni","MUNI_TAX_PROV")</f>
        <v>#NAME?</v>
      </c>
      <c r="I1537" t="e">
        <f ca="1">BDP("88035RHX Muni","FINANCING_TYPE")</f>
        <v>#NAME?</v>
      </c>
      <c r="J1537" t="e">
        <f ca="1">BDP("88035RHX Muni","BICS_LEVEL_2_INDUSTRY_GROUP_NAME")</f>
        <v>#NAME?</v>
      </c>
      <c r="K1537" t="e">
        <f ca="1">BDP("88035RHX Muni","SELF_REPRTD_GREEN_INSTR_INDCTR")</f>
        <v>#NAME?</v>
      </c>
      <c r="L1537" t="e">
        <f ca="1">BDP("88035RHX Muni","GB_MANAGEMENT_PROCEEDS")</f>
        <v>#NAME?</v>
      </c>
      <c r="M1537" t="e">
        <f ca="1">BDP("88035RHX Muni","GB_REPORTING")</f>
        <v>#NAME?</v>
      </c>
      <c r="N1537" t="e">
        <f ca="1">BDP("88035RHX Muni","GB_ASSURANCE_PROVIDERS")</f>
        <v>#NAME?</v>
      </c>
      <c r="O1537" t="e">
        <f ca="1">BDP("88035RHX Muni","GB_PROJECT_SELECTION_PROCESS")</f>
        <v>#NAME?</v>
      </c>
      <c r="P1537" t="e">
        <f ca="1">BDP("88035RHX Muni","ESG_FRAMEWORK_INDICATOR")</f>
        <v>#NAME?</v>
      </c>
      <c r="Q1537" t="e">
        <f ca="1">BDP("88035RHX Muni","BLOOMBERG_SECTOR_CODE")</f>
        <v>#NAME?</v>
      </c>
      <c r="R1537" t="e">
        <f ca="1">BDP("88035RHX Muni","ISSUER_TYPE")</f>
        <v>#NAME?</v>
      </c>
      <c r="S1537" t="e">
        <f ca="1">BDS("88035RHX Muni","ESG_PROJECT_CATEGORY", "aggregate=y")</f>
        <v>#NAME?</v>
      </c>
      <c r="T1537" t="e">
        <f ca="1">BDS("88035RHX Muni","ESG_PROJECT_SUBCATEGORY", "aggregate=y")</f>
        <v>#NAME?</v>
      </c>
    </row>
    <row r="1538" spans="1:20" x14ac:dyDescent="0.25">
      <c r="A1538" t="e">
        <f ca="1">BDP("916091JQ Muni","ID_CUSIP")</f>
        <v>#NAME?</v>
      </c>
      <c r="B1538" t="e">
        <f ca="1">BDP("916091JQ Muni","STATE_CODE")</f>
        <v>#NAME?</v>
      </c>
      <c r="C1538" t="s">
        <v>86</v>
      </c>
      <c r="D1538" t="e">
        <f ca="1">BDP("916091JQ Muni","YIELD_ON_ISSUE_DATE")</f>
        <v>#NAME?</v>
      </c>
      <c r="E1538">
        <v>170000</v>
      </c>
      <c r="F1538" t="e">
        <f ca="1">BDP("916091JQ Muni","ISSUE_DT")</f>
        <v>#NAME?</v>
      </c>
      <c r="G1538" t="e">
        <f ca="1">BDP("916091JQ Muni","MATURITY")</f>
        <v>#NAME?</v>
      </c>
      <c r="H1538" t="e">
        <f ca="1">BDP("916091JQ Muni","MUNI_TAX_PROV")</f>
        <v>#NAME?</v>
      </c>
      <c r="I1538" t="e">
        <f ca="1">BDP("916091JQ Muni","FINANCING_TYPE")</f>
        <v>#NAME?</v>
      </c>
      <c r="J1538" t="e">
        <f ca="1">BDP("916091JQ Muni","BICS_LEVEL_2_INDUSTRY_GROUP_NAME")</f>
        <v>#NAME?</v>
      </c>
      <c r="K1538" t="e">
        <f ca="1">BDP("916091JQ Muni","SELF_REPRTD_GREEN_INSTR_INDCTR")</f>
        <v>#NAME?</v>
      </c>
      <c r="L1538" t="e">
        <f ca="1">BDP("916091JQ Muni","GB_MANAGEMENT_PROCEEDS")</f>
        <v>#NAME?</v>
      </c>
      <c r="M1538" t="e">
        <f ca="1">BDP("916091JQ Muni","GB_REPORTING")</f>
        <v>#NAME?</v>
      </c>
      <c r="N1538" t="e">
        <f ca="1">BDP("916091JQ Muni","GB_ASSURANCE_PROVIDERS")</f>
        <v>#NAME?</v>
      </c>
      <c r="O1538" t="e">
        <f ca="1">BDP("916091JQ Muni","GB_PROJECT_SELECTION_PROCESS")</f>
        <v>#NAME?</v>
      </c>
      <c r="P1538" t="e">
        <f ca="1">BDP("916091JQ Muni","ESG_FRAMEWORK_INDICATOR")</f>
        <v>#NAME?</v>
      </c>
      <c r="Q1538" t="e">
        <f ca="1">BDP("916091JQ Muni","BLOOMBERG_SECTOR_CODE")</f>
        <v>#NAME?</v>
      </c>
      <c r="R1538" t="e">
        <f ca="1">BDP("916091JQ Muni","ISSUER_TYPE")</f>
        <v>#NAME?</v>
      </c>
      <c r="S1538" t="e">
        <f ca="1">BDS("916091JQ Muni","ESG_PROJECT_CATEGORY", "aggregate=y")</f>
        <v>#NAME?</v>
      </c>
      <c r="T1538" t="e">
        <f ca="1">BDS("916091JQ Muni","ESG_PROJECT_SUBCATEGORY", "aggregate=y")</f>
        <v>#NAME?</v>
      </c>
    </row>
    <row r="1539" spans="1:20" x14ac:dyDescent="0.25">
      <c r="A1539" t="e">
        <f ca="1">BDP("64985H3R Muni","ID_CUSIP")</f>
        <v>#NAME?</v>
      </c>
      <c r="B1539" t="e">
        <f ca="1">BDP("64985H3R Muni","STATE_CODE")</f>
        <v>#NAME?</v>
      </c>
      <c r="C1539" t="s">
        <v>90</v>
      </c>
      <c r="D1539" t="e">
        <f ca="1">BDP("64985H3R Muni","YIELD_ON_ISSUE_DATE")</f>
        <v>#NAME?</v>
      </c>
      <c r="E1539">
        <v>2695000</v>
      </c>
      <c r="F1539" t="e">
        <f ca="1">BDP("64985H3R Muni","ISSUE_DT")</f>
        <v>#NAME?</v>
      </c>
      <c r="G1539" t="e">
        <f ca="1">BDP("64985H3R Muni","MATURITY")</f>
        <v>#NAME?</v>
      </c>
      <c r="H1539" t="e">
        <f ca="1">BDP("64985H3R Muni","MUNI_TAX_PROV")</f>
        <v>#NAME?</v>
      </c>
      <c r="I1539" t="e">
        <f ca="1">BDP("64985H3R Muni","FINANCING_TYPE")</f>
        <v>#NAME?</v>
      </c>
      <c r="J1539" t="e">
        <f ca="1">BDP("64985H3R Muni","BICS_LEVEL_2_INDUSTRY_GROUP_NAME")</f>
        <v>#NAME?</v>
      </c>
      <c r="K1539" t="e">
        <f ca="1">BDP("64985H3R Muni","SELF_REPRTD_GREEN_INSTR_INDCTR")</f>
        <v>#NAME?</v>
      </c>
      <c r="L1539" t="e">
        <f ca="1">BDP("64985H3R Muni","GB_MANAGEMENT_PROCEEDS")</f>
        <v>#NAME?</v>
      </c>
      <c r="M1539" t="e">
        <f ca="1">BDP("64985H3R Muni","GB_REPORTING")</f>
        <v>#NAME?</v>
      </c>
      <c r="N1539" t="e">
        <f ca="1">BDP("64985H3R Muni","GB_ASSURANCE_PROVIDERS")</f>
        <v>#NAME?</v>
      </c>
      <c r="O1539" t="e">
        <f ca="1">BDP("64985H3R Muni","GB_PROJECT_SELECTION_PROCESS")</f>
        <v>#NAME?</v>
      </c>
      <c r="P1539" t="e">
        <f ca="1">BDP("64985H3R Muni","ESG_FRAMEWORK_INDICATOR")</f>
        <v>#NAME?</v>
      </c>
      <c r="Q1539" t="e">
        <f ca="1">BDP("64985H3R Muni","BLOOMBERG_SECTOR_CODE")</f>
        <v>#NAME?</v>
      </c>
      <c r="R1539" t="e">
        <f ca="1">BDP("64985H3R Muni","ISSUER_TYPE")</f>
        <v>#NAME?</v>
      </c>
      <c r="S1539" t="e">
        <f ca="1">BDS("64985H3R Muni","ESG_PROJECT_CATEGORY", "aggregate=y")</f>
        <v>#NAME?</v>
      </c>
      <c r="T1539" t="e">
        <f ca="1">BDS("64985H3R Muni","ESG_PROJECT_SUBCATEGORY", "aggregate=y")</f>
        <v>#NAME?</v>
      </c>
    </row>
    <row r="1540" spans="1:20" x14ac:dyDescent="0.25">
      <c r="A1540" t="e">
        <f ca="1">BDP("64985H3X Muni","ID_CUSIP")</f>
        <v>#NAME?</v>
      </c>
      <c r="B1540" t="e">
        <f ca="1">BDP("64985H3X Muni","STATE_CODE")</f>
        <v>#NAME?</v>
      </c>
      <c r="C1540" t="s">
        <v>90</v>
      </c>
      <c r="D1540" t="e">
        <f ca="1">BDP("64985H3X Muni","YIELD_ON_ISSUE_DATE")</f>
        <v>#NAME?</v>
      </c>
      <c r="E1540">
        <v>3435000</v>
      </c>
      <c r="F1540" t="e">
        <f ca="1">BDP("64985H3X Muni","ISSUE_DT")</f>
        <v>#NAME?</v>
      </c>
      <c r="G1540" t="e">
        <f ca="1">BDP("64985H3X Muni","MATURITY")</f>
        <v>#NAME?</v>
      </c>
      <c r="H1540" t="e">
        <f ca="1">BDP("64985H3X Muni","MUNI_TAX_PROV")</f>
        <v>#NAME?</v>
      </c>
      <c r="I1540" t="e">
        <f ca="1">BDP("64985H3X Muni","FINANCING_TYPE")</f>
        <v>#NAME?</v>
      </c>
      <c r="J1540" t="e">
        <f ca="1">BDP("64985H3X Muni","BICS_LEVEL_2_INDUSTRY_GROUP_NAME")</f>
        <v>#NAME?</v>
      </c>
      <c r="K1540" t="e">
        <f ca="1">BDP("64985H3X Muni","SELF_REPRTD_GREEN_INSTR_INDCTR")</f>
        <v>#NAME?</v>
      </c>
      <c r="L1540" t="e">
        <f ca="1">BDP("64985H3X Muni","GB_MANAGEMENT_PROCEEDS")</f>
        <v>#NAME?</v>
      </c>
      <c r="M1540" t="e">
        <f ca="1">BDP("64985H3X Muni","GB_REPORTING")</f>
        <v>#NAME?</v>
      </c>
      <c r="N1540" t="e">
        <f ca="1">BDP("64985H3X Muni","GB_ASSURANCE_PROVIDERS")</f>
        <v>#NAME?</v>
      </c>
      <c r="O1540" t="e">
        <f ca="1">BDP("64985H3X Muni","GB_PROJECT_SELECTION_PROCESS")</f>
        <v>#NAME?</v>
      </c>
      <c r="P1540" t="e">
        <f ca="1">BDP("64985H3X Muni","ESG_FRAMEWORK_INDICATOR")</f>
        <v>#NAME?</v>
      </c>
      <c r="Q1540" t="e">
        <f ca="1">BDP("64985H3X Muni","BLOOMBERG_SECTOR_CODE")</f>
        <v>#NAME?</v>
      </c>
      <c r="R1540" t="e">
        <f ca="1">BDP("64985H3X Muni","ISSUER_TYPE")</f>
        <v>#NAME?</v>
      </c>
      <c r="S1540" t="e">
        <f ca="1">BDS("64985H3X Muni","ESG_PROJECT_CATEGORY", "aggregate=y")</f>
        <v>#NAME?</v>
      </c>
      <c r="T1540" t="e">
        <f ca="1">BDS("64985H3X Muni","ESG_PROJECT_SUBCATEGORY", "aggregate=y")</f>
        <v>#NAME?</v>
      </c>
    </row>
    <row r="1541" spans="1:20" x14ac:dyDescent="0.25">
      <c r="A1541" t="e">
        <f ca="1">BDP("64985VBP Muni","ID_CUSIP")</f>
        <v>#NAME?</v>
      </c>
      <c r="B1541" t="e">
        <f ca="1">BDP("64985VBP Muni","STATE_CODE")</f>
        <v>#NAME?</v>
      </c>
      <c r="C1541" t="s">
        <v>91</v>
      </c>
      <c r="D1541" t="e">
        <f ca="1">BDP("64985VBP Muni","YIELD_ON_ISSUE_DATE")</f>
        <v>#NAME?</v>
      </c>
      <c r="E1541">
        <v>15000000</v>
      </c>
      <c r="F1541" t="e">
        <f ca="1">BDP("64985VBP Muni","ISSUE_DT")</f>
        <v>#NAME?</v>
      </c>
      <c r="G1541" t="e">
        <f ca="1">BDP("64985VBP Muni","MATURITY")</f>
        <v>#NAME?</v>
      </c>
      <c r="H1541" t="e">
        <f ca="1">BDP("64985VBP Muni","MUNI_TAX_PROV")</f>
        <v>#NAME?</v>
      </c>
      <c r="I1541" t="e">
        <f ca="1">BDP("64985VBP Muni","FINANCING_TYPE")</f>
        <v>#NAME?</v>
      </c>
      <c r="J1541" t="e">
        <f ca="1">BDP("64985VBP Muni","BICS_LEVEL_2_INDUSTRY_GROUP_NAME")</f>
        <v>#NAME?</v>
      </c>
      <c r="K1541" t="e">
        <f ca="1">BDP("64985VBP Muni","SELF_REPRTD_GREEN_INSTR_INDCTR")</f>
        <v>#NAME?</v>
      </c>
      <c r="L1541" t="e">
        <f ca="1">BDP("64985VBP Muni","GB_MANAGEMENT_PROCEEDS")</f>
        <v>#NAME?</v>
      </c>
      <c r="M1541" t="e">
        <f ca="1">BDP("64985VBP Muni","GB_REPORTING")</f>
        <v>#NAME?</v>
      </c>
      <c r="N1541" t="e">
        <f ca="1">BDP("64985VBP Muni","GB_ASSURANCE_PROVIDERS")</f>
        <v>#NAME?</v>
      </c>
      <c r="O1541" t="e">
        <f ca="1">BDP("64985VBP Muni","GB_PROJECT_SELECTION_PROCESS")</f>
        <v>#NAME?</v>
      </c>
      <c r="P1541" t="e">
        <f ca="1">BDP("64985VBP Muni","ESG_FRAMEWORK_INDICATOR")</f>
        <v>#NAME?</v>
      </c>
      <c r="Q1541" t="e">
        <f ca="1">BDP("64985VBP Muni","BLOOMBERG_SECTOR_CODE")</f>
        <v>#NAME?</v>
      </c>
      <c r="R1541" t="e">
        <f ca="1">BDP("64985VBP Muni","ISSUER_TYPE")</f>
        <v>#NAME?</v>
      </c>
      <c r="S1541" t="e">
        <f ca="1">BDS("64985VBP Muni","ESG_PROJECT_CATEGORY", "aggregate=y")</f>
        <v>#NAME?</v>
      </c>
      <c r="T1541" t="e">
        <f ca="1">BDS("64985VBP Muni","ESG_PROJECT_SUBCATEGORY", "aggregate=y")</f>
        <v>#NAME?</v>
      </c>
    </row>
    <row r="1542" spans="1:20" x14ac:dyDescent="0.25">
      <c r="A1542" t="e">
        <f ca="1">BDP("64986DQA Muni","ID_CUSIP")</f>
        <v>#NAME?</v>
      </c>
      <c r="B1542" t="e">
        <f ca="1">BDP("64986DQA Muni","STATE_CODE")</f>
        <v>#NAME?</v>
      </c>
      <c r="C1542" t="s">
        <v>90</v>
      </c>
      <c r="D1542" t="e">
        <f ca="1">BDP("64986DQA Muni","YIELD_ON_ISSUE_DATE")</f>
        <v>#NAME?</v>
      </c>
      <c r="E1542">
        <v>11825000</v>
      </c>
      <c r="F1542" t="e">
        <f ca="1">BDP("64986DQA Muni","ISSUE_DT")</f>
        <v>#NAME?</v>
      </c>
      <c r="G1542" t="e">
        <f ca="1">BDP("64986DQA Muni","MATURITY")</f>
        <v>#NAME?</v>
      </c>
      <c r="H1542" t="e">
        <f ca="1">BDP("64986DQA Muni","MUNI_TAX_PROV")</f>
        <v>#NAME?</v>
      </c>
      <c r="I1542" t="e">
        <f ca="1">BDP("64986DQA Muni","FINANCING_TYPE")</f>
        <v>#NAME?</v>
      </c>
      <c r="J1542" t="e">
        <f ca="1">BDP("64986DQA Muni","BICS_LEVEL_2_INDUSTRY_GROUP_NAME")</f>
        <v>#NAME?</v>
      </c>
      <c r="K1542" t="e">
        <f ca="1">BDP("64986DQA Muni","SELF_REPRTD_GREEN_INSTR_INDCTR")</f>
        <v>#NAME?</v>
      </c>
      <c r="L1542" t="e">
        <f ca="1">BDP("64986DQA Muni","GB_MANAGEMENT_PROCEEDS")</f>
        <v>#NAME?</v>
      </c>
      <c r="M1542" t="e">
        <f ca="1">BDP("64986DQA Muni","GB_REPORTING")</f>
        <v>#NAME?</v>
      </c>
      <c r="N1542" t="e">
        <f ca="1">BDP("64986DQA Muni","GB_ASSURANCE_PROVIDERS")</f>
        <v>#NAME?</v>
      </c>
      <c r="O1542" t="e">
        <f ca="1">BDP("64986DQA Muni","GB_PROJECT_SELECTION_PROCESS")</f>
        <v>#NAME?</v>
      </c>
      <c r="P1542" t="e">
        <f ca="1">BDP("64986DQA Muni","ESG_FRAMEWORK_INDICATOR")</f>
        <v>#NAME?</v>
      </c>
      <c r="Q1542" t="e">
        <f ca="1">BDP("64986DQA Muni","BLOOMBERG_SECTOR_CODE")</f>
        <v>#NAME?</v>
      </c>
      <c r="R1542" t="e">
        <f ca="1">BDP("64986DQA Muni","ISSUER_TYPE")</f>
        <v>#NAME?</v>
      </c>
      <c r="S1542" t="e">
        <f ca="1">BDS("64986DQA Muni","ESG_PROJECT_CATEGORY", "aggregate=y")</f>
        <v>#NAME?</v>
      </c>
      <c r="T1542" t="e">
        <f ca="1">BDS("64986DQA Muni","ESG_PROJECT_SUBCATEGORY", "aggregate=y")</f>
        <v>#NAME?</v>
      </c>
    </row>
    <row r="1543" spans="1:20" x14ac:dyDescent="0.25">
      <c r="A1543" t="e">
        <f ca="1">BDP("88035RCB Muni","ID_CUSIP")</f>
        <v>#NAME?</v>
      </c>
      <c r="B1543" t="e">
        <f ca="1">BDP("88035RCB Muni","STATE_CODE")</f>
        <v>#NAME?</v>
      </c>
      <c r="C1543" t="s">
        <v>25</v>
      </c>
      <c r="D1543" t="e">
        <f ca="1">BDP("88035RCB Muni","YIELD_ON_ISSUE_DATE")</f>
        <v>#NAME?</v>
      </c>
      <c r="E1543">
        <v>16400000</v>
      </c>
      <c r="F1543" t="e">
        <f ca="1">BDP("88035RCB Muni","ISSUE_DT")</f>
        <v>#NAME?</v>
      </c>
      <c r="G1543" t="e">
        <f ca="1">BDP("88035RCB Muni","MATURITY")</f>
        <v>#NAME?</v>
      </c>
      <c r="H1543" t="e">
        <f ca="1">BDP("88035RCB Muni","MUNI_TAX_PROV")</f>
        <v>#NAME?</v>
      </c>
      <c r="I1543" t="e">
        <f ca="1">BDP("88035RCB Muni","FINANCING_TYPE")</f>
        <v>#NAME?</v>
      </c>
      <c r="J1543" t="e">
        <f ca="1">BDP("88035RCB Muni","BICS_LEVEL_2_INDUSTRY_GROUP_NAME")</f>
        <v>#NAME?</v>
      </c>
      <c r="K1543" t="e">
        <f ca="1">BDP("88035RCB Muni","SELF_REPRTD_GREEN_INSTR_INDCTR")</f>
        <v>#NAME?</v>
      </c>
      <c r="L1543" t="e">
        <f ca="1">BDP("88035RCB Muni","GB_MANAGEMENT_PROCEEDS")</f>
        <v>#NAME?</v>
      </c>
      <c r="M1543" t="e">
        <f ca="1">BDP("88035RCB Muni","GB_REPORTING")</f>
        <v>#NAME?</v>
      </c>
      <c r="N1543" t="e">
        <f ca="1">BDP("88035RCB Muni","GB_ASSURANCE_PROVIDERS")</f>
        <v>#NAME?</v>
      </c>
      <c r="O1543" t="e">
        <f ca="1">BDP("88035RCB Muni","GB_PROJECT_SELECTION_PROCESS")</f>
        <v>#NAME?</v>
      </c>
      <c r="P1543" t="e">
        <f ca="1">BDP("88035RCB Muni","ESG_FRAMEWORK_INDICATOR")</f>
        <v>#NAME?</v>
      </c>
      <c r="Q1543" t="e">
        <f ca="1">BDP("88035RCB Muni","BLOOMBERG_SECTOR_CODE")</f>
        <v>#NAME?</v>
      </c>
      <c r="R1543" t="e">
        <f ca="1">BDP("88035RCB Muni","ISSUER_TYPE")</f>
        <v>#NAME?</v>
      </c>
      <c r="S1543" t="e">
        <f ca="1">BDS("88035RCB Muni","ESG_PROJECT_CATEGORY", "aggregate=y")</f>
        <v>#NAME?</v>
      </c>
      <c r="T1543" t="e">
        <f ca="1">BDS("88035RCB Muni","ESG_PROJECT_SUBCATEGORY", "aggregate=y")</f>
        <v>#NAME?</v>
      </c>
    </row>
    <row r="1544" spans="1:20" x14ac:dyDescent="0.25">
      <c r="A1544" t="e">
        <f ca="1">BDP("88035RRP Muni","ID_CUSIP")</f>
        <v>#NAME?</v>
      </c>
      <c r="B1544" t="e">
        <f ca="1">BDP("88035RRP Muni","STATE_CODE")</f>
        <v>#NAME?</v>
      </c>
      <c r="C1544" t="s">
        <v>25</v>
      </c>
      <c r="D1544" t="e">
        <f ca="1">BDP("88035RRP Muni","YIELD_ON_ISSUE_DATE")</f>
        <v>#NAME?</v>
      </c>
      <c r="E1544">
        <v>35780000</v>
      </c>
      <c r="F1544" t="e">
        <f ca="1">BDP("88035RRP Muni","ISSUE_DT")</f>
        <v>#NAME?</v>
      </c>
      <c r="G1544" t="e">
        <f ca="1">BDP("88035RRP Muni","MATURITY")</f>
        <v>#NAME?</v>
      </c>
      <c r="H1544" t="e">
        <f ca="1">BDP("88035RRP Muni","MUNI_TAX_PROV")</f>
        <v>#NAME?</v>
      </c>
      <c r="I1544" t="e">
        <f ca="1">BDP("88035RRP Muni","FINANCING_TYPE")</f>
        <v>#NAME?</v>
      </c>
      <c r="J1544" t="e">
        <f ca="1">BDP("88035RRP Muni","BICS_LEVEL_2_INDUSTRY_GROUP_NAME")</f>
        <v>#NAME?</v>
      </c>
      <c r="K1544" t="e">
        <f ca="1">BDP("88035RRP Muni","SELF_REPRTD_GREEN_INSTR_INDCTR")</f>
        <v>#NAME?</v>
      </c>
      <c r="L1544" t="e">
        <f ca="1">BDP("88035RRP Muni","GB_MANAGEMENT_PROCEEDS")</f>
        <v>#NAME?</v>
      </c>
      <c r="M1544" t="e">
        <f ca="1">BDP("88035RRP Muni","GB_REPORTING")</f>
        <v>#NAME?</v>
      </c>
      <c r="N1544" t="e">
        <f ca="1">BDP("88035RRP Muni","GB_ASSURANCE_PROVIDERS")</f>
        <v>#NAME?</v>
      </c>
      <c r="O1544" t="e">
        <f ca="1">BDP("88035RRP Muni","GB_PROJECT_SELECTION_PROCESS")</f>
        <v>#NAME?</v>
      </c>
      <c r="P1544" t="e">
        <f ca="1">BDP("88035RRP Muni","ESG_FRAMEWORK_INDICATOR")</f>
        <v>#NAME?</v>
      </c>
      <c r="Q1544" t="e">
        <f ca="1">BDP("88035RRP Muni","BLOOMBERG_SECTOR_CODE")</f>
        <v>#NAME?</v>
      </c>
      <c r="R1544" t="e">
        <f ca="1">BDP("88035RRP Muni","ISSUER_TYPE")</f>
        <v>#NAME?</v>
      </c>
      <c r="S1544" t="e">
        <f ca="1">BDS("88035RRP Muni","ESG_PROJECT_CATEGORY", "aggregate=y")</f>
        <v>#NAME?</v>
      </c>
      <c r="T1544" t="e">
        <f ca="1">BDS("88035RRP Muni","ESG_PROJECT_SUBCATEGORY", "aggregate=y")</f>
        <v>#NAME?</v>
      </c>
    </row>
    <row r="1545" spans="1:20" x14ac:dyDescent="0.25">
      <c r="A1545" t="e">
        <f ca="1">BDP("274767JC Muni","ID_CUSIP")</f>
        <v>#NAME?</v>
      </c>
      <c r="B1545" t="e">
        <f ca="1">BDP("274767JC Muni","STATE_CODE")</f>
        <v>#NAME?</v>
      </c>
      <c r="C1545" t="s">
        <v>88</v>
      </c>
      <c r="D1545" t="e">
        <f ca="1">BDP("274767JC Muni","YIELD_ON_ISSUE_DATE")</f>
        <v>#NAME?</v>
      </c>
      <c r="E1545">
        <v>215000</v>
      </c>
      <c r="F1545" t="e">
        <f ca="1">BDP("274767JC Muni","ISSUE_DT")</f>
        <v>#NAME?</v>
      </c>
      <c r="G1545" t="e">
        <f ca="1">BDP("274767JC Muni","MATURITY")</f>
        <v>#NAME?</v>
      </c>
      <c r="H1545" t="e">
        <f ca="1">BDP("274767JC Muni","MUNI_TAX_PROV")</f>
        <v>#NAME?</v>
      </c>
      <c r="I1545" t="e">
        <f ca="1">BDP("274767JC Muni","FINANCING_TYPE")</f>
        <v>#NAME?</v>
      </c>
      <c r="J1545" t="e">
        <f ca="1">BDP("274767JC Muni","BICS_LEVEL_2_INDUSTRY_GROUP_NAME")</f>
        <v>#NAME?</v>
      </c>
      <c r="K1545" t="e">
        <f ca="1">BDP("274767JC Muni","SELF_REPRTD_GREEN_INSTR_INDCTR")</f>
        <v>#NAME?</v>
      </c>
      <c r="L1545" t="e">
        <f ca="1">BDP("274767JC Muni","GB_MANAGEMENT_PROCEEDS")</f>
        <v>#NAME?</v>
      </c>
      <c r="M1545" t="e">
        <f ca="1">BDP("274767JC Muni","GB_REPORTING")</f>
        <v>#NAME?</v>
      </c>
      <c r="N1545" t="e">
        <f ca="1">BDP("274767JC Muni","GB_ASSURANCE_PROVIDERS")</f>
        <v>#NAME?</v>
      </c>
      <c r="O1545" t="e">
        <f ca="1">BDP("274767JC Muni","GB_PROJECT_SELECTION_PROCESS")</f>
        <v>#NAME?</v>
      </c>
      <c r="P1545" t="e">
        <f ca="1">BDP("274767JC Muni","ESG_FRAMEWORK_INDICATOR")</f>
        <v>#NAME?</v>
      </c>
      <c r="Q1545" t="e">
        <f ca="1">BDP("274767JC Muni","BLOOMBERG_SECTOR_CODE")</f>
        <v>#NAME?</v>
      </c>
      <c r="R1545" t="e">
        <f ca="1">BDP("274767JC Muni","ISSUER_TYPE")</f>
        <v>#NAME?</v>
      </c>
      <c r="S1545" t="e">
        <f ca="1">BDS("274767JC Muni","ESG_PROJECT_CATEGORY", "aggregate=y")</f>
        <v>#NAME?</v>
      </c>
      <c r="T1545" t="e">
        <f ca="1">BDS("274767JC Muni","ESG_PROJECT_SUBCATEGORY", "aggregate=y")</f>
        <v>#NAME?</v>
      </c>
    </row>
    <row r="1546" spans="1:20" x14ac:dyDescent="0.25">
      <c r="A1546" t="e">
        <f ca="1">BDP("274767JM Muni","ID_CUSIP")</f>
        <v>#NAME?</v>
      </c>
      <c r="B1546" t="e">
        <f ca="1">BDP("274767JM Muni","STATE_CODE")</f>
        <v>#NAME?</v>
      </c>
      <c r="C1546" t="s">
        <v>88</v>
      </c>
      <c r="D1546" t="e">
        <f ca="1">BDP("274767JM Muni","YIELD_ON_ISSUE_DATE")</f>
        <v>#NAME?</v>
      </c>
      <c r="E1546">
        <v>295000</v>
      </c>
      <c r="F1546" t="e">
        <f ca="1">BDP("274767JM Muni","ISSUE_DT")</f>
        <v>#NAME?</v>
      </c>
      <c r="G1546" t="e">
        <f ca="1">BDP("274767JM Muni","MATURITY")</f>
        <v>#NAME?</v>
      </c>
      <c r="H1546" t="e">
        <f ca="1">BDP("274767JM Muni","MUNI_TAX_PROV")</f>
        <v>#NAME?</v>
      </c>
      <c r="I1546" t="e">
        <f ca="1">BDP("274767JM Muni","FINANCING_TYPE")</f>
        <v>#NAME?</v>
      </c>
      <c r="J1546" t="e">
        <f ca="1">BDP("274767JM Muni","BICS_LEVEL_2_INDUSTRY_GROUP_NAME")</f>
        <v>#NAME?</v>
      </c>
      <c r="K1546" t="e">
        <f ca="1">BDP("274767JM Muni","SELF_REPRTD_GREEN_INSTR_INDCTR")</f>
        <v>#NAME?</v>
      </c>
      <c r="L1546" t="e">
        <f ca="1">BDP("274767JM Muni","GB_MANAGEMENT_PROCEEDS")</f>
        <v>#NAME?</v>
      </c>
      <c r="M1546" t="e">
        <f ca="1">BDP("274767JM Muni","GB_REPORTING")</f>
        <v>#NAME?</v>
      </c>
      <c r="N1546" t="e">
        <f ca="1">BDP("274767JM Muni","GB_ASSURANCE_PROVIDERS")</f>
        <v>#NAME?</v>
      </c>
      <c r="O1546" t="e">
        <f ca="1">BDP("274767JM Muni","GB_PROJECT_SELECTION_PROCESS")</f>
        <v>#NAME?</v>
      </c>
      <c r="P1546" t="e">
        <f ca="1">BDP("274767JM Muni","ESG_FRAMEWORK_INDICATOR")</f>
        <v>#NAME?</v>
      </c>
      <c r="Q1546" t="e">
        <f ca="1">BDP("274767JM Muni","BLOOMBERG_SECTOR_CODE")</f>
        <v>#NAME?</v>
      </c>
      <c r="R1546" t="e">
        <f ca="1">BDP("274767JM Muni","ISSUER_TYPE")</f>
        <v>#NAME?</v>
      </c>
      <c r="S1546" t="e">
        <f ca="1">BDS("274767JM Muni","ESG_PROJECT_CATEGORY", "aggregate=y")</f>
        <v>#NAME?</v>
      </c>
      <c r="T1546" t="e">
        <f ca="1">BDS("274767JM Muni","ESG_PROJECT_SUBCATEGORY", "aggregate=y")</f>
        <v>#NAME?</v>
      </c>
    </row>
    <row r="1547" spans="1:20" x14ac:dyDescent="0.25">
      <c r="A1547" t="e">
        <f ca="1">BDP("59261A4T Muni","ID_CUSIP")</f>
        <v>#NAME?</v>
      </c>
      <c r="B1547" t="e">
        <f ca="1">BDP("59261A4T Muni","STATE_CODE")</f>
        <v>#NAME?</v>
      </c>
      <c r="C1547" t="s">
        <v>89</v>
      </c>
      <c r="D1547" t="e">
        <f ca="1">BDP("59261A4T Muni","YIELD_ON_ISSUE_DATE")</f>
        <v>#NAME?</v>
      </c>
      <c r="E1547">
        <v>26690000</v>
      </c>
      <c r="F1547" t="e">
        <f ca="1">BDP("59261A4T Muni","ISSUE_DT")</f>
        <v>#NAME?</v>
      </c>
      <c r="G1547" t="e">
        <f ca="1">BDP("59261A4T Muni","MATURITY")</f>
        <v>#NAME?</v>
      </c>
      <c r="H1547" t="e">
        <f ca="1">BDP("59261A4T Muni","MUNI_TAX_PROV")</f>
        <v>#NAME?</v>
      </c>
      <c r="I1547" t="e">
        <f ca="1">BDP("59261A4T Muni","FINANCING_TYPE")</f>
        <v>#NAME?</v>
      </c>
      <c r="J1547" t="e">
        <f ca="1">BDP("59261A4T Muni","BICS_LEVEL_2_INDUSTRY_GROUP_NAME")</f>
        <v>#NAME?</v>
      </c>
      <c r="K1547" t="e">
        <f ca="1">BDP("59261A4T Muni","SELF_REPRTD_GREEN_INSTR_INDCTR")</f>
        <v>#NAME?</v>
      </c>
      <c r="L1547" t="e">
        <f ca="1">BDP("59261A4T Muni","GB_MANAGEMENT_PROCEEDS")</f>
        <v>#NAME?</v>
      </c>
      <c r="M1547" t="e">
        <f ca="1">BDP("59261A4T Muni","GB_REPORTING")</f>
        <v>#NAME?</v>
      </c>
      <c r="N1547" t="e">
        <f ca="1">BDP("59261A4T Muni","GB_ASSURANCE_PROVIDERS")</f>
        <v>#NAME?</v>
      </c>
      <c r="O1547" t="e">
        <f ca="1">BDP("59261A4T Muni","GB_PROJECT_SELECTION_PROCESS")</f>
        <v>#NAME?</v>
      </c>
      <c r="P1547" t="e">
        <f ca="1">BDP("59261A4T Muni","ESG_FRAMEWORK_INDICATOR")</f>
        <v>#NAME?</v>
      </c>
      <c r="Q1547" t="e">
        <f ca="1">BDP("59261A4T Muni","BLOOMBERG_SECTOR_CODE")</f>
        <v>#NAME?</v>
      </c>
      <c r="R1547" t="e">
        <f ca="1">BDP("59261A4T Muni","ISSUER_TYPE")</f>
        <v>#NAME?</v>
      </c>
      <c r="S1547" t="e">
        <f ca="1">BDS("59261A4T Muni","ESG_PROJECT_CATEGORY", "aggregate=y")</f>
        <v>#NAME?</v>
      </c>
      <c r="T1547" t="e">
        <f ca="1">BDS("59261A4T Muni","ESG_PROJECT_SUBCATEGORY", "aggregate=y")</f>
        <v>#NAME?</v>
      </c>
    </row>
    <row r="1548" spans="1:20" x14ac:dyDescent="0.25">
      <c r="A1548" t="e">
        <f ca="1">BDP("59261A4U Muni","ID_CUSIP")</f>
        <v>#NAME?</v>
      </c>
      <c r="B1548" t="e">
        <f ca="1">BDP("59261A4U Muni","STATE_CODE")</f>
        <v>#NAME?</v>
      </c>
      <c r="C1548" t="s">
        <v>89</v>
      </c>
      <c r="D1548" t="e">
        <f ca="1">BDP("59261A4U Muni","YIELD_ON_ISSUE_DATE")</f>
        <v>#NAME?</v>
      </c>
      <c r="E1548">
        <v>63180000</v>
      </c>
      <c r="F1548" t="e">
        <f ca="1">BDP("59261A4U Muni","ISSUE_DT")</f>
        <v>#NAME?</v>
      </c>
      <c r="G1548" t="e">
        <f ca="1">BDP("59261A4U Muni","MATURITY")</f>
        <v>#NAME?</v>
      </c>
      <c r="H1548" t="e">
        <f ca="1">BDP("59261A4U Muni","MUNI_TAX_PROV")</f>
        <v>#NAME?</v>
      </c>
      <c r="I1548" t="e">
        <f ca="1">BDP("59261A4U Muni","FINANCING_TYPE")</f>
        <v>#NAME?</v>
      </c>
      <c r="J1548" t="e">
        <f ca="1">BDP("59261A4U Muni","BICS_LEVEL_2_INDUSTRY_GROUP_NAME")</f>
        <v>#NAME?</v>
      </c>
      <c r="K1548" t="e">
        <f ca="1">BDP("59261A4U Muni","SELF_REPRTD_GREEN_INSTR_INDCTR")</f>
        <v>#NAME?</v>
      </c>
      <c r="L1548" t="e">
        <f ca="1">BDP("59261A4U Muni","GB_MANAGEMENT_PROCEEDS")</f>
        <v>#NAME?</v>
      </c>
      <c r="M1548" t="e">
        <f ca="1">BDP("59261A4U Muni","GB_REPORTING")</f>
        <v>#NAME?</v>
      </c>
      <c r="N1548" t="e">
        <f ca="1">BDP("59261A4U Muni","GB_ASSURANCE_PROVIDERS")</f>
        <v>#NAME?</v>
      </c>
      <c r="O1548" t="e">
        <f ca="1">BDP("59261A4U Muni","GB_PROJECT_SELECTION_PROCESS")</f>
        <v>#NAME?</v>
      </c>
      <c r="P1548" t="e">
        <f ca="1">BDP("59261A4U Muni","ESG_FRAMEWORK_INDICATOR")</f>
        <v>#NAME?</v>
      </c>
      <c r="Q1548" t="e">
        <f ca="1">BDP("59261A4U Muni","BLOOMBERG_SECTOR_CODE")</f>
        <v>#NAME?</v>
      </c>
      <c r="R1548" t="e">
        <f ca="1">BDP("59261A4U Muni","ISSUER_TYPE")</f>
        <v>#NAME?</v>
      </c>
      <c r="S1548" t="e">
        <f ca="1">BDS("59261A4U Muni","ESG_PROJECT_CATEGORY", "aggregate=y")</f>
        <v>#NAME?</v>
      </c>
      <c r="T1548" t="e">
        <f ca="1">BDS("59261A4U Muni","ESG_PROJECT_SUBCATEGORY", "aggregate=y")</f>
        <v>#NAME?</v>
      </c>
    </row>
    <row r="1549" spans="1:20" x14ac:dyDescent="0.25">
      <c r="A1549" t="e">
        <f ca="1">BDP("64985H3V Muni","ID_CUSIP")</f>
        <v>#NAME?</v>
      </c>
      <c r="B1549" t="e">
        <f ca="1">BDP("64985H3V Muni","STATE_CODE")</f>
        <v>#NAME?</v>
      </c>
      <c r="C1549" t="s">
        <v>90</v>
      </c>
      <c r="D1549" t="e">
        <f ca="1">BDP("64985H3V Muni","YIELD_ON_ISSUE_DATE")</f>
        <v>#NAME?</v>
      </c>
      <c r="E1549">
        <v>3170000</v>
      </c>
      <c r="F1549" t="e">
        <f ca="1">BDP("64985H3V Muni","ISSUE_DT")</f>
        <v>#NAME?</v>
      </c>
      <c r="G1549" t="e">
        <f ca="1">BDP("64985H3V Muni","MATURITY")</f>
        <v>#NAME?</v>
      </c>
      <c r="H1549" t="e">
        <f ca="1">BDP("64985H3V Muni","MUNI_TAX_PROV")</f>
        <v>#NAME?</v>
      </c>
      <c r="I1549" t="e">
        <f ca="1">BDP("64985H3V Muni","FINANCING_TYPE")</f>
        <v>#NAME?</v>
      </c>
      <c r="J1549" t="e">
        <f ca="1">BDP("64985H3V Muni","BICS_LEVEL_2_INDUSTRY_GROUP_NAME")</f>
        <v>#NAME?</v>
      </c>
      <c r="K1549" t="e">
        <f ca="1">BDP("64985H3V Muni","SELF_REPRTD_GREEN_INSTR_INDCTR")</f>
        <v>#NAME?</v>
      </c>
      <c r="L1549" t="e">
        <f ca="1">BDP("64985H3V Muni","GB_MANAGEMENT_PROCEEDS")</f>
        <v>#NAME?</v>
      </c>
      <c r="M1549" t="e">
        <f ca="1">BDP("64985H3V Muni","GB_REPORTING")</f>
        <v>#NAME?</v>
      </c>
      <c r="N1549" t="e">
        <f ca="1">BDP("64985H3V Muni","GB_ASSURANCE_PROVIDERS")</f>
        <v>#NAME?</v>
      </c>
      <c r="O1549" t="e">
        <f ca="1">BDP("64985H3V Muni","GB_PROJECT_SELECTION_PROCESS")</f>
        <v>#NAME?</v>
      </c>
      <c r="P1549" t="e">
        <f ca="1">BDP("64985H3V Muni","ESG_FRAMEWORK_INDICATOR")</f>
        <v>#NAME?</v>
      </c>
      <c r="Q1549" t="e">
        <f ca="1">BDP("64985H3V Muni","BLOOMBERG_SECTOR_CODE")</f>
        <v>#NAME?</v>
      </c>
      <c r="R1549" t="e">
        <f ca="1">BDP("64985H3V Muni","ISSUER_TYPE")</f>
        <v>#NAME?</v>
      </c>
      <c r="S1549" t="e">
        <f ca="1">BDS("64985H3V Muni","ESG_PROJECT_CATEGORY", "aggregate=y")</f>
        <v>#NAME?</v>
      </c>
      <c r="T1549" t="e">
        <f ca="1">BDS("64985H3V Muni","ESG_PROJECT_SUBCATEGORY", "aggregate=y")</f>
        <v>#NAME?</v>
      </c>
    </row>
    <row r="1550" spans="1:20" x14ac:dyDescent="0.25">
      <c r="A1550" t="e">
        <f ca="1">BDP("88035PW3 Muni","ID_CUSIP")</f>
        <v>#NAME?</v>
      </c>
      <c r="B1550" t="e">
        <f ca="1">BDP("88035PW3 Muni","STATE_CODE")</f>
        <v>#NAME?</v>
      </c>
      <c r="C1550" t="s">
        <v>25</v>
      </c>
      <c r="D1550" t="e">
        <f ca="1">BDP("88035PW3 Muni","YIELD_ON_ISSUE_DATE")</f>
        <v>#NAME?</v>
      </c>
      <c r="E1550">
        <v>13125000</v>
      </c>
      <c r="F1550" t="e">
        <f ca="1">BDP("88035PW3 Muni","ISSUE_DT")</f>
        <v>#NAME?</v>
      </c>
      <c r="G1550" t="e">
        <f ca="1">BDP("88035PW3 Muni","MATURITY")</f>
        <v>#NAME?</v>
      </c>
      <c r="H1550" t="e">
        <f ca="1">BDP("88035PW3 Muni","MUNI_TAX_PROV")</f>
        <v>#NAME?</v>
      </c>
      <c r="I1550" t="e">
        <f ca="1">BDP("88035PW3 Muni","FINANCING_TYPE")</f>
        <v>#NAME?</v>
      </c>
      <c r="J1550" t="e">
        <f ca="1">BDP("88035PW3 Muni","BICS_LEVEL_2_INDUSTRY_GROUP_NAME")</f>
        <v>#NAME?</v>
      </c>
      <c r="K1550" t="e">
        <f ca="1">BDP("88035PW3 Muni","SELF_REPRTD_GREEN_INSTR_INDCTR")</f>
        <v>#NAME?</v>
      </c>
      <c r="L1550" t="e">
        <f ca="1">BDP("88035PW3 Muni","GB_MANAGEMENT_PROCEEDS")</f>
        <v>#NAME?</v>
      </c>
      <c r="M1550" t="e">
        <f ca="1">BDP("88035PW3 Muni","GB_REPORTING")</f>
        <v>#NAME?</v>
      </c>
      <c r="N1550" t="e">
        <f ca="1">BDP("88035PW3 Muni","GB_ASSURANCE_PROVIDERS")</f>
        <v>#NAME?</v>
      </c>
      <c r="O1550" t="e">
        <f ca="1">BDP("88035PW3 Muni","GB_PROJECT_SELECTION_PROCESS")</f>
        <v>#NAME?</v>
      </c>
      <c r="P1550" t="e">
        <f ca="1">BDP("88035PW3 Muni","ESG_FRAMEWORK_INDICATOR")</f>
        <v>#NAME?</v>
      </c>
      <c r="Q1550" t="e">
        <f ca="1">BDP("88035PW3 Muni","BLOOMBERG_SECTOR_CODE")</f>
        <v>#NAME?</v>
      </c>
      <c r="R1550" t="e">
        <f ca="1">BDP("88035PW3 Muni","ISSUER_TYPE")</f>
        <v>#NAME?</v>
      </c>
      <c r="S1550" t="e">
        <f ca="1">BDS("88035PW3 Muni","ESG_PROJECT_CATEGORY", "aggregate=y")</f>
        <v>#NAME?</v>
      </c>
      <c r="T1550" t="e">
        <f ca="1">BDS("88035PW3 Muni","ESG_PROJECT_SUBCATEGORY", "aggregate=y")</f>
        <v>#NAME?</v>
      </c>
    </row>
    <row r="1551" spans="1:20" x14ac:dyDescent="0.25">
      <c r="A1551" t="e">
        <f ca="1">BDP("88035RJJ Muni","ID_CUSIP")</f>
        <v>#NAME?</v>
      </c>
      <c r="B1551" t="e">
        <f ca="1">BDP("88035RJJ Muni","STATE_CODE")</f>
        <v>#NAME?</v>
      </c>
      <c r="C1551" t="s">
        <v>25</v>
      </c>
      <c r="D1551" t="e">
        <f ca="1">BDP("88035RJJ Muni","YIELD_ON_ISSUE_DATE")</f>
        <v>#NAME?</v>
      </c>
      <c r="E1551">
        <v>14775000</v>
      </c>
      <c r="F1551" t="e">
        <f ca="1">BDP("88035RJJ Muni","ISSUE_DT")</f>
        <v>#NAME?</v>
      </c>
      <c r="G1551" t="e">
        <f ca="1">BDP("88035RJJ Muni","MATURITY")</f>
        <v>#NAME?</v>
      </c>
      <c r="H1551" t="e">
        <f ca="1">BDP("88035RJJ Muni","MUNI_TAX_PROV")</f>
        <v>#NAME?</v>
      </c>
      <c r="I1551" t="e">
        <f ca="1">BDP("88035RJJ Muni","FINANCING_TYPE")</f>
        <v>#NAME?</v>
      </c>
      <c r="J1551" t="e">
        <f ca="1">BDP("88035RJJ Muni","BICS_LEVEL_2_INDUSTRY_GROUP_NAME")</f>
        <v>#NAME?</v>
      </c>
      <c r="K1551" t="e">
        <f ca="1">BDP("88035RJJ Muni","SELF_REPRTD_GREEN_INSTR_INDCTR")</f>
        <v>#NAME?</v>
      </c>
      <c r="L1551" t="e">
        <f ca="1">BDP("88035RJJ Muni","GB_MANAGEMENT_PROCEEDS")</f>
        <v>#NAME?</v>
      </c>
      <c r="M1551" t="e">
        <f ca="1">BDP("88035RJJ Muni","GB_REPORTING")</f>
        <v>#NAME?</v>
      </c>
      <c r="N1551" t="e">
        <f ca="1">BDP("88035RJJ Muni","GB_ASSURANCE_PROVIDERS")</f>
        <v>#NAME?</v>
      </c>
      <c r="O1551" t="e">
        <f ca="1">BDP("88035RJJ Muni","GB_PROJECT_SELECTION_PROCESS")</f>
        <v>#NAME?</v>
      </c>
      <c r="P1551" t="e">
        <f ca="1">BDP("88035RJJ Muni","ESG_FRAMEWORK_INDICATOR")</f>
        <v>#NAME?</v>
      </c>
      <c r="Q1551" t="e">
        <f ca="1">BDP("88035RJJ Muni","BLOOMBERG_SECTOR_CODE")</f>
        <v>#NAME?</v>
      </c>
      <c r="R1551" t="e">
        <f ca="1">BDP("88035RJJ Muni","ISSUER_TYPE")</f>
        <v>#NAME?</v>
      </c>
      <c r="S1551" t="e">
        <f ca="1">BDS("88035RJJ Muni","ESG_PROJECT_CATEGORY", "aggregate=y")</f>
        <v>#NAME?</v>
      </c>
      <c r="T1551" t="e">
        <f ca="1">BDS("88035RJJ Muni","ESG_PROJECT_SUBCATEGORY", "aggregate=y")</f>
        <v>#NAME?</v>
      </c>
    </row>
    <row r="1552" spans="1:20" x14ac:dyDescent="0.25">
      <c r="A1552" t="e">
        <f ca="1">BDP("916091KE Muni","ID_CUSIP")</f>
        <v>#NAME?</v>
      </c>
      <c r="B1552" t="e">
        <f ca="1">BDP("916091KE Muni","STATE_CODE")</f>
        <v>#NAME?</v>
      </c>
      <c r="C1552" t="s">
        <v>86</v>
      </c>
      <c r="D1552" t="e">
        <f ca="1">BDP("916091KE Muni","YIELD_ON_ISSUE_DATE")</f>
        <v>#NAME?</v>
      </c>
      <c r="E1552">
        <v>860000</v>
      </c>
      <c r="F1552" t="e">
        <f ca="1">BDP("916091KE Muni","ISSUE_DT")</f>
        <v>#NAME?</v>
      </c>
      <c r="G1552" t="e">
        <f ca="1">BDP("916091KE Muni","MATURITY")</f>
        <v>#NAME?</v>
      </c>
      <c r="H1552" t="e">
        <f ca="1">BDP("916091KE Muni","MUNI_TAX_PROV")</f>
        <v>#NAME?</v>
      </c>
      <c r="I1552" t="e">
        <f ca="1">BDP("916091KE Muni","FINANCING_TYPE")</f>
        <v>#NAME?</v>
      </c>
      <c r="J1552" t="e">
        <f ca="1">BDP("916091KE Muni","BICS_LEVEL_2_INDUSTRY_GROUP_NAME")</f>
        <v>#NAME?</v>
      </c>
      <c r="K1552" t="e">
        <f ca="1">BDP("916091KE Muni","SELF_REPRTD_GREEN_INSTR_INDCTR")</f>
        <v>#NAME?</v>
      </c>
      <c r="L1552" t="e">
        <f ca="1">BDP("916091KE Muni","GB_MANAGEMENT_PROCEEDS")</f>
        <v>#NAME?</v>
      </c>
      <c r="M1552" t="e">
        <f ca="1">BDP("916091KE Muni","GB_REPORTING")</f>
        <v>#NAME?</v>
      </c>
      <c r="N1552" t="e">
        <f ca="1">BDP("916091KE Muni","GB_ASSURANCE_PROVIDERS")</f>
        <v>#NAME?</v>
      </c>
      <c r="O1552" t="e">
        <f ca="1">BDP("916091KE Muni","GB_PROJECT_SELECTION_PROCESS")</f>
        <v>#NAME?</v>
      </c>
      <c r="P1552" t="e">
        <f ca="1">BDP("916091KE Muni","ESG_FRAMEWORK_INDICATOR")</f>
        <v>#NAME?</v>
      </c>
      <c r="Q1552" t="e">
        <f ca="1">BDP("916091KE Muni","BLOOMBERG_SECTOR_CODE")</f>
        <v>#NAME?</v>
      </c>
      <c r="R1552" t="e">
        <f ca="1">BDP("916091KE Muni","ISSUER_TYPE")</f>
        <v>#NAME?</v>
      </c>
      <c r="S1552" t="e">
        <f ca="1">BDS("916091KE Muni","ESG_PROJECT_CATEGORY", "aggregate=y")</f>
        <v>#NAME?</v>
      </c>
      <c r="T1552" t="e">
        <f ca="1">BDS("916091KE Muni","ESG_PROJECT_SUBCATEGORY", "aggregate=y")</f>
        <v>#NAME?</v>
      </c>
    </row>
    <row r="1553" spans="1:20" x14ac:dyDescent="0.25">
      <c r="A1553" t="e">
        <f ca="1">BDP("274767JA Muni","ID_CUSIP")</f>
        <v>#NAME?</v>
      </c>
      <c r="B1553" t="e">
        <f ca="1">BDP("274767JA Muni","STATE_CODE")</f>
        <v>#NAME?</v>
      </c>
      <c r="C1553" t="s">
        <v>88</v>
      </c>
      <c r="D1553" t="e">
        <f ca="1">BDP("274767JA Muni","YIELD_ON_ISSUE_DATE")</f>
        <v>#NAME?</v>
      </c>
      <c r="E1553">
        <v>205000</v>
      </c>
      <c r="F1553" t="e">
        <f ca="1">BDP("274767JA Muni","ISSUE_DT")</f>
        <v>#NAME?</v>
      </c>
      <c r="G1553" t="e">
        <f ca="1">BDP("274767JA Muni","MATURITY")</f>
        <v>#NAME?</v>
      </c>
      <c r="H1553" t="e">
        <f ca="1">BDP("274767JA Muni","MUNI_TAX_PROV")</f>
        <v>#NAME?</v>
      </c>
      <c r="I1553" t="e">
        <f ca="1">BDP("274767JA Muni","FINANCING_TYPE")</f>
        <v>#NAME?</v>
      </c>
      <c r="J1553" t="e">
        <f ca="1">BDP("274767JA Muni","BICS_LEVEL_2_INDUSTRY_GROUP_NAME")</f>
        <v>#NAME?</v>
      </c>
      <c r="K1553" t="e">
        <f ca="1">BDP("274767JA Muni","SELF_REPRTD_GREEN_INSTR_INDCTR")</f>
        <v>#NAME?</v>
      </c>
      <c r="L1553" t="e">
        <f ca="1">BDP("274767JA Muni","GB_MANAGEMENT_PROCEEDS")</f>
        <v>#NAME?</v>
      </c>
      <c r="M1553" t="e">
        <f ca="1">BDP("274767JA Muni","GB_REPORTING")</f>
        <v>#NAME?</v>
      </c>
      <c r="N1553" t="e">
        <f ca="1">BDP("274767JA Muni","GB_ASSURANCE_PROVIDERS")</f>
        <v>#NAME?</v>
      </c>
      <c r="O1553" t="e">
        <f ca="1">BDP("274767JA Muni","GB_PROJECT_SELECTION_PROCESS")</f>
        <v>#NAME?</v>
      </c>
      <c r="P1553" t="e">
        <f ca="1">BDP("274767JA Muni","ESG_FRAMEWORK_INDICATOR")</f>
        <v>#NAME?</v>
      </c>
      <c r="Q1553" t="e">
        <f ca="1">BDP("274767JA Muni","BLOOMBERG_SECTOR_CODE")</f>
        <v>#NAME?</v>
      </c>
      <c r="R1553" t="e">
        <f ca="1">BDP("274767JA Muni","ISSUER_TYPE")</f>
        <v>#NAME?</v>
      </c>
      <c r="S1553" t="e">
        <f ca="1">BDS("274767JA Muni","ESG_PROJECT_CATEGORY", "aggregate=y")</f>
        <v>#NAME?</v>
      </c>
      <c r="T1553" t="e">
        <f ca="1">BDS("274767JA Muni","ESG_PROJECT_SUBCATEGORY", "aggregate=y")</f>
        <v>#NAME?</v>
      </c>
    </row>
    <row r="1554" spans="1:20" x14ac:dyDescent="0.25">
      <c r="A1554" t="e">
        <f ca="1">BDP("274767JP Muni","ID_CUSIP")</f>
        <v>#NAME?</v>
      </c>
      <c r="B1554" t="e">
        <f ca="1">BDP("274767JP Muni","STATE_CODE")</f>
        <v>#NAME?</v>
      </c>
      <c r="C1554" t="s">
        <v>88</v>
      </c>
      <c r="D1554" t="e">
        <f ca="1">BDP("274767JP Muni","YIELD_ON_ISSUE_DATE")</f>
        <v>#NAME?</v>
      </c>
      <c r="E1554">
        <v>320000</v>
      </c>
      <c r="F1554" t="e">
        <f ca="1">BDP("274767JP Muni","ISSUE_DT")</f>
        <v>#NAME?</v>
      </c>
      <c r="G1554" t="e">
        <f ca="1">BDP("274767JP Muni","MATURITY")</f>
        <v>#NAME?</v>
      </c>
      <c r="H1554" t="e">
        <f ca="1">BDP("274767JP Muni","MUNI_TAX_PROV")</f>
        <v>#NAME?</v>
      </c>
      <c r="I1554" t="e">
        <f ca="1">BDP("274767JP Muni","FINANCING_TYPE")</f>
        <v>#NAME?</v>
      </c>
      <c r="J1554" t="e">
        <f ca="1">BDP("274767JP Muni","BICS_LEVEL_2_INDUSTRY_GROUP_NAME")</f>
        <v>#NAME?</v>
      </c>
      <c r="K1554" t="e">
        <f ca="1">BDP("274767JP Muni","SELF_REPRTD_GREEN_INSTR_INDCTR")</f>
        <v>#NAME?</v>
      </c>
      <c r="L1554" t="e">
        <f ca="1">BDP("274767JP Muni","GB_MANAGEMENT_PROCEEDS")</f>
        <v>#NAME?</v>
      </c>
      <c r="M1554" t="e">
        <f ca="1">BDP("274767JP Muni","GB_REPORTING")</f>
        <v>#NAME?</v>
      </c>
      <c r="N1554" t="e">
        <f ca="1">BDP("274767JP Muni","GB_ASSURANCE_PROVIDERS")</f>
        <v>#NAME?</v>
      </c>
      <c r="O1554" t="e">
        <f ca="1">BDP("274767JP Muni","GB_PROJECT_SELECTION_PROCESS")</f>
        <v>#NAME?</v>
      </c>
      <c r="P1554" t="e">
        <f ca="1">BDP("274767JP Muni","ESG_FRAMEWORK_INDICATOR")</f>
        <v>#NAME?</v>
      </c>
      <c r="Q1554" t="e">
        <f ca="1">BDP("274767JP Muni","BLOOMBERG_SECTOR_CODE")</f>
        <v>#NAME?</v>
      </c>
      <c r="R1554" t="e">
        <f ca="1">BDP("274767JP Muni","ISSUER_TYPE")</f>
        <v>#NAME?</v>
      </c>
      <c r="S1554" t="e">
        <f ca="1">BDS("274767JP Muni","ESG_PROJECT_CATEGORY", "aggregate=y")</f>
        <v>#NAME?</v>
      </c>
      <c r="T1554" t="e">
        <f ca="1">BDS("274767JP Muni","ESG_PROJECT_SUBCATEGORY", "aggregate=y")</f>
        <v>#NAME?</v>
      </c>
    </row>
    <row r="1555" spans="1:20" x14ac:dyDescent="0.25">
      <c r="A1555" t="e">
        <f ca="1">BDP("59261A4R Muni","ID_CUSIP")</f>
        <v>#NAME?</v>
      </c>
      <c r="B1555" t="e">
        <f ca="1">BDP("59261A4R Muni","STATE_CODE")</f>
        <v>#NAME?</v>
      </c>
      <c r="C1555" t="s">
        <v>89</v>
      </c>
      <c r="D1555" t="e">
        <f ca="1">BDP("59261A4R Muni","YIELD_ON_ISSUE_DATE")</f>
        <v>#NAME?</v>
      </c>
      <c r="E1555">
        <v>58840000</v>
      </c>
      <c r="F1555" t="e">
        <f ca="1">BDP("59261A4R Muni","ISSUE_DT")</f>
        <v>#NAME?</v>
      </c>
      <c r="G1555" t="e">
        <f ca="1">BDP("59261A4R Muni","MATURITY")</f>
        <v>#NAME?</v>
      </c>
      <c r="H1555" t="e">
        <f ca="1">BDP("59261A4R Muni","MUNI_TAX_PROV")</f>
        <v>#NAME?</v>
      </c>
      <c r="I1555" t="e">
        <f ca="1">BDP("59261A4R Muni","FINANCING_TYPE")</f>
        <v>#NAME?</v>
      </c>
      <c r="J1555" t="e">
        <f ca="1">BDP("59261A4R Muni","BICS_LEVEL_2_INDUSTRY_GROUP_NAME")</f>
        <v>#NAME?</v>
      </c>
      <c r="K1555" t="e">
        <f ca="1">BDP("59261A4R Muni","SELF_REPRTD_GREEN_INSTR_INDCTR")</f>
        <v>#NAME?</v>
      </c>
      <c r="L1555" t="e">
        <f ca="1">BDP("59261A4R Muni","GB_MANAGEMENT_PROCEEDS")</f>
        <v>#NAME?</v>
      </c>
      <c r="M1555" t="e">
        <f ca="1">BDP("59261A4R Muni","GB_REPORTING")</f>
        <v>#NAME?</v>
      </c>
      <c r="N1555" t="e">
        <f ca="1">BDP("59261A4R Muni","GB_ASSURANCE_PROVIDERS")</f>
        <v>#NAME?</v>
      </c>
      <c r="O1555" t="e">
        <f ca="1">BDP("59261A4R Muni","GB_PROJECT_SELECTION_PROCESS")</f>
        <v>#NAME?</v>
      </c>
      <c r="P1555" t="e">
        <f ca="1">BDP("59261A4R Muni","ESG_FRAMEWORK_INDICATOR")</f>
        <v>#NAME?</v>
      </c>
      <c r="Q1555" t="e">
        <f ca="1">BDP("59261A4R Muni","BLOOMBERG_SECTOR_CODE")</f>
        <v>#NAME?</v>
      </c>
      <c r="R1555" t="e">
        <f ca="1">BDP("59261A4R Muni","ISSUER_TYPE")</f>
        <v>#NAME?</v>
      </c>
      <c r="S1555" t="e">
        <f ca="1">BDS("59261A4R Muni","ESG_PROJECT_CATEGORY", "aggregate=y")</f>
        <v>#NAME?</v>
      </c>
      <c r="T1555" t="e">
        <f ca="1">BDS("59261A4R Muni","ESG_PROJECT_SUBCATEGORY", "aggregate=y")</f>
        <v>#NAME?</v>
      </c>
    </row>
    <row r="1556" spans="1:20" x14ac:dyDescent="0.25">
      <c r="A1556" t="e">
        <f ca="1">BDP("59261A5U Muni","ID_CUSIP")</f>
        <v>#NAME?</v>
      </c>
      <c r="B1556" t="e">
        <f ca="1">BDP("59261A5U Muni","STATE_CODE")</f>
        <v>#NAME?</v>
      </c>
      <c r="C1556" t="s">
        <v>89</v>
      </c>
      <c r="D1556" t="e">
        <f ca="1">BDP("59261A5U Muni","YIELD_ON_ISSUE_DATE")</f>
        <v>#NAME?</v>
      </c>
      <c r="E1556">
        <v>167575000</v>
      </c>
      <c r="F1556" t="e">
        <f ca="1">BDP("59261A5U Muni","ISSUE_DT")</f>
        <v>#NAME?</v>
      </c>
      <c r="G1556" t="e">
        <f ca="1">BDP("59261A5U Muni","MATURITY")</f>
        <v>#NAME?</v>
      </c>
      <c r="H1556" t="e">
        <f ca="1">BDP("59261A5U Muni","MUNI_TAX_PROV")</f>
        <v>#NAME?</v>
      </c>
      <c r="I1556" t="e">
        <f ca="1">BDP("59261A5U Muni","FINANCING_TYPE")</f>
        <v>#NAME?</v>
      </c>
      <c r="J1556" t="e">
        <f ca="1">BDP("59261A5U Muni","BICS_LEVEL_2_INDUSTRY_GROUP_NAME")</f>
        <v>#NAME?</v>
      </c>
      <c r="K1556" t="e">
        <f ca="1">BDP("59261A5U Muni","SELF_REPRTD_GREEN_INSTR_INDCTR")</f>
        <v>#NAME?</v>
      </c>
      <c r="L1556" t="e">
        <f ca="1">BDP("59261A5U Muni","GB_MANAGEMENT_PROCEEDS")</f>
        <v>#NAME?</v>
      </c>
      <c r="M1556" t="e">
        <f ca="1">BDP("59261A5U Muni","GB_REPORTING")</f>
        <v>#NAME?</v>
      </c>
      <c r="N1556" t="e">
        <f ca="1">BDP("59261A5U Muni","GB_ASSURANCE_PROVIDERS")</f>
        <v>#NAME?</v>
      </c>
      <c r="O1556" t="e">
        <f ca="1">BDP("59261A5U Muni","GB_PROJECT_SELECTION_PROCESS")</f>
        <v>#NAME?</v>
      </c>
      <c r="P1556" t="e">
        <f ca="1">BDP("59261A5U Muni","ESG_FRAMEWORK_INDICATOR")</f>
        <v>#NAME?</v>
      </c>
      <c r="Q1556" t="e">
        <f ca="1">BDP("59261A5U Muni","BLOOMBERG_SECTOR_CODE")</f>
        <v>#NAME?</v>
      </c>
      <c r="R1556" t="e">
        <f ca="1">BDP("59261A5U Muni","ISSUER_TYPE")</f>
        <v>#NAME?</v>
      </c>
      <c r="S1556" t="e">
        <f ca="1">BDS("59261A5U Muni","ESG_PROJECT_CATEGORY", "aggregate=y")</f>
        <v>#NAME?</v>
      </c>
      <c r="T1556" t="e">
        <f ca="1">BDS("59261A5U Muni","ESG_PROJECT_SUBCATEGORY", "aggregate=y")</f>
        <v>#NAME?</v>
      </c>
    </row>
    <row r="1557" spans="1:20" x14ac:dyDescent="0.25">
      <c r="A1557" t="e">
        <f ca="1">BDP("59261A6C Muni","ID_CUSIP")</f>
        <v>#NAME?</v>
      </c>
      <c r="B1557" t="e">
        <f ca="1">BDP("59261A6C Muni","STATE_CODE")</f>
        <v>#NAME?</v>
      </c>
      <c r="C1557" t="s">
        <v>89</v>
      </c>
      <c r="D1557" t="e">
        <f ca="1">BDP("59261A6C Muni","YIELD_ON_ISSUE_DATE")</f>
        <v>#NAME?</v>
      </c>
      <c r="E1557">
        <v>17990000</v>
      </c>
      <c r="F1557" t="e">
        <f ca="1">BDP("59261A6C Muni","ISSUE_DT")</f>
        <v>#NAME?</v>
      </c>
      <c r="G1557" t="e">
        <f ca="1">BDP("59261A6C Muni","MATURITY")</f>
        <v>#NAME?</v>
      </c>
      <c r="H1557" t="e">
        <f ca="1">BDP("59261A6C Muni","MUNI_TAX_PROV")</f>
        <v>#NAME?</v>
      </c>
      <c r="I1557" t="e">
        <f ca="1">BDP("59261A6C Muni","FINANCING_TYPE")</f>
        <v>#NAME?</v>
      </c>
      <c r="J1557" t="e">
        <f ca="1">BDP("59261A6C Muni","BICS_LEVEL_2_INDUSTRY_GROUP_NAME")</f>
        <v>#NAME?</v>
      </c>
      <c r="K1557" t="e">
        <f ca="1">BDP("59261A6C Muni","SELF_REPRTD_GREEN_INSTR_INDCTR")</f>
        <v>#NAME?</v>
      </c>
      <c r="L1557" t="e">
        <f ca="1">BDP("59261A6C Muni","GB_MANAGEMENT_PROCEEDS")</f>
        <v>#NAME?</v>
      </c>
      <c r="M1557" t="e">
        <f ca="1">BDP("59261A6C Muni","GB_REPORTING")</f>
        <v>#NAME?</v>
      </c>
      <c r="N1557" t="e">
        <f ca="1">BDP("59261A6C Muni","GB_ASSURANCE_PROVIDERS")</f>
        <v>#NAME?</v>
      </c>
      <c r="O1557" t="e">
        <f ca="1">BDP("59261A6C Muni","GB_PROJECT_SELECTION_PROCESS")</f>
        <v>#NAME?</v>
      </c>
      <c r="P1557" t="e">
        <f ca="1">BDP("59261A6C Muni","ESG_FRAMEWORK_INDICATOR")</f>
        <v>#NAME?</v>
      </c>
      <c r="Q1557" t="e">
        <f ca="1">BDP("59261A6C Muni","BLOOMBERG_SECTOR_CODE")</f>
        <v>#NAME?</v>
      </c>
      <c r="R1557" t="e">
        <f ca="1">BDP("59261A6C Muni","ISSUER_TYPE")</f>
        <v>#NAME?</v>
      </c>
      <c r="S1557" t="e">
        <f ca="1">BDS("59261A6C Muni","ESG_PROJECT_CATEGORY", "aggregate=y")</f>
        <v>#NAME?</v>
      </c>
      <c r="T1557" t="e">
        <f ca="1">BDS("59261A6C Muni","ESG_PROJECT_SUBCATEGORY", "aggregate=y")</f>
        <v>#NAME?</v>
      </c>
    </row>
    <row r="1558" spans="1:20" x14ac:dyDescent="0.25">
      <c r="A1558" t="e">
        <f ca="1">BDP("59261A6D Muni","ID_CUSIP")</f>
        <v>#NAME?</v>
      </c>
      <c r="B1558" t="e">
        <f ca="1">BDP("59261A6D Muni","STATE_CODE")</f>
        <v>#NAME?</v>
      </c>
      <c r="C1558" t="s">
        <v>89</v>
      </c>
      <c r="D1558" t="e">
        <f ca="1">BDP("59261A6D Muni","YIELD_ON_ISSUE_DATE")</f>
        <v>#NAME?</v>
      </c>
      <c r="E1558">
        <v>40640000</v>
      </c>
      <c r="F1558" t="e">
        <f ca="1">BDP("59261A6D Muni","ISSUE_DT")</f>
        <v>#NAME?</v>
      </c>
      <c r="G1558" t="e">
        <f ca="1">BDP("59261A6D Muni","MATURITY")</f>
        <v>#NAME?</v>
      </c>
      <c r="H1558" t="e">
        <f ca="1">BDP("59261A6D Muni","MUNI_TAX_PROV")</f>
        <v>#NAME?</v>
      </c>
      <c r="I1558" t="e">
        <f ca="1">BDP("59261A6D Muni","FINANCING_TYPE")</f>
        <v>#NAME?</v>
      </c>
      <c r="J1558" t="e">
        <f ca="1">BDP("59261A6D Muni","BICS_LEVEL_2_INDUSTRY_GROUP_NAME")</f>
        <v>#NAME?</v>
      </c>
      <c r="K1558" t="e">
        <f ca="1">BDP("59261A6D Muni","SELF_REPRTD_GREEN_INSTR_INDCTR")</f>
        <v>#NAME?</v>
      </c>
      <c r="L1558" t="e">
        <f ca="1">BDP("59261A6D Muni","GB_MANAGEMENT_PROCEEDS")</f>
        <v>#NAME?</v>
      </c>
      <c r="M1558" t="e">
        <f ca="1">BDP("59261A6D Muni","GB_REPORTING")</f>
        <v>#NAME?</v>
      </c>
      <c r="N1558" t="e">
        <f ca="1">BDP("59261A6D Muni","GB_ASSURANCE_PROVIDERS")</f>
        <v>#NAME?</v>
      </c>
      <c r="O1558" t="e">
        <f ca="1">BDP("59261A6D Muni","GB_PROJECT_SELECTION_PROCESS")</f>
        <v>#NAME?</v>
      </c>
      <c r="P1558" t="e">
        <f ca="1">BDP("59261A6D Muni","ESG_FRAMEWORK_INDICATOR")</f>
        <v>#NAME?</v>
      </c>
      <c r="Q1558" t="e">
        <f ca="1">BDP("59261A6D Muni","BLOOMBERG_SECTOR_CODE")</f>
        <v>#NAME?</v>
      </c>
      <c r="R1558" t="e">
        <f ca="1">BDP("59261A6D Muni","ISSUER_TYPE")</f>
        <v>#NAME?</v>
      </c>
      <c r="S1558" t="e">
        <f ca="1">BDS("59261A6D Muni","ESG_PROJECT_CATEGORY", "aggregate=y")</f>
        <v>#NAME?</v>
      </c>
      <c r="T1558" t="e">
        <f ca="1">BDS("59261A6D Muni","ESG_PROJECT_SUBCATEGORY", "aggregate=y")</f>
        <v>#NAME?</v>
      </c>
    </row>
    <row r="1559" spans="1:20" x14ac:dyDescent="0.25">
      <c r="A1559" t="e">
        <f ca="1">BDP("64985VBM Muni","ID_CUSIP")</f>
        <v>#NAME?</v>
      </c>
      <c r="B1559" t="e">
        <f ca="1">BDP("64985VBM Muni","STATE_CODE")</f>
        <v>#NAME?</v>
      </c>
      <c r="C1559" t="s">
        <v>91</v>
      </c>
      <c r="D1559" t="e">
        <f ca="1">BDP("64985VBM Muni","YIELD_ON_ISSUE_DATE")</f>
        <v>#NAME?</v>
      </c>
      <c r="E1559">
        <v>3095000</v>
      </c>
      <c r="F1559" t="e">
        <f ca="1">BDP("64985VBM Muni","ISSUE_DT")</f>
        <v>#NAME?</v>
      </c>
      <c r="G1559" t="e">
        <f ca="1">BDP("64985VBM Muni","MATURITY")</f>
        <v>#NAME?</v>
      </c>
      <c r="H1559" t="e">
        <f ca="1">BDP("64985VBM Muni","MUNI_TAX_PROV")</f>
        <v>#NAME?</v>
      </c>
      <c r="I1559" t="e">
        <f ca="1">BDP("64985VBM Muni","FINANCING_TYPE")</f>
        <v>#NAME?</v>
      </c>
      <c r="J1559" t="e">
        <f ca="1">BDP("64985VBM Muni","BICS_LEVEL_2_INDUSTRY_GROUP_NAME")</f>
        <v>#NAME?</v>
      </c>
      <c r="K1559" t="e">
        <f ca="1">BDP("64985VBM Muni","SELF_REPRTD_GREEN_INSTR_INDCTR")</f>
        <v>#NAME?</v>
      </c>
      <c r="L1559" t="e">
        <f ca="1">BDP("64985VBM Muni","GB_MANAGEMENT_PROCEEDS")</f>
        <v>#NAME?</v>
      </c>
      <c r="M1559" t="e">
        <f ca="1">BDP("64985VBM Muni","GB_REPORTING")</f>
        <v>#NAME?</v>
      </c>
      <c r="N1559" t="e">
        <f ca="1">BDP("64985VBM Muni","GB_ASSURANCE_PROVIDERS")</f>
        <v>#NAME?</v>
      </c>
      <c r="O1559" t="e">
        <f ca="1">BDP("64985VBM Muni","GB_PROJECT_SELECTION_PROCESS")</f>
        <v>#NAME?</v>
      </c>
      <c r="P1559" t="e">
        <f ca="1">BDP("64985VBM Muni","ESG_FRAMEWORK_INDICATOR")</f>
        <v>#NAME?</v>
      </c>
      <c r="Q1559" t="e">
        <f ca="1">BDP("64985VBM Muni","BLOOMBERG_SECTOR_CODE")</f>
        <v>#NAME?</v>
      </c>
      <c r="R1559" t="e">
        <f ca="1">BDP("64985VBM Muni","ISSUER_TYPE")</f>
        <v>#NAME?</v>
      </c>
      <c r="S1559" t="e">
        <f ca="1">BDS("64985VBM Muni","ESG_PROJECT_CATEGORY", "aggregate=y")</f>
        <v>#NAME?</v>
      </c>
      <c r="T1559" t="e">
        <f ca="1">BDS("64985VBM Muni","ESG_PROJECT_SUBCATEGORY", "aggregate=y")</f>
        <v>#NAME?</v>
      </c>
    </row>
    <row r="1560" spans="1:20" x14ac:dyDescent="0.25">
      <c r="A1560" t="e">
        <f ca="1">BDP("64986DPX Muni","ID_CUSIP")</f>
        <v>#NAME?</v>
      </c>
      <c r="B1560" t="e">
        <f ca="1">BDP("64986DPX Muni","STATE_CODE")</f>
        <v>#NAME?</v>
      </c>
      <c r="C1560" t="s">
        <v>90</v>
      </c>
      <c r="D1560" t="e">
        <f ca="1">BDP("64986DPX Muni","YIELD_ON_ISSUE_DATE")</f>
        <v>#NAME?</v>
      </c>
      <c r="E1560">
        <v>10550000</v>
      </c>
      <c r="F1560" t="e">
        <f ca="1">BDP("64986DPX Muni","ISSUE_DT")</f>
        <v>#NAME?</v>
      </c>
      <c r="G1560" t="e">
        <f ca="1">BDP("64986DPX Muni","MATURITY")</f>
        <v>#NAME?</v>
      </c>
      <c r="H1560" t="e">
        <f ca="1">BDP("64986DPX Muni","MUNI_TAX_PROV")</f>
        <v>#NAME?</v>
      </c>
      <c r="I1560" t="e">
        <f ca="1">BDP("64986DPX Muni","FINANCING_TYPE")</f>
        <v>#NAME?</v>
      </c>
      <c r="J1560" t="e">
        <f ca="1">BDP("64986DPX Muni","BICS_LEVEL_2_INDUSTRY_GROUP_NAME")</f>
        <v>#NAME?</v>
      </c>
      <c r="K1560" t="e">
        <f ca="1">BDP("64986DPX Muni","SELF_REPRTD_GREEN_INSTR_INDCTR")</f>
        <v>#NAME?</v>
      </c>
      <c r="L1560" t="e">
        <f ca="1">BDP("64986DPX Muni","GB_MANAGEMENT_PROCEEDS")</f>
        <v>#NAME?</v>
      </c>
      <c r="M1560" t="e">
        <f ca="1">BDP("64986DPX Muni","GB_REPORTING")</f>
        <v>#NAME?</v>
      </c>
      <c r="N1560" t="e">
        <f ca="1">BDP("64986DPX Muni","GB_ASSURANCE_PROVIDERS")</f>
        <v>#NAME?</v>
      </c>
      <c r="O1560" t="e">
        <f ca="1">BDP("64986DPX Muni","GB_PROJECT_SELECTION_PROCESS")</f>
        <v>#NAME?</v>
      </c>
      <c r="P1560" t="e">
        <f ca="1">BDP("64986DPX Muni","ESG_FRAMEWORK_INDICATOR")</f>
        <v>#NAME?</v>
      </c>
      <c r="Q1560" t="e">
        <f ca="1">BDP("64986DPX Muni","BLOOMBERG_SECTOR_CODE")</f>
        <v>#NAME?</v>
      </c>
      <c r="R1560" t="e">
        <f ca="1">BDP("64986DPX Muni","ISSUER_TYPE")</f>
        <v>#NAME?</v>
      </c>
      <c r="S1560" t="e">
        <f ca="1">BDS("64986DPX Muni","ESG_PROJECT_CATEGORY", "aggregate=y")</f>
        <v>#NAME?</v>
      </c>
      <c r="T1560" t="e">
        <f ca="1">BDS("64986DPX Muni","ESG_PROJECT_SUBCATEGORY", "aggregate=y")</f>
        <v>#NAME?</v>
      </c>
    </row>
    <row r="1561" spans="1:20" x14ac:dyDescent="0.25">
      <c r="A1561" t="e">
        <f ca="1">BDP("88035MSZ Muni","ID_CUSIP")</f>
        <v>#NAME?</v>
      </c>
      <c r="B1561" t="e">
        <f ca="1">BDP("88035MSZ Muni","STATE_CODE")</f>
        <v>#NAME?</v>
      </c>
      <c r="C1561" t="s">
        <v>25</v>
      </c>
      <c r="D1561" t="e">
        <f ca="1">BDP("88035MSZ Muni","YIELD_ON_ISSUE_DATE")</f>
        <v>#NAME?</v>
      </c>
      <c r="E1561">
        <v>15000000</v>
      </c>
      <c r="F1561" t="e">
        <f ca="1">BDP("88035MSZ Muni","ISSUE_DT")</f>
        <v>#NAME?</v>
      </c>
      <c r="G1561" t="e">
        <f ca="1">BDP("88035MSZ Muni","MATURITY")</f>
        <v>#NAME?</v>
      </c>
      <c r="H1561" t="e">
        <f ca="1">BDP("88035MSZ Muni","MUNI_TAX_PROV")</f>
        <v>#NAME?</v>
      </c>
      <c r="I1561" t="e">
        <f ca="1">BDP("88035MSZ Muni","FINANCING_TYPE")</f>
        <v>#NAME?</v>
      </c>
      <c r="J1561" t="e">
        <f ca="1">BDP("88035MSZ Muni","BICS_LEVEL_2_INDUSTRY_GROUP_NAME")</f>
        <v>#NAME?</v>
      </c>
      <c r="K1561" t="e">
        <f ca="1">BDP("88035MSZ Muni","SELF_REPRTD_GREEN_INSTR_INDCTR")</f>
        <v>#NAME?</v>
      </c>
      <c r="L1561" t="e">
        <f ca="1">BDP("88035MSZ Muni","GB_MANAGEMENT_PROCEEDS")</f>
        <v>#NAME?</v>
      </c>
      <c r="M1561" t="e">
        <f ca="1">BDP("88035MSZ Muni","GB_REPORTING")</f>
        <v>#NAME?</v>
      </c>
      <c r="N1561" t="e">
        <f ca="1">BDP("88035MSZ Muni","GB_ASSURANCE_PROVIDERS")</f>
        <v>#NAME?</v>
      </c>
      <c r="O1561" t="e">
        <f ca="1">BDP("88035MSZ Muni","GB_PROJECT_SELECTION_PROCESS")</f>
        <v>#NAME?</v>
      </c>
      <c r="P1561" t="e">
        <f ca="1">BDP("88035MSZ Muni","ESG_FRAMEWORK_INDICATOR")</f>
        <v>#NAME?</v>
      </c>
      <c r="Q1561" t="e">
        <f ca="1">BDP("88035MSZ Muni","BLOOMBERG_SECTOR_CODE")</f>
        <v>#NAME?</v>
      </c>
      <c r="R1561" t="e">
        <f ca="1">BDP("88035MSZ Muni","ISSUER_TYPE")</f>
        <v>#NAME?</v>
      </c>
      <c r="S1561" t="e">
        <f ca="1">BDS("88035MSZ Muni","ESG_PROJECT_CATEGORY", "aggregate=y")</f>
        <v>#NAME?</v>
      </c>
      <c r="T1561" t="e">
        <f ca="1">BDS("88035MSZ Muni","ESG_PROJECT_SUBCATEGORY", "aggregate=y")</f>
        <v>#NAME?</v>
      </c>
    </row>
    <row r="1562" spans="1:20" x14ac:dyDescent="0.25">
      <c r="A1562" t="e">
        <f ca="1">BDP("88035R4T Muni","ID_CUSIP")</f>
        <v>#NAME?</v>
      </c>
      <c r="B1562" t="e">
        <f ca="1">BDP("88035R4T Muni","STATE_CODE")</f>
        <v>#NAME?</v>
      </c>
      <c r="C1562" t="s">
        <v>25</v>
      </c>
      <c r="D1562" t="e">
        <f ca="1">BDP("88035R4T Muni","YIELD_ON_ISSUE_DATE")</f>
        <v>#NAME?</v>
      </c>
      <c r="E1562">
        <v>1000000</v>
      </c>
      <c r="F1562" t="e">
        <f ca="1">BDP("88035R4T Muni","ISSUE_DT")</f>
        <v>#NAME?</v>
      </c>
      <c r="G1562" t="e">
        <f ca="1">BDP("88035R4T Muni","MATURITY")</f>
        <v>#NAME?</v>
      </c>
      <c r="H1562" t="e">
        <f ca="1">BDP("88035R4T Muni","MUNI_TAX_PROV")</f>
        <v>#NAME?</v>
      </c>
      <c r="I1562" t="e">
        <f ca="1">BDP("88035R4T Muni","FINANCING_TYPE")</f>
        <v>#NAME?</v>
      </c>
      <c r="J1562" t="e">
        <f ca="1">BDP("88035R4T Muni","BICS_LEVEL_2_INDUSTRY_GROUP_NAME")</f>
        <v>#NAME?</v>
      </c>
      <c r="K1562" t="e">
        <f ca="1">BDP("88035R4T Muni","SELF_REPRTD_GREEN_INSTR_INDCTR")</f>
        <v>#NAME?</v>
      </c>
      <c r="L1562" t="e">
        <f ca="1">BDP("88035R4T Muni","GB_MANAGEMENT_PROCEEDS")</f>
        <v>#NAME?</v>
      </c>
      <c r="M1562" t="e">
        <f ca="1">BDP("88035R4T Muni","GB_REPORTING")</f>
        <v>#NAME?</v>
      </c>
      <c r="N1562" t="e">
        <f ca="1">BDP("88035R4T Muni","GB_ASSURANCE_PROVIDERS")</f>
        <v>#NAME?</v>
      </c>
      <c r="O1562" t="e">
        <f ca="1">BDP("88035R4T Muni","GB_PROJECT_SELECTION_PROCESS")</f>
        <v>#NAME?</v>
      </c>
      <c r="P1562" t="e">
        <f ca="1">BDP("88035R4T Muni","ESG_FRAMEWORK_INDICATOR")</f>
        <v>#NAME?</v>
      </c>
      <c r="Q1562" t="e">
        <f ca="1">BDP("88035R4T Muni","BLOOMBERG_SECTOR_CODE")</f>
        <v>#NAME?</v>
      </c>
      <c r="R1562" t="e">
        <f ca="1">BDP("88035R4T Muni","ISSUER_TYPE")</f>
        <v>#NAME?</v>
      </c>
      <c r="S1562" t="e">
        <f ca="1">BDS("88035R4T Muni","ESG_PROJECT_CATEGORY", "aggregate=y")</f>
        <v>#NAME?</v>
      </c>
      <c r="T1562" t="e">
        <f ca="1">BDS("88035R4T Muni","ESG_PROJECT_SUBCATEGORY", "aggregate=y")</f>
        <v>#NAME?</v>
      </c>
    </row>
    <row r="1563" spans="1:20" x14ac:dyDescent="0.25">
      <c r="A1563" t="e">
        <f ca="1">BDP("88035R4U Muni","ID_CUSIP")</f>
        <v>#NAME?</v>
      </c>
      <c r="B1563" t="e">
        <f ca="1">BDP("88035R4U Muni","STATE_CODE")</f>
        <v>#NAME?</v>
      </c>
      <c r="C1563" t="s">
        <v>25</v>
      </c>
      <c r="D1563" t="e">
        <f ca="1">BDP("88035R4U Muni","YIELD_ON_ISSUE_DATE")</f>
        <v>#NAME?</v>
      </c>
      <c r="E1563">
        <v>1000000</v>
      </c>
      <c r="F1563" t="e">
        <f ca="1">BDP("88035R4U Muni","ISSUE_DT")</f>
        <v>#NAME?</v>
      </c>
      <c r="G1563" t="e">
        <f ca="1">BDP("88035R4U Muni","MATURITY")</f>
        <v>#NAME?</v>
      </c>
      <c r="H1563" t="e">
        <f ca="1">BDP("88035R4U Muni","MUNI_TAX_PROV")</f>
        <v>#NAME?</v>
      </c>
      <c r="I1563" t="e">
        <f ca="1">BDP("88035R4U Muni","FINANCING_TYPE")</f>
        <v>#NAME?</v>
      </c>
      <c r="J1563" t="e">
        <f ca="1">BDP("88035R4U Muni","BICS_LEVEL_2_INDUSTRY_GROUP_NAME")</f>
        <v>#NAME?</v>
      </c>
      <c r="K1563" t="e">
        <f ca="1">BDP("88035R4U Muni","SELF_REPRTD_GREEN_INSTR_INDCTR")</f>
        <v>#NAME?</v>
      </c>
      <c r="L1563" t="e">
        <f ca="1">BDP("88035R4U Muni","GB_MANAGEMENT_PROCEEDS")</f>
        <v>#NAME?</v>
      </c>
      <c r="M1563" t="e">
        <f ca="1">BDP("88035R4U Muni","GB_REPORTING")</f>
        <v>#NAME?</v>
      </c>
      <c r="N1563" t="e">
        <f ca="1">BDP("88035R4U Muni","GB_ASSURANCE_PROVIDERS")</f>
        <v>#NAME?</v>
      </c>
      <c r="O1563" t="e">
        <f ca="1">BDP("88035R4U Muni","GB_PROJECT_SELECTION_PROCESS")</f>
        <v>#NAME?</v>
      </c>
      <c r="P1563" t="e">
        <f ca="1">BDP("88035R4U Muni","ESG_FRAMEWORK_INDICATOR")</f>
        <v>#NAME?</v>
      </c>
      <c r="Q1563" t="e">
        <f ca="1">BDP("88035R4U Muni","BLOOMBERG_SECTOR_CODE")</f>
        <v>#NAME?</v>
      </c>
      <c r="R1563" t="e">
        <f ca="1">BDP("88035R4U Muni","ISSUER_TYPE")</f>
        <v>#NAME?</v>
      </c>
      <c r="S1563" t="e">
        <f ca="1">BDS("88035R4U Muni","ESG_PROJECT_CATEGORY", "aggregate=y")</f>
        <v>#NAME?</v>
      </c>
      <c r="T1563" t="e">
        <f ca="1">BDS("88035R4U Muni","ESG_PROJECT_SUBCATEGORY", "aggregate=y")</f>
        <v>#NAME?</v>
      </c>
    </row>
    <row r="1564" spans="1:20" x14ac:dyDescent="0.25">
      <c r="A1564" t="e">
        <f ca="1">BDP("91802RJN Muni","ID_CUSIP")</f>
        <v>#NAME?</v>
      </c>
      <c r="B1564" t="e">
        <f ca="1">BDP("91802RJN Muni","STATE_CODE")</f>
        <v>#NAME?</v>
      </c>
      <c r="C1564" t="s">
        <v>87</v>
      </c>
      <c r="D1564" t="e">
        <f ca="1">BDP("91802RJN Muni","YIELD_ON_ISSUE_DATE")</f>
        <v>#NAME?</v>
      </c>
      <c r="E1564">
        <v>20475000</v>
      </c>
      <c r="F1564" t="e">
        <f ca="1">BDP("91802RJN Muni","ISSUE_DT")</f>
        <v>#NAME?</v>
      </c>
      <c r="G1564" t="e">
        <f ca="1">BDP("91802RJN Muni","MATURITY")</f>
        <v>#NAME?</v>
      </c>
      <c r="H1564" t="e">
        <f ca="1">BDP("91802RJN Muni","MUNI_TAX_PROV")</f>
        <v>#NAME?</v>
      </c>
      <c r="I1564" t="e">
        <f ca="1">BDP("91802RJN Muni","FINANCING_TYPE")</f>
        <v>#NAME?</v>
      </c>
      <c r="J1564" t="e">
        <f ca="1">BDP("91802RJN Muni","BICS_LEVEL_2_INDUSTRY_GROUP_NAME")</f>
        <v>#NAME?</v>
      </c>
      <c r="K1564" t="e">
        <f ca="1">BDP("91802RJN Muni","SELF_REPRTD_GREEN_INSTR_INDCTR")</f>
        <v>#NAME?</v>
      </c>
      <c r="L1564" t="e">
        <f ca="1">BDP("91802RJN Muni","GB_MANAGEMENT_PROCEEDS")</f>
        <v>#NAME?</v>
      </c>
      <c r="M1564" t="e">
        <f ca="1">BDP("91802RJN Muni","GB_REPORTING")</f>
        <v>#NAME?</v>
      </c>
      <c r="N1564" t="e">
        <f ca="1">BDP("91802RJN Muni","GB_ASSURANCE_PROVIDERS")</f>
        <v>#NAME?</v>
      </c>
      <c r="O1564" t="e">
        <f ca="1">BDP("91802RJN Muni","GB_PROJECT_SELECTION_PROCESS")</f>
        <v>#NAME?</v>
      </c>
      <c r="P1564" t="e">
        <f ca="1">BDP("91802RJN Muni","ESG_FRAMEWORK_INDICATOR")</f>
        <v>#NAME?</v>
      </c>
      <c r="Q1564" t="e">
        <f ca="1">BDP("91802RJN Muni","BLOOMBERG_SECTOR_CODE")</f>
        <v>#NAME?</v>
      </c>
      <c r="R1564" t="e">
        <f ca="1">BDP("91802RJN Muni","ISSUER_TYPE")</f>
        <v>#NAME?</v>
      </c>
      <c r="S1564" t="e">
        <f ca="1">BDS("91802RJN Muni","ESG_PROJECT_CATEGORY", "aggregate=y")</f>
        <v>#NAME?</v>
      </c>
      <c r="T1564" t="e">
        <f ca="1">BDS("91802RJN Muni","ESG_PROJECT_SUBCATEGORY", "aggregate=y")</f>
        <v>#NAME?</v>
      </c>
    </row>
    <row r="1565" spans="1:20" x14ac:dyDescent="0.25">
      <c r="A1565" t="e">
        <f ca="1">BDP("863370XA Muni","ID_CUSIP")</f>
        <v>#NAME?</v>
      </c>
      <c r="B1565" t="e">
        <f ca="1">BDP("863370XA Muni","STATE_CODE")</f>
        <v>#NAME?</v>
      </c>
      <c r="C1565" t="s">
        <v>94</v>
      </c>
      <c r="D1565" t="e">
        <f ca="1">BDP("863370XA Muni","YIELD_ON_ISSUE_DATE")</f>
        <v>#NAME?</v>
      </c>
      <c r="E1565">
        <v>7550000</v>
      </c>
      <c r="F1565" t="e">
        <f ca="1">BDP("863370XA Muni","ISSUE_DT")</f>
        <v>#NAME?</v>
      </c>
      <c r="G1565" t="e">
        <f ca="1">BDP("863370XA Muni","MATURITY")</f>
        <v>#NAME?</v>
      </c>
      <c r="H1565" t="e">
        <f ca="1">BDP("863370XA Muni","MUNI_TAX_PROV")</f>
        <v>#NAME?</v>
      </c>
      <c r="I1565" t="e">
        <f ca="1">BDP("863370XA Muni","FINANCING_TYPE")</f>
        <v>#NAME?</v>
      </c>
      <c r="J1565" t="e">
        <f ca="1">BDP("863370XA Muni","BICS_LEVEL_2_INDUSTRY_GROUP_NAME")</f>
        <v>#NAME?</v>
      </c>
      <c r="K1565" t="e">
        <f ca="1">BDP("863370XA Muni","SELF_REPRTD_GREEN_INSTR_INDCTR")</f>
        <v>#NAME?</v>
      </c>
      <c r="L1565" t="e">
        <f ca="1">BDP("863370XA Muni","GB_MANAGEMENT_PROCEEDS")</f>
        <v>#NAME?</v>
      </c>
      <c r="M1565" t="e">
        <f ca="1">BDP("863370XA Muni","GB_REPORTING")</f>
        <v>#NAME?</v>
      </c>
      <c r="N1565" t="e">
        <f ca="1">BDP("863370XA Muni","GB_ASSURANCE_PROVIDERS")</f>
        <v>#NAME?</v>
      </c>
      <c r="O1565" t="e">
        <f ca="1">BDP("863370XA Muni","GB_PROJECT_SELECTION_PROCESS")</f>
        <v>#NAME?</v>
      </c>
      <c r="P1565" t="e">
        <f ca="1">BDP("863370XA Muni","ESG_FRAMEWORK_INDICATOR")</f>
        <v>#NAME?</v>
      </c>
      <c r="Q1565" t="e">
        <f ca="1">BDP("863370XA Muni","BLOOMBERG_SECTOR_CODE")</f>
        <v>#NAME?</v>
      </c>
      <c r="R1565" t="e">
        <f ca="1">BDP("863370XA Muni","ISSUER_TYPE")</f>
        <v>#NAME?</v>
      </c>
      <c r="S1565" t="e">
        <f ca="1">BDS("863370XA Muni","ESG_PROJECT_CATEGORY", "aggregate=y")</f>
        <v>#NAME?</v>
      </c>
      <c r="T1565" t="e">
        <f ca="1">BDS("863370XA Muni","ESG_PROJECT_SUBCATEGORY", "aggregate=y")</f>
        <v>#NAME?</v>
      </c>
    </row>
    <row r="1566" spans="1:20" x14ac:dyDescent="0.25">
      <c r="A1566" t="e">
        <f ca="1">BDP("24588XAB Muni","ID_CUSIP")</f>
        <v>#NAME?</v>
      </c>
      <c r="B1566" t="e">
        <f ca="1">BDP("24588XAB Muni","STATE_CODE")</f>
        <v>#NAME?</v>
      </c>
      <c r="C1566" t="s">
        <v>95</v>
      </c>
      <c r="D1566" t="e">
        <f ca="1">BDP("24588XAB Muni","YIELD_ON_ISSUE_DATE")</f>
        <v>#NAME?</v>
      </c>
      <c r="E1566">
        <v>3730000</v>
      </c>
      <c r="F1566" t="e">
        <f ca="1">BDP("24588XAB Muni","ISSUE_DT")</f>
        <v>#NAME?</v>
      </c>
      <c r="G1566" t="e">
        <f ca="1">BDP("24588XAB Muni","MATURITY")</f>
        <v>#NAME?</v>
      </c>
      <c r="H1566" t="e">
        <f ca="1">BDP("24588XAB Muni","MUNI_TAX_PROV")</f>
        <v>#NAME?</v>
      </c>
      <c r="I1566" t="e">
        <f ca="1">BDP("24588XAB Muni","FINANCING_TYPE")</f>
        <v>#NAME?</v>
      </c>
      <c r="J1566" t="e">
        <f ca="1">BDP("24588XAB Muni","BICS_LEVEL_2_INDUSTRY_GROUP_NAME")</f>
        <v>#NAME?</v>
      </c>
      <c r="K1566" t="e">
        <f ca="1">BDP("24588XAB Muni","SELF_REPRTD_GREEN_INSTR_INDCTR")</f>
        <v>#NAME?</v>
      </c>
      <c r="L1566" t="e">
        <f ca="1">BDP("24588XAB Muni","GB_MANAGEMENT_PROCEEDS")</f>
        <v>#NAME?</v>
      </c>
      <c r="M1566" t="e">
        <f ca="1">BDP("24588XAB Muni","GB_REPORTING")</f>
        <v>#NAME?</v>
      </c>
      <c r="N1566" t="e">
        <f ca="1">BDP("24588XAB Muni","GB_ASSURANCE_PROVIDERS")</f>
        <v>#NAME?</v>
      </c>
      <c r="O1566" t="e">
        <f ca="1">BDP("24588XAB Muni","GB_PROJECT_SELECTION_PROCESS")</f>
        <v>#NAME?</v>
      </c>
      <c r="P1566" t="e">
        <f ca="1">BDP("24588XAB Muni","ESG_FRAMEWORK_INDICATOR")</f>
        <v>#NAME?</v>
      </c>
      <c r="Q1566" t="e">
        <f ca="1">BDP("24588XAB Muni","BLOOMBERG_SECTOR_CODE")</f>
        <v>#NAME?</v>
      </c>
      <c r="R1566" t="e">
        <f ca="1">BDP("24588XAB Muni","ISSUER_TYPE")</f>
        <v>#NAME?</v>
      </c>
      <c r="S1566" t="e">
        <f ca="1">BDS("24588XAB Muni","ESG_PROJECT_CATEGORY", "aggregate=y")</f>
        <v>#NAME?</v>
      </c>
      <c r="T1566" t="e">
        <f ca="1">BDS("24588XAB Muni","ESG_PROJECT_SUBCATEGORY", "aggregate=y")</f>
        <v>#NAME?</v>
      </c>
    </row>
    <row r="1567" spans="1:20" x14ac:dyDescent="0.25">
      <c r="A1567" t="e">
        <f ca="1">BDP("24588XAC Muni","ID_CUSIP")</f>
        <v>#NAME?</v>
      </c>
      <c r="B1567" t="e">
        <f ca="1">BDP("24588XAC Muni","STATE_CODE")</f>
        <v>#NAME?</v>
      </c>
      <c r="C1567" t="s">
        <v>95</v>
      </c>
      <c r="D1567" t="e">
        <f ca="1">BDP("24588XAC Muni","YIELD_ON_ISSUE_DATE")</f>
        <v>#NAME?</v>
      </c>
      <c r="E1567">
        <v>7930000</v>
      </c>
      <c r="F1567" t="e">
        <f ca="1">BDP("24588XAC Muni","ISSUE_DT")</f>
        <v>#NAME?</v>
      </c>
      <c r="G1567" t="e">
        <f ca="1">BDP("24588XAC Muni","MATURITY")</f>
        <v>#NAME?</v>
      </c>
      <c r="H1567" t="e">
        <f ca="1">BDP("24588XAC Muni","MUNI_TAX_PROV")</f>
        <v>#NAME?</v>
      </c>
      <c r="I1567" t="e">
        <f ca="1">BDP("24588XAC Muni","FINANCING_TYPE")</f>
        <v>#NAME?</v>
      </c>
      <c r="J1567" t="e">
        <f ca="1">BDP("24588XAC Muni","BICS_LEVEL_2_INDUSTRY_GROUP_NAME")</f>
        <v>#NAME?</v>
      </c>
      <c r="K1567" t="e">
        <f ca="1">BDP("24588XAC Muni","SELF_REPRTD_GREEN_INSTR_INDCTR")</f>
        <v>#NAME?</v>
      </c>
      <c r="L1567" t="e">
        <f ca="1">BDP("24588XAC Muni","GB_MANAGEMENT_PROCEEDS")</f>
        <v>#NAME?</v>
      </c>
      <c r="M1567" t="e">
        <f ca="1">BDP("24588XAC Muni","GB_REPORTING")</f>
        <v>#NAME?</v>
      </c>
      <c r="N1567" t="e">
        <f ca="1">BDP("24588XAC Muni","GB_ASSURANCE_PROVIDERS")</f>
        <v>#NAME?</v>
      </c>
      <c r="O1567" t="e">
        <f ca="1">BDP("24588XAC Muni","GB_PROJECT_SELECTION_PROCESS")</f>
        <v>#NAME?</v>
      </c>
      <c r="P1567" t="e">
        <f ca="1">BDP("24588XAC Muni","ESG_FRAMEWORK_INDICATOR")</f>
        <v>#NAME?</v>
      </c>
      <c r="Q1567" t="e">
        <f ca="1">BDP("24588XAC Muni","BLOOMBERG_SECTOR_CODE")</f>
        <v>#NAME?</v>
      </c>
      <c r="R1567" t="e">
        <f ca="1">BDP("24588XAC Muni","ISSUER_TYPE")</f>
        <v>#NAME?</v>
      </c>
      <c r="S1567" t="e">
        <f ca="1">BDS("24588XAC Muni","ESG_PROJECT_CATEGORY", "aggregate=y")</f>
        <v>#NAME?</v>
      </c>
      <c r="T1567" t="e">
        <f ca="1">BDS("24588XAC Muni","ESG_PROJECT_SUBCATEGORY", "aggregate=y")</f>
        <v>#NAME?</v>
      </c>
    </row>
    <row r="1568" spans="1:20" x14ac:dyDescent="0.25">
      <c r="A1568" t="e">
        <f ca="1">BDP("24588XAD Muni","ID_CUSIP")</f>
        <v>#NAME?</v>
      </c>
      <c r="B1568" t="e">
        <f ca="1">BDP("24588XAD Muni","STATE_CODE")</f>
        <v>#NAME?</v>
      </c>
      <c r="C1568" t="s">
        <v>95</v>
      </c>
      <c r="D1568" t="e">
        <f ca="1">BDP("24588XAD Muni","YIELD_ON_ISSUE_DATE")</f>
        <v>#NAME?</v>
      </c>
      <c r="E1568">
        <v>20630000</v>
      </c>
      <c r="F1568" t="e">
        <f ca="1">BDP("24588XAD Muni","ISSUE_DT")</f>
        <v>#NAME?</v>
      </c>
      <c r="G1568" t="e">
        <f ca="1">BDP("24588XAD Muni","MATURITY")</f>
        <v>#NAME?</v>
      </c>
      <c r="H1568" t="e">
        <f ca="1">BDP("24588XAD Muni","MUNI_TAX_PROV")</f>
        <v>#NAME?</v>
      </c>
      <c r="I1568" t="e">
        <f ca="1">BDP("24588XAD Muni","FINANCING_TYPE")</f>
        <v>#NAME?</v>
      </c>
      <c r="J1568" t="e">
        <f ca="1">BDP("24588XAD Muni","BICS_LEVEL_2_INDUSTRY_GROUP_NAME")</f>
        <v>#NAME?</v>
      </c>
      <c r="K1568" t="e">
        <f ca="1">BDP("24588XAD Muni","SELF_REPRTD_GREEN_INSTR_INDCTR")</f>
        <v>#NAME?</v>
      </c>
      <c r="L1568" t="e">
        <f ca="1">BDP("24588XAD Muni","GB_MANAGEMENT_PROCEEDS")</f>
        <v>#NAME?</v>
      </c>
      <c r="M1568" t="e">
        <f ca="1">BDP("24588XAD Muni","GB_REPORTING")</f>
        <v>#NAME?</v>
      </c>
      <c r="N1568" t="e">
        <f ca="1">BDP("24588XAD Muni","GB_ASSURANCE_PROVIDERS")</f>
        <v>#NAME?</v>
      </c>
      <c r="O1568" t="e">
        <f ca="1">BDP("24588XAD Muni","GB_PROJECT_SELECTION_PROCESS")</f>
        <v>#NAME?</v>
      </c>
      <c r="P1568" t="e">
        <f ca="1">BDP("24588XAD Muni","ESG_FRAMEWORK_INDICATOR")</f>
        <v>#NAME?</v>
      </c>
      <c r="Q1568" t="e">
        <f ca="1">BDP("24588XAD Muni","BLOOMBERG_SECTOR_CODE")</f>
        <v>#NAME?</v>
      </c>
      <c r="R1568" t="e">
        <f ca="1">BDP("24588XAD Muni","ISSUER_TYPE")</f>
        <v>#NAME?</v>
      </c>
      <c r="S1568" t="e">
        <f ca="1">BDS("24588XAD Muni","ESG_PROJECT_CATEGORY", "aggregate=y")</f>
        <v>#NAME?</v>
      </c>
      <c r="T1568" t="e">
        <f ca="1">BDS("24588XAD Muni","ESG_PROJECT_SUBCATEGORY", "aggregate=y")</f>
        <v>#NAME?</v>
      </c>
    </row>
    <row r="1569" spans="1:20" x14ac:dyDescent="0.25">
      <c r="A1569" t="e">
        <f ca="1">BDP("67766WU7 Muni","ID_CUSIP")</f>
        <v>#NAME?</v>
      </c>
      <c r="B1569" t="e">
        <f ca="1">BDP("67766WU7 Muni","STATE_CODE")</f>
        <v>#NAME?</v>
      </c>
      <c r="C1569" t="s">
        <v>96</v>
      </c>
      <c r="D1569" t="e">
        <f ca="1">BDP("67766WU7 Muni","YIELD_ON_ISSUE_DATE")</f>
        <v>#NAME?</v>
      </c>
      <c r="E1569">
        <v>12000000</v>
      </c>
      <c r="F1569" t="e">
        <f ca="1">BDP("67766WU7 Muni","ISSUE_DT")</f>
        <v>#NAME?</v>
      </c>
      <c r="G1569" t="e">
        <f ca="1">BDP("67766WU7 Muni","MATURITY")</f>
        <v>#NAME?</v>
      </c>
      <c r="H1569" t="e">
        <f ca="1">BDP("67766WU7 Muni","MUNI_TAX_PROV")</f>
        <v>#NAME?</v>
      </c>
      <c r="I1569" t="e">
        <f ca="1">BDP("67766WU7 Muni","FINANCING_TYPE")</f>
        <v>#NAME?</v>
      </c>
      <c r="J1569" t="e">
        <f ca="1">BDP("67766WU7 Muni","BICS_LEVEL_2_INDUSTRY_GROUP_NAME")</f>
        <v>#NAME?</v>
      </c>
      <c r="K1569" t="e">
        <f ca="1">BDP("67766WU7 Muni","SELF_REPRTD_GREEN_INSTR_INDCTR")</f>
        <v>#NAME?</v>
      </c>
      <c r="L1569" t="e">
        <f ca="1">BDP("67766WU7 Muni","GB_MANAGEMENT_PROCEEDS")</f>
        <v>#NAME?</v>
      </c>
      <c r="M1569" t="e">
        <f ca="1">BDP("67766WU7 Muni","GB_REPORTING")</f>
        <v>#NAME?</v>
      </c>
      <c r="N1569" t="e">
        <f ca="1">BDP("67766WU7 Muni","GB_ASSURANCE_PROVIDERS")</f>
        <v>#NAME?</v>
      </c>
      <c r="O1569" t="e">
        <f ca="1">BDP("67766WU7 Muni","GB_PROJECT_SELECTION_PROCESS")</f>
        <v>#NAME?</v>
      </c>
      <c r="P1569" t="e">
        <f ca="1">BDP("67766WU7 Muni","ESG_FRAMEWORK_INDICATOR")</f>
        <v>#NAME?</v>
      </c>
      <c r="Q1569" t="e">
        <f ca="1">BDP("67766WU7 Muni","BLOOMBERG_SECTOR_CODE")</f>
        <v>#NAME?</v>
      </c>
      <c r="R1569" t="e">
        <f ca="1">BDP("67766WU7 Muni","ISSUER_TYPE")</f>
        <v>#NAME?</v>
      </c>
      <c r="S1569" t="e">
        <f ca="1">BDS("67766WU7 Muni","ESG_PROJECT_CATEGORY", "aggregate=y")</f>
        <v>#NAME?</v>
      </c>
      <c r="T1569" t="e">
        <f ca="1">BDS("67766WU7 Muni","ESG_PROJECT_SUBCATEGORY", "aggregate=y")</f>
        <v>#NAME?</v>
      </c>
    </row>
    <row r="1570" spans="1:20" x14ac:dyDescent="0.25">
      <c r="A1570" t="e">
        <f ca="1">BDP("67766WU9 Muni","ID_CUSIP")</f>
        <v>#NAME?</v>
      </c>
      <c r="B1570" t="e">
        <f ca="1">BDP("67766WU9 Muni","STATE_CODE")</f>
        <v>#NAME?</v>
      </c>
      <c r="C1570" t="s">
        <v>96</v>
      </c>
      <c r="D1570" t="e">
        <f ca="1">BDP("67766WU9 Muni","YIELD_ON_ISSUE_DATE")</f>
        <v>#NAME?</v>
      </c>
      <c r="E1570">
        <v>15000000</v>
      </c>
      <c r="F1570" t="e">
        <f ca="1">BDP("67766WU9 Muni","ISSUE_DT")</f>
        <v>#NAME?</v>
      </c>
      <c r="G1570" t="e">
        <f ca="1">BDP("67766WU9 Muni","MATURITY")</f>
        <v>#NAME?</v>
      </c>
      <c r="H1570" t="e">
        <f ca="1">BDP("67766WU9 Muni","MUNI_TAX_PROV")</f>
        <v>#NAME?</v>
      </c>
      <c r="I1570" t="e">
        <f ca="1">BDP("67766WU9 Muni","FINANCING_TYPE")</f>
        <v>#NAME?</v>
      </c>
      <c r="J1570" t="e">
        <f ca="1">BDP("67766WU9 Muni","BICS_LEVEL_2_INDUSTRY_GROUP_NAME")</f>
        <v>#NAME?</v>
      </c>
      <c r="K1570" t="e">
        <f ca="1">BDP("67766WU9 Muni","SELF_REPRTD_GREEN_INSTR_INDCTR")</f>
        <v>#NAME?</v>
      </c>
      <c r="L1570" t="e">
        <f ca="1">BDP("67766WU9 Muni","GB_MANAGEMENT_PROCEEDS")</f>
        <v>#NAME?</v>
      </c>
      <c r="M1570" t="e">
        <f ca="1">BDP("67766WU9 Muni","GB_REPORTING")</f>
        <v>#NAME?</v>
      </c>
      <c r="N1570" t="e">
        <f ca="1">BDP("67766WU9 Muni","GB_ASSURANCE_PROVIDERS")</f>
        <v>#NAME?</v>
      </c>
      <c r="O1570" t="e">
        <f ca="1">BDP("67766WU9 Muni","GB_PROJECT_SELECTION_PROCESS")</f>
        <v>#NAME?</v>
      </c>
      <c r="P1570" t="e">
        <f ca="1">BDP("67766WU9 Muni","ESG_FRAMEWORK_INDICATOR")</f>
        <v>#NAME?</v>
      </c>
      <c r="Q1570" t="e">
        <f ca="1">BDP("67766WU9 Muni","BLOOMBERG_SECTOR_CODE")</f>
        <v>#NAME?</v>
      </c>
      <c r="R1570" t="e">
        <f ca="1">BDP("67766WU9 Muni","ISSUER_TYPE")</f>
        <v>#NAME?</v>
      </c>
      <c r="S1570" t="e">
        <f ca="1">BDS("67766WU9 Muni","ESG_PROJECT_CATEGORY", "aggregate=y")</f>
        <v>#NAME?</v>
      </c>
      <c r="T1570" t="e">
        <f ca="1">BDS("67766WU9 Muni","ESG_PROJECT_SUBCATEGORY", "aggregate=y")</f>
        <v>#NAME?</v>
      </c>
    </row>
    <row r="1571" spans="1:20" x14ac:dyDescent="0.25">
      <c r="A1571" t="e">
        <f ca="1">BDP("67766WV2 Muni","ID_CUSIP")</f>
        <v>#NAME?</v>
      </c>
      <c r="B1571" t="e">
        <f ca="1">BDP("67766WV2 Muni","STATE_CODE")</f>
        <v>#NAME?</v>
      </c>
      <c r="C1571" t="s">
        <v>96</v>
      </c>
      <c r="D1571" t="e">
        <f ca="1">BDP("67766WV2 Muni","YIELD_ON_ISSUE_DATE")</f>
        <v>#NAME?</v>
      </c>
      <c r="E1571">
        <v>15000000</v>
      </c>
      <c r="F1571" t="e">
        <f ca="1">BDP("67766WV2 Muni","ISSUE_DT")</f>
        <v>#NAME?</v>
      </c>
      <c r="G1571" t="e">
        <f ca="1">BDP("67766WV2 Muni","MATURITY")</f>
        <v>#NAME?</v>
      </c>
      <c r="H1571" t="e">
        <f ca="1">BDP("67766WV2 Muni","MUNI_TAX_PROV")</f>
        <v>#NAME?</v>
      </c>
      <c r="I1571" t="e">
        <f ca="1">BDP("67766WV2 Muni","FINANCING_TYPE")</f>
        <v>#NAME?</v>
      </c>
      <c r="J1571" t="e">
        <f ca="1">BDP("67766WV2 Muni","BICS_LEVEL_2_INDUSTRY_GROUP_NAME")</f>
        <v>#NAME?</v>
      </c>
      <c r="K1571" t="e">
        <f ca="1">BDP("67766WV2 Muni","SELF_REPRTD_GREEN_INSTR_INDCTR")</f>
        <v>#NAME?</v>
      </c>
      <c r="L1571" t="e">
        <f ca="1">BDP("67766WV2 Muni","GB_MANAGEMENT_PROCEEDS")</f>
        <v>#NAME?</v>
      </c>
      <c r="M1571" t="e">
        <f ca="1">BDP("67766WV2 Muni","GB_REPORTING")</f>
        <v>#NAME?</v>
      </c>
      <c r="N1571" t="e">
        <f ca="1">BDP("67766WV2 Muni","GB_ASSURANCE_PROVIDERS")</f>
        <v>#NAME?</v>
      </c>
      <c r="O1571" t="e">
        <f ca="1">BDP("67766WV2 Muni","GB_PROJECT_SELECTION_PROCESS")</f>
        <v>#NAME?</v>
      </c>
      <c r="P1571" t="e">
        <f ca="1">BDP("67766WV2 Muni","ESG_FRAMEWORK_INDICATOR")</f>
        <v>#NAME?</v>
      </c>
      <c r="Q1571" t="e">
        <f ca="1">BDP("67766WV2 Muni","BLOOMBERG_SECTOR_CODE")</f>
        <v>#NAME?</v>
      </c>
      <c r="R1571" t="e">
        <f ca="1">BDP("67766WV2 Muni","ISSUER_TYPE")</f>
        <v>#NAME?</v>
      </c>
      <c r="S1571" t="e">
        <f ca="1">BDS("67766WV2 Muni","ESG_PROJECT_CATEGORY", "aggregate=y")</f>
        <v>#NAME?</v>
      </c>
      <c r="T1571" t="e">
        <f ca="1">BDS("67766WV2 Muni","ESG_PROJECT_SUBCATEGORY", "aggregate=y")</f>
        <v>#NAME?</v>
      </c>
    </row>
    <row r="1572" spans="1:20" x14ac:dyDescent="0.25">
      <c r="A1572" t="e">
        <f ca="1">BDP("67766WV7 Muni","ID_CUSIP")</f>
        <v>#NAME?</v>
      </c>
      <c r="B1572" t="e">
        <f ca="1">BDP("67766WV7 Muni","STATE_CODE")</f>
        <v>#NAME?</v>
      </c>
      <c r="C1572" t="s">
        <v>96</v>
      </c>
      <c r="D1572" t="e">
        <f ca="1">BDP("67766WV7 Muni","YIELD_ON_ISSUE_DATE")</f>
        <v>#NAME?</v>
      </c>
      <c r="E1572">
        <v>350000000</v>
      </c>
      <c r="F1572" t="e">
        <f ca="1">BDP("67766WV7 Muni","ISSUE_DT")</f>
        <v>#NAME?</v>
      </c>
      <c r="G1572" t="e">
        <f ca="1">BDP("67766WV7 Muni","MATURITY")</f>
        <v>#NAME?</v>
      </c>
      <c r="H1572" t="e">
        <f ca="1">BDP("67766WV7 Muni","MUNI_TAX_PROV")</f>
        <v>#NAME?</v>
      </c>
      <c r="I1572" t="e">
        <f ca="1">BDP("67766WV7 Muni","FINANCING_TYPE")</f>
        <v>#NAME?</v>
      </c>
      <c r="J1572" t="e">
        <f ca="1">BDP("67766WV7 Muni","BICS_LEVEL_2_INDUSTRY_GROUP_NAME")</f>
        <v>#NAME?</v>
      </c>
      <c r="K1572" t="e">
        <f ca="1">BDP("67766WV7 Muni","SELF_REPRTD_GREEN_INSTR_INDCTR")</f>
        <v>#NAME?</v>
      </c>
      <c r="L1572" t="e">
        <f ca="1">BDP("67766WV7 Muni","GB_MANAGEMENT_PROCEEDS")</f>
        <v>#NAME?</v>
      </c>
      <c r="M1572" t="e">
        <f ca="1">BDP("67766WV7 Muni","GB_REPORTING")</f>
        <v>#NAME?</v>
      </c>
      <c r="N1572" t="e">
        <f ca="1">BDP("67766WV7 Muni","GB_ASSURANCE_PROVIDERS")</f>
        <v>#NAME?</v>
      </c>
      <c r="O1572" t="e">
        <f ca="1">BDP("67766WV7 Muni","GB_PROJECT_SELECTION_PROCESS")</f>
        <v>#NAME?</v>
      </c>
      <c r="P1572" t="e">
        <f ca="1">BDP("67766WV7 Muni","ESG_FRAMEWORK_INDICATOR")</f>
        <v>#NAME?</v>
      </c>
      <c r="Q1572" t="e">
        <f ca="1">BDP("67766WV7 Muni","BLOOMBERG_SECTOR_CODE")</f>
        <v>#NAME?</v>
      </c>
      <c r="R1572" t="e">
        <f ca="1">BDP("67766WV7 Muni","ISSUER_TYPE")</f>
        <v>#NAME?</v>
      </c>
      <c r="S1572" t="e">
        <f ca="1">BDS("67766WV7 Muni","ESG_PROJECT_CATEGORY", "aggregate=y")</f>
        <v>#NAME?</v>
      </c>
      <c r="T1572" t="e">
        <f ca="1">BDS("67766WV7 Muni","ESG_PROJECT_SUBCATEGORY", "aggregate=y")</f>
        <v>#NAME?</v>
      </c>
    </row>
    <row r="1573" spans="1:20" x14ac:dyDescent="0.25">
      <c r="A1573" t="e">
        <f ca="1">BDP("67766WU4 Muni","ID_CUSIP")</f>
        <v>#NAME?</v>
      </c>
      <c r="B1573" t="e">
        <f ca="1">BDP("67766WU4 Muni","STATE_CODE")</f>
        <v>#NAME?</v>
      </c>
      <c r="C1573" t="s">
        <v>96</v>
      </c>
      <c r="D1573" t="e">
        <f ca="1">BDP("67766WU4 Muni","YIELD_ON_ISSUE_DATE")</f>
        <v>#NAME?</v>
      </c>
      <c r="E1573">
        <v>12000000</v>
      </c>
      <c r="F1573" t="e">
        <f ca="1">BDP("67766WU4 Muni","ISSUE_DT")</f>
        <v>#NAME?</v>
      </c>
      <c r="G1573" t="e">
        <f ca="1">BDP("67766WU4 Muni","MATURITY")</f>
        <v>#NAME?</v>
      </c>
      <c r="H1573" t="e">
        <f ca="1">BDP("67766WU4 Muni","MUNI_TAX_PROV")</f>
        <v>#NAME?</v>
      </c>
      <c r="I1573" t="e">
        <f ca="1">BDP("67766WU4 Muni","FINANCING_TYPE")</f>
        <v>#NAME?</v>
      </c>
      <c r="J1573" t="e">
        <f ca="1">BDP("67766WU4 Muni","BICS_LEVEL_2_INDUSTRY_GROUP_NAME")</f>
        <v>#NAME?</v>
      </c>
      <c r="K1573" t="e">
        <f ca="1">BDP("67766WU4 Muni","SELF_REPRTD_GREEN_INSTR_INDCTR")</f>
        <v>#NAME?</v>
      </c>
      <c r="L1573" t="e">
        <f ca="1">BDP("67766WU4 Muni","GB_MANAGEMENT_PROCEEDS")</f>
        <v>#NAME?</v>
      </c>
      <c r="M1573" t="e">
        <f ca="1">BDP("67766WU4 Muni","GB_REPORTING")</f>
        <v>#NAME?</v>
      </c>
      <c r="N1573" t="e">
        <f ca="1">BDP("67766WU4 Muni","GB_ASSURANCE_PROVIDERS")</f>
        <v>#NAME?</v>
      </c>
      <c r="O1573" t="e">
        <f ca="1">BDP("67766WU4 Muni","GB_PROJECT_SELECTION_PROCESS")</f>
        <v>#NAME?</v>
      </c>
      <c r="P1573" t="e">
        <f ca="1">BDP("67766WU4 Muni","ESG_FRAMEWORK_INDICATOR")</f>
        <v>#NAME?</v>
      </c>
      <c r="Q1573" t="e">
        <f ca="1">BDP("67766WU4 Muni","BLOOMBERG_SECTOR_CODE")</f>
        <v>#NAME?</v>
      </c>
      <c r="R1573" t="e">
        <f ca="1">BDP("67766WU4 Muni","ISSUER_TYPE")</f>
        <v>#NAME?</v>
      </c>
      <c r="S1573" t="e">
        <f ca="1">BDS("67766WU4 Muni","ESG_PROJECT_CATEGORY", "aggregate=y")</f>
        <v>#NAME?</v>
      </c>
      <c r="T1573" t="e">
        <f ca="1">BDS("67766WU4 Muni","ESG_PROJECT_SUBCATEGORY", "aggregate=y")</f>
        <v>#NAME?</v>
      </c>
    </row>
    <row r="1574" spans="1:20" x14ac:dyDescent="0.25">
      <c r="A1574" t="e">
        <f ca="1">BDP("67766WV5 Muni","ID_CUSIP")</f>
        <v>#NAME?</v>
      </c>
      <c r="B1574" t="e">
        <f ca="1">BDP("67766WV5 Muni","STATE_CODE")</f>
        <v>#NAME?</v>
      </c>
      <c r="C1574" t="s">
        <v>96</v>
      </c>
      <c r="D1574" t="e">
        <f ca="1">BDP("67766WV5 Muni","YIELD_ON_ISSUE_DATE")</f>
        <v>#NAME?</v>
      </c>
      <c r="E1574">
        <v>15000000</v>
      </c>
      <c r="F1574" t="e">
        <f ca="1">BDP("67766WV5 Muni","ISSUE_DT")</f>
        <v>#NAME?</v>
      </c>
      <c r="G1574" t="e">
        <f ca="1">BDP("67766WV5 Muni","MATURITY")</f>
        <v>#NAME?</v>
      </c>
      <c r="H1574" t="e">
        <f ca="1">BDP("67766WV5 Muni","MUNI_TAX_PROV")</f>
        <v>#NAME?</v>
      </c>
      <c r="I1574" t="e">
        <f ca="1">BDP("67766WV5 Muni","FINANCING_TYPE")</f>
        <v>#NAME?</v>
      </c>
      <c r="J1574" t="e">
        <f ca="1">BDP("67766WV5 Muni","BICS_LEVEL_2_INDUSTRY_GROUP_NAME")</f>
        <v>#NAME?</v>
      </c>
      <c r="K1574" t="e">
        <f ca="1">BDP("67766WV5 Muni","SELF_REPRTD_GREEN_INSTR_INDCTR")</f>
        <v>#NAME?</v>
      </c>
      <c r="L1574" t="e">
        <f ca="1">BDP("67766WV5 Muni","GB_MANAGEMENT_PROCEEDS")</f>
        <v>#NAME?</v>
      </c>
      <c r="M1574" t="e">
        <f ca="1">BDP("67766WV5 Muni","GB_REPORTING")</f>
        <v>#NAME?</v>
      </c>
      <c r="N1574" t="e">
        <f ca="1">BDP("67766WV5 Muni","GB_ASSURANCE_PROVIDERS")</f>
        <v>#NAME?</v>
      </c>
      <c r="O1574" t="e">
        <f ca="1">BDP("67766WV5 Muni","GB_PROJECT_SELECTION_PROCESS")</f>
        <v>#NAME?</v>
      </c>
      <c r="P1574" t="e">
        <f ca="1">BDP("67766WV5 Muni","ESG_FRAMEWORK_INDICATOR")</f>
        <v>#NAME?</v>
      </c>
      <c r="Q1574" t="e">
        <f ca="1">BDP("67766WV5 Muni","BLOOMBERG_SECTOR_CODE")</f>
        <v>#NAME?</v>
      </c>
      <c r="R1574" t="e">
        <f ca="1">BDP("67766WV5 Muni","ISSUER_TYPE")</f>
        <v>#NAME?</v>
      </c>
      <c r="S1574" t="e">
        <f ca="1">BDS("67766WV5 Muni","ESG_PROJECT_CATEGORY", "aggregate=y")</f>
        <v>#NAME?</v>
      </c>
      <c r="T1574" t="e">
        <f ca="1">BDS("67766WV5 Muni","ESG_PROJECT_SUBCATEGORY", "aggregate=y")</f>
        <v>#NAME?</v>
      </c>
    </row>
    <row r="1575" spans="1:20" x14ac:dyDescent="0.25">
      <c r="A1575" t="e">
        <f ca="1">BDP("67766WU6 Muni","ID_CUSIP")</f>
        <v>#NAME?</v>
      </c>
      <c r="B1575" t="e">
        <f ca="1">BDP("67766WU6 Muni","STATE_CODE")</f>
        <v>#NAME?</v>
      </c>
      <c r="C1575" t="s">
        <v>96</v>
      </c>
      <c r="D1575" t="e">
        <f ca="1">BDP("67766WU6 Muni","YIELD_ON_ISSUE_DATE")</f>
        <v>#NAME?</v>
      </c>
      <c r="E1575">
        <v>12000000</v>
      </c>
      <c r="F1575" t="e">
        <f ca="1">BDP("67766WU6 Muni","ISSUE_DT")</f>
        <v>#NAME?</v>
      </c>
      <c r="G1575" t="e">
        <f ca="1">BDP("67766WU6 Muni","MATURITY")</f>
        <v>#NAME?</v>
      </c>
      <c r="H1575" t="e">
        <f ca="1">BDP("67766WU6 Muni","MUNI_TAX_PROV")</f>
        <v>#NAME?</v>
      </c>
      <c r="I1575" t="e">
        <f ca="1">BDP("67766WU6 Muni","FINANCING_TYPE")</f>
        <v>#NAME?</v>
      </c>
      <c r="J1575" t="e">
        <f ca="1">BDP("67766WU6 Muni","BICS_LEVEL_2_INDUSTRY_GROUP_NAME")</f>
        <v>#NAME?</v>
      </c>
      <c r="K1575" t="e">
        <f ca="1">BDP("67766WU6 Muni","SELF_REPRTD_GREEN_INSTR_INDCTR")</f>
        <v>#NAME?</v>
      </c>
      <c r="L1575" t="e">
        <f ca="1">BDP("67766WU6 Muni","GB_MANAGEMENT_PROCEEDS")</f>
        <v>#NAME?</v>
      </c>
      <c r="M1575" t="e">
        <f ca="1">BDP("67766WU6 Muni","GB_REPORTING")</f>
        <v>#NAME?</v>
      </c>
      <c r="N1575" t="e">
        <f ca="1">BDP("67766WU6 Muni","GB_ASSURANCE_PROVIDERS")</f>
        <v>#NAME?</v>
      </c>
      <c r="O1575" t="e">
        <f ca="1">BDP("67766WU6 Muni","GB_PROJECT_SELECTION_PROCESS")</f>
        <v>#NAME?</v>
      </c>
      <c r="P1575" t="e">
        <f ca="1">BDP("67766WU6 Muni","ESG_FRAMEWORK_INDICATOR")</f>
        <v>#NAME?</v>
      </c>
      <c r="Q1575" t="e">
        <f ca="1">BDP("67766WU6 Muni","BLOOMBERG_SECTOR_CODE")</f>
        <v>#NAME?</v>
      </c>
      <c r="R1575" t="e">
        <f ca="1">BDP("67766WU6 Muni","ISSUER_TYPE")</f>
        <v>#NAME?</v>
      </c>
      <c r="S1575" t="e">
        <f ca="1">BDS("67766WU6 Muni","ESG_PROJECT_CATEGORY", "aggregate=y")</f>
        <v>#NAME?</v>
      </c>
      <c r="T1575" t="e">
        <f ca="1">BDS("67766WU6 Muni","ESG_PROJECT_SUBCATEGORY", "aggregate=y")</f>
        <v>#NAME?</v>
      </c>
    </row>
    <row r="1576" spans="1:20" x14ac:dyDescent="0.25">
      <c r="A1576" t="e">
        <f ca="1">BDP("24588XAA Muni","ID_CUSIP")</f>
        <v>#NAME?</v>
      </c>
      <c r="B1576" t="e">
        <f ca="1">BDP("24588XAA Muni","STATE_CODE")</f>
        <v>#NAME?</v>
      </c>
      <c r="C1576" t="s">
        <v>95</v>
      </c>
      <c r="D1576" t="e">
        <f ca="1">BDP("24588XAA Muni","YIELD_ON_ISSUE_DATE")</f>
        <v>#NAME?</v>
      </c>
      <c r="E1576">
        <v>1835000</v>
      </c>
      <c r="F1576" t="e">
        <f ca="1">BDP("24588XAA Muni","ISSUE_DT")</f>
        <v>#NAME?</v>
      </c>
      <c r="G1576" t="e">
        <f ca="1">BDP("24588XAA Muni","MATURITY")</f>
        <v>#NAME?</v>
      </c>
      <c r="H1576" t="e">
        <f ca="1">BDP("24588XAA Muni","MUNI_TAX_PROV")</f>
        <v>#NAME?</v>
      </c>
      <c r="I1576" t="e">
        <f ca="1">BDP("24588XAA Muni","FINANCING_TYPE")</f>
        <v>#NAME?</v>
      </c>
      <c r="J1576" t="e">
        <f ca="1">BDP("24588XAA Muni","BICS_LEVEL_2_INDUSTRY_GROUP_NAME")</f>
        <v>#NAME?</v>
      </c>
      <c r="K1576" t="e">
        <f ca="1">BDP("24588XAA Muni","SELF_REPRTD_GREEN_INSTR_INDCTR")</f>
        <v>#NAME?</v>
      </c>
      <c r="L1576" t="e">
        <f ca="1">BDP("24588XAA Muni","GB_MANAGEMENT_PROCEEDS")</f>
        <v>#NAME?</v>
      </c>
      <c r="M1576" t="e">
        <f ca="1">BDP("24588XAA Muni","GB_REPORTING")</f>
        <v>#NAME?</v>
      </c>
      <c r="N1576" t="e">
        <f ca="1">BDP("24588XAA Muni","GB_ASSURANCE_PROVIDERS")</f>
        <v>#NAME?</v>
      </c>
      <c r="O1576" t="e">
        <f ca="1">BDP("24588XAA Muni","GB_PROJECT_SELECTION_PROCESS")</f>
        <v>#NAME?</v>
      </c>
      <c r="P1576" t="e">
        <f ca="1">BDP("24588XAA Muni","ESG_FRAMEWORK_INDICATOR")</f>
        <v>#NAME?</v>
      </c>
      <c r="Q1576" t="e">
        <f ca="1">BDP("24588XAA Muni","BLOOMBERG_SECTOR_CODE")</f>
        <v>#NAME?</v>
      </c>
      <c r="R1576" t="e">
        <f ca="1">BDP("24588XAA Muni","ISSUER_TYPE")</f>
        <v>#NAME?</v>
      </c>
      <c r="S1576" t="e">
        <f ca="1">BDS("24588XAA Muni","ESG_PROJECT_CATEGORY", "aggregate=y")</f>
        <v>#NAME?</v>
      </c>
      <c r="T1576" t="e">
        <f ca="1">BDS("24588XAA Muni","ESG_PROJECT_SUBCATEGORY", "aggregate=y")</f>
        <v>#NAME?</v>
      </c>
    </row>
    <row r="1577" spans="1:20" x14ac:dyDescent="0.25">
      <c r="A1577" t="e">
        <f ca="1">BDP("67766WV3 Muni","ID_CUSIP")</f>
        <v>#NAME?</v>
      </c>
      <c r="B1577" t="e">
        <f ca="1">BDP("67766WV3 Muni","STATE_CODE")</f>
        <v>#NAME?</v>
      </c>
      <c r="C1577" t="s">
        <v>96</v>
      </c>
      <c r="D1577" t="e">
        <f ca="1">BDP("67766WV3 Muni","YIELD_ON_ISSUE_DATE")</f>
        <v>#NAME?</v>
      </c>
      <c r="E1577">
        <v>12000000</v>
      </c>
      <c r="F1577" t="e">
        <f ca="1">BDP("67766WV3 Muni","ISSUE_DT")</f>
        <v>#NAME?</v>
      </c>
      <c r="G1577" t="e">
        <f ca="1">BDP("67766WV3 Muni","MATURITY")</f>
        <v>#NAME?</v>
      </c>
      <c r="H1577" t="e">
        <f ca="1">BDP("67766WV3 Muni","MUNI_TAX_PROV")</f>
        <v>#NAME?</v>
      </c>
      <c r="I1577" t="e">
        <f ca="1">BDP("67766WV3 Muni","FINANCING_TYPE")</f>
        <v>#NAME?</v>
      </c>
      <c r="J1577" t="e">
        <f ca="1">BDP("67766WV3 Muni","BICS_LEVEL_2_INDUSTRY_GROUP_NAME")</f>
        <v>#NAME?</v>
      </c>
      <c r="K1577" t="e">
        <f ca="1">BDP("67766WV3 Muni","SELF_REPRTD_GREEN_INSTR_INDCTR")</f>
        <v>#NAME?</v>
      </c>
      <c r="L1577" t="e">
        <f ca="1">BDP("67766WV3 Muni","GB_MANAGEMENT_PROCEEDS")</f>
        <v>#NAME?</v>
      </c>
      <c r="M1577" t="e">
        <f ca="1">BDP("67766WV3 Muni","GB_REPORTING")</f>
        <v>#NAME?</v>
      </c>
      <c r="N1577" t="e">
        <f ca="1">BDP("67766WV3 Muni","GB_ASSURANCE_PROVIDERS")</f>
        <v>#NAME?</v>
      </c>
      <c r="O1577" t="e">
        <f ca="1">BDP("67766WV3 Muni","GB_PROJECT_SELECTION_PROCESS")</f>
        <v>#NAME?</v>
      </c>
      <c r="P1577" t="e">
        <f ca="1">BDP("67766WV3 Muni","ESG_FRAMEWORK_INDICATOR")</f>
        <v>#NAME?</v>
      </c>
      <c r="Q1577" t="e">
        <f ca="1">BDP("67766WV3 Muni","BLOOMBERG_SECTOR_CODE")</f>
        <v>#NAME?</v>
      </c>
      <c r="R1577" t="e">
        <f ca="1">BDP("67766WV3 Muni","ISSUER_TYPE")</f>
        <v>#NAME?</v>
      </c>
      <c r="S1577" t="e">
        <f ca="1">BDS("67766WV3 Muni","ESG_PROJECT_CATEGORY", "aggregate=y")</f>
        <v>#NAME?</v>
      </c>
      <c r="T1577" t="e">
        <f ca="1">BDS("67766WV3 Muni","ESG_PROJECT_SUBCATEGORY", "aggregate=y")</f>
        <v>#NAME?</v>
      </c>
    </row>
    <row r="1578" spans="1:20" x14ac:dyDescent="0.25">
      <c r="A1578" t="e">
        <f ca="1">BDP("67766WU8 Muni","ID_CUSIP")</f>
        <v>#NAME?</v>
      </c>
      <c r="B1578" t="e">
        <f ca="1">BDP("67766WU8 Muni","STATE_CODE")</f>
        <v>#NAME?</v>
      </c>
      <c r="C1578" t="s">
        <v>96</v>
      </c>
      <c r="D1578" t="e">
        <f ca="1">BDP("67766WU8 Muni","YIELD_ON_ISSUE_DATE")</f>
        <v>#NAME?</v>
      </c>
      <c r="E1578">
        <v>12000000</v>
      </c>
      <c r="F1578" t="e">
        <f ca="1">BDP("67766WU8 Muni","ISSUE_DT")</f>
        <v>#NAME?</v>
      </c>
      <c r="G1578" t="e">
        <f ca="1">BDP("67766WU8 Muni","MATURITY")</f>
        <v>#NAME?</v>
      </c>
      <c r="H1578" t="e">
        <f ca="1">BDP("67766WU8 Muni","MUNI_TAX_PROV")</f>
        <v>#NAME?</v>
      </c>
      <c r="I1578" t="e">
        <f ca="1">BDP("67766WU8 Muni","FINANCING_TYPE")</f>
        <v>#NAME?</v>
      </c>
      <c r="J1578" t="e">
        <f ca="1">BDP("67766WU8 Muni","BICS_LEVEL_2_INDUSTRY_GROUP_NAME")</f>
        <v>#NAME?</v>
      </c>
      <c r="K1578" t="e">
        <f ca="1">BDP("67766WU8 Muni","SELF_REPRTD_GREEN_INSTR_INDCTR")</f>
        <v>#NAME?</v>
      </c>
      <c r="L1578" t="e">
        <f ca="1">BDP("67766WU8 Muni","GB_MANAGEMENT_PROCEEDS")</f>
        <v>#NAME?</v>
      </c>
      <c r="M1578" t="e">
        <f ca="1">BDP("67766WU8 Muni","GB_REPORTING")</f>
        <v>#NAME?</v>
      </c>
      <c r="N1578" t="e">
        <f ca="1">BDP("67766WU8 Muni","GB_ASSURANCE_PROVIDERS")</f>
        <v>#NAME?</v>
      </c>
      <c r="O1578" t="e">
        <f ca="1">BDP("67766WU8 Muni","GB_PROJECT_SELECTION_PROCESS")</f>
        <v>#NAME?</v>
      </c>
      <c r="P1578" t="e">
        <f ca="1">BDP("67766WU8 Muni","ESG_FRAMEWORK_INDICATOR")</f>
        <v>#NAME?</v>
      </c>
      <c r="Q1578" t="e">
        <f ca="1">BDP("67766WU8 Muni","BLOOMBERG_SECTOR_CODE")</f>
        <v>#NAME?</v>
      </c>
      <c r="R1578" t="e">
        <f ca="1">BDP("67766WU8 Muni","ISSUER_TYPE")</f>
        <v>#NAME?</v>
      </c>
      <c r="S1578" t="e">
        <f ca="1">BDS("67766WU8 Muni","ESG_PROJECT_CATEGORY", "aggregate=y")</f>
        <v>#NAME?</v>
      </c>
      <c r="T1578" t="e">
        <f ca="1">BDS("67766WU8 Muni","ESG_PROJECT_SUBCATEGORY", "aggregate=y")</f>
        <v>#NAME?</v>
      </c>
    </row>
    <row r="1579" spans="1:20" x14ac:dyDescent="0.25">
      <c r="A1579" t="e">
        <f ca="1">BDP("67766WV6 Muni","ID_CUSIP")</f>
        <v>#NAME?</v>
      </c>
      <c r="B1579" t="e">
        <f ca="1">BDP("67766WV6 Muni","STATE_CODE")</f>
        <v>#NAME?</v>
      </c>
      <c r="C1579" t="s">
        <v>96</v>
      </c>
      <c r="D1579" t="e">
        <f ca="1">BDP("67766WV6 Muni","YIELD_ON_ISSUE_DATE")</f>
        <v>#NAME?</v>
      </c>
      <c r="E1579">
        <v>15000000</v>
      </c>
      <c r="F1579" t="e">
        <f ca="1">BDP("67766WV6 Muni","ISSUE_DT")</f>
        <v>#NAME?</v>
      </c>
      <c r="G1579" t="e">
        <f ca="1">BDP("67766WV6 Muni","MATURITY")</f>
        <v>#NAME?</v>
      </c>
      <c r="H1579" t="e">
        <f ca="1">BDP("67766WV6 Muni","MUNI_TAX_PROV")</f>
        <v>#NAME?</v>
      </c>
      <c r="I1579" t="e">
        <f ca="1">BDP("67766WV6 Muni","FINANCING_TYPE")</f>
        <v>#NAME?</v>
      </c>
      <c r="J1579" t="e">
        <f ca="1">BDP("67766WV6 Muni","BICS_LEVEL_2_INDUSTRY_GROUP_NAME")</f>
        <v>#NAME?</v>
      </c>
      <c r="K1579" t="e">
        <f ca="1">BDP("67766WV6 Muni","SELF_REPRTD_GREEN_INSTR_INDCTR")</f>
        <v>#NAME?</v>
      </c>
      <c r="L1579" t="e">
        <f ca="1">BDP("67766WV6 Muni","GB_MANAGEMENT_PROCEEDS")</f>
        <v>#NAME?</v>
      </c>
      <c r="M1579" t="e">
        <f ca="1">BDP("67766WV6 Muni","GB_REPORTING")</f>
        <v>#NAME?</v>
      </c>
      <c r="N1579" t="e">
        <f ca="1">BDP("67766WV6 Muni","GB_ASSURANCE_PROVIDERS")</f>
        <v>#NAME?</v>
      </c>
      <c r="O1579" t="e">
        <f ca="1">BDP("67766WV6 Muni","GB_PROJECT_SELECTION_PROCESS")</f>
        <v>#NAME?</v>
      </c>
      <c r="P1579" t="e">
        <f ca="1">BDP("67766WV6 Muni","ESG_FRAMEWORK_INDICATOR")</f>
        <v>#NAME?</v>
      </c>
      <c r="Q1579" t="e">
        <f ca="1">BDP("67766WV6 Muni","BLOOMBERG_SECTOR_CODE")</f>
        <v>#NAME?</v>
      </c>
      <c r="R1579" t="e">
        <f ca="1">BDP("67766WV6 Muni","ISSUER_TYPE")</f>
        <v>#NAME?</v>
      </c>
      <c r="S1579" t="e">
        <f ca="1">BDS("67766WV6 Muni","ESG_PROJECT_CATEGORY", "aggregate=y")</f>
        <v>#NAME?</v>
      </c>
      <c r="T1579" t="e">
        <f ca="1">BDS("67766WV6 Muni","ESG_PROJECT_SUBCATEGORY", "aggregate=y")</f>
        <v>#NAME?</v>
      </c>
    </row>
    <row r="1580" spans="1:20" x14ac:dyDescent="0.25">
      <c r="A1580" t="e">
        <f ca="1">BDP("67766WU5 Muni","ID_CUSIP")</f>
        <v>#NAME?</v>
      </c>
      <c r="B1580" t="e">
        <f ca="1">BDP("67766WU5 Muni","STATE_CODE")</f>
        <v>#NAME?</v>
      </c>
      <c r="C1580" t="s">
        <v>96</v>
      </c>
      <c r="D1580" t="e">
        <f ca="1">BDP("67766WU5 Muni","YIELD_ON_ISSUE_DATE")</f>
        <v>#NAME?</v>
      </c>
      <c r="E1580">
        <v>15000000</v>
      </c>
      <c r="F1580" t="e">
        <f ca="1">BDP("67766WU5 Muni","ISSUE_DT")</f>
        <v>#NAME?</v>
      </c>
      <c r="G1580" t="e">
        <f ca="1">BDP("67766WU5 Muni","MATURITY")</f>
        <v>#NAME?</v>
      </c>
      <c r="H1580" t="e">
        <f ca="1">BDP("67766WU5 Muni","MUNI_TAX_PROV")</f>
        <v>#NAME?</v>
      </c>
      <c r="I1580" t="e">
        <f ca="1">BDP("67766WU5 Muni","FINANCING_TYPE")</f>
        <v>#NAME?</v>
      </c>
      <c r="J1580" t="e">
        <f ca="1">BDP("67766WU5 Muni","BICS_LEVEL_2_INDUSTRY_GROUP_NAME")</f>
        <v>#NAME?</v>
      </c>
      <c r="K1580" t="e">
        <f ca="1">BDP("67766WU5 Muni","SELF_REPRTD_GREEN_INSTR_INDCTR")</f>
        <v>#NAME?</v>
      </c>
      <c r="L1580" t="e">
        <f ca="1">BDP("67766WU5 Muni","GB_MANAGEMENT_PROCEEDS")</f>
        <v>#NAME?</v>
      </c>
      <c r="M1580" t="e">
        <f ca="1">BDP("67766WU5 Muni","GB_REPORTING")</f>
        <v>#NAME?</v>
      </c>
      <c r="N1580" t="e">
        <f ca="1">BDP("67766WU5 Muni","GB_ASSURANCE_PROVIDERS")</f>
        <v>#NAME?</v>
      </c>
      <c r="O1580" t="e">
        <f ca="1">BDP("67766WU5 Muni","GB_PROJECT_SELECTION_PROCESS")</f>
        <v>#NAME?</v>
      </c>
      <c r="P1580" t="e">
        <f ca="1">BDP("67766WU5 Muni","ESG_FRAMEWORK_INDICATOR")</f>
        <v>#NAME?</v>
      </c>
      <c r="Q1580" t="e">
        <f ca="1">BDP("67766WU5 Muni","BLOOMBERG_SECTOR_CODE")</f>
        <v>#NAME?</v>
      </c>
      <c r="R1580" t="e">
        <f ca="1">BDP("67766WU5 Muni","ISSUER_TYPE")</f>
        <v>#NAME?</v>
      </c>
      <c r="S1580" t="e">
        <f ca="1">BDS("67766WU5 Muni","ESG_PROJECT_CATEGORY", "aggregate=y")</f>
        <v>#NAME?</v>
      </c>
      <c r="T1580" t="e">
        <f ca="1">BDS("67766WU5 Muni","ESG_PROJECT_SUBCATEGORY", "aggregate=y")</f>
        <v>#NAME?</v>
      </c>
    </row>
    <row r="1581" spans="1:20" x14ac:dyDescent="0.25">
      <c r="A1581" t="e">
        <f ca="1">BDP("67766WV4 Muni","ID_CUSIP")</f>
        <v>#NAME?</v>
      </c>
      <c r="B1581" t="e">
        <f ca="1">BDP("67766WV4 Muni","STATE_CODE")</f>
        <v>#NAME?</v>
      </c>
      <c r="C1581" t="s">
        <v>96</v>
      </c>
      <c r="D1581" t="e">
        <f ca="1">BDP("67766WV4 Muni","YIELD_ON_ISSUE_DATE")</f>
        <v>#NAME?</v>
      </c>
      <c r="E1581">
        <v>15000000</v>
      </c>
      <c r="F1581" t="e">
        <f ca="1">BDP("67766WV4 Muni","ISSUE_DT")</f>
        <v>#NAME?</v>
      </c>
      <c r="G1581" t="e">
        <f ca="1">BDP("67766WV4 Muni","MATURITY")</f>
        <v>#NAME?</v>
      </c>
      <c r="H1581" t="e">
        <f ca="1">BDP("67766WV4 Muni","MUNI_TAX_PROV")</f>
        <v>#NAME?</v>
      </c>
      <c r="I1581" t="e">
        <f ca="1">BDP("67766WV4 Muni","FINANCING_TYPE")</f>
        <v>#NAME?</v>
      </c>
      <c r="J1581" t="e">
        <f ca="1">BDP("67766WV4 Muni","BICS_LEVEL_2_INDUSTRY_GROUP_NAME")</f>
        <v>#NAME?</v>
      </c>
      <c r="K1581" t="e">
        <f ca="1">BDP("67766WV4 Muni","SELF_REPRTD_GREEN_INSTR_INDCTR")</f>
        <v>#NAME?</v>
      </c>
      <c r="L1581" t="e">
        <f ca="1">BDP("67766WV4 Muni","GB_MANAGEMENT_PROCEEDS")</f>
        <v>#NAME?</v>
      </c>
      <c r="M1581" t="e">
        <f ca="1">BDP("67766WV4 Muni","GB_REPORTING")</f>
        <v>#NAME?</v>
      </c>
      <c r="N1581" t="e">
        <f ca="1">BDP("67766WV4 Muni","GB_ASSURANCE_PROVIDERS")</f>
        <v>#NAME?</v>
      </c>
      <c r="O1581" t="e">
        <f ca="1">BDP("67766WV4 Muni","GB_PROJECT_SELECTION_PROCESS")</f>
        <v>#NAME?</v>
      </c>
      <c r="P1581" t="e">
        <f ca="1">BDP("67766WV4 Muni","ESG_FRAMEWORK_INDICATOR")</f>
        <v>#NAME?</v>
      </c>
      <c r="Q1581" t="e">
        <f ca="1">BDP("67766WV4 Muni","BLOOMBERG_SECTOR_CODE")</f>
        <v>#NAME?</v>
      </c>
      <c r="R1581" t="e">
        <f ca="1">BDP("67766WV4 Muni","ISSUER_TYPE")</f>
        <v>#NAME?</v>
      </c>
      <c r="S1581" t="e">
        <f ca="1">BDS("67766WV4 Muni","ESG_PROJECT_CATEGORY", "aggregate=y")</f>
        <v>#NAME?</v>
      </c>
      <c r="T1581" t="e">
        <f ca="1">BDS("67766WV4 Muni","ESG_PROJECT_SUBCATEGORY", "aggregate=y")</f>
        <v>#NAME?</v>
      </c>
    </row>
    <row r="1582" spans="1:20" x14ac:dyDescent="0.25">
      <c r="A1582" t="e">
        <f ca="1">BDP("67919PVF Muni","ID_CUSIP")</f>
        <v>#NAME?</v>
      </c>
      <c r="B1582" t="e">
        <f ca="1">BDP("67919PVF Muni","STATE_CODE")</f>
        <v>#NAME?</v>
      </c>
      <c r="C1582" t="s">
        <v>97</v>
      </c>
      <c r="D1582" t="e">
        <f ca="1">BDP("67919PVF Muni","YIELD_ON_ISSUE_DATE")</f>
        <v>#NAME?</v>
      </c>
      <c r="E1582">
        <v>1140000</v>
      </c>
      <c r="F1582" t="e">
        <f ca="1">BDP("67919PVF Muni","ISSUE_DT")</f>
        <v>#NAME?</v>
      </c>
      <c r="G1582" t="e">
        <f ca="1">BDP("67919PVF Muni","MATURITY")</f>
        <v>#NAME?</v>
      </c>
      <c r="H1582" t="e">
        <f ca="1">BDP("67919PVF Muni","MUNI_TAX_PROV")</f>
        <v>#NAME?</v>
      </c>
      <c r="I1582" t="e">
        <f ca="1">BDP("67919PVF Muni","FINANCING_TYPE")</f>
        <v>#NAME?</v>
      </c>
      <c r="J1582" t="e">
        <f ca="1">BDP("67919PVF Muni","BICS_LEVEL_2_INDUSTRY_GROUP_NAME")</f>
        <v>#NAME?</v>
      </c>
      <c r="K1582" t="e">
        <f ca="1">BDP("67919PVF Muni","SELF_REPRTD_GREEN_INSTR_INDCTR")</f>
        <v>#NAME?</v>
      </c>
      <c r="L1582" t="e">
        <f ca="1">BDP("67919PVF Muni","GB_MANAGEMENT_PROCEEDS")</f>
        <v>#NAME?</v>
      </c>
      <c r="M1582" t="e">
        <f ca="1">BDP("67919PVF Muni","GB_REPORTING")</f>
        <v>#NAME?</v>
      </c>
      <c r="N1582" t="e">
        <f ca="1">BDP("67919PVF Muni","GB_ASSURANCE_PROVIDERS")</f>
        <v>#NAME?</v>
      </c>
      <c r="O1582" t="e">
        <f ca="1">BDP("67919PVF Muni","GB_PROJECT_SELECTION_PROCESS")</f>
        <v>#NAME?</v>
      </c>
      <c r="P1582" t="e">
        <f ca="1">BDP("67919PVF Muni","ESG_FRAMEWORK_INDICATOR")</f>
        <v>#NAME?</v>
      </c>
      <c r="Q1582" t="e">
        <f ca="1">BDP("67919PVF Muni","BLOOMBERG_SECTOR_CODE")</f>
        <v>#NAME?</v>
      </c>
      <c r="R1582" t="e">
        <f ca="1">BDP("67919PVF Muni","ISSUER_TYPE")</f>
        <v>#NAME?</v>
      </c>
      <c r="S1582" t="e">
        <f ca="1">BDS("67919PVF Muni","ESG_PROJECT_CATEGORY", "aggregate=y")</f>
        <v>#NAME?</v>
      </c>
      <c r="T1582" t="e">
        <f ca="1">BDS("67919PVF Muni","ESG_PROJECT_SUBCATEGORY", "aggregate=y")</f>
        <v>#NAME?</v>
      </c>
    </row>
    <row r="1583" spans="1:20" x14ac:dyDescent="0.25">
      <c r="A1583" t="e">
        <f ca="1">BDP("67919PVG Muni","ID_CUSIP")</f>
        <v>#NAME?</v>
      </c>
      <c r="B1583" t="e">
        <f ca="1">BDP("67919PVG Muni","STATE_CODE")</f>
        <v>#NAME?</v>
      </c>
      <c r="C1583" t="s">
        <v>97</v>
      </c>
      <c r="D1583" t="e">
        <f ca="1">BDP("67919PVG Muni","YIELD_ON_ISSUE_DATE")</f>
        <v>#NAME?</v>
      </c>
      <c r="E1583">
        <v>2645000</v>
      </c>
      <c r="F1583" t="e">
        <f ca="1">BDP("67919PVG Muni","ISSUE_DT")</f>
        <v>#NAME?</v>
      </c>
      <c r="G1583" t="e">
        <f ca="1">BDP("67919PVG Muni","MATURITY")</f>
        <v>#NAME?</v>
      </c>
      <c r="H1583" t="e">
        <f ca="1">BDP("67919PVG Muni","MUNI_TAX_PROV")</f>
        <v>#NAME?</v>
      </c>
      <c r="I1583" t="e">
        <f ca="1">BDP("67919PVG Muni","FINANCING_TYPE")</f>
        <v>#NAME?</v>
      </c>
      <c r="J1583" t="e">
        <f ca="1">BDP("67919PVG Muni","BICS_LEVEL_2_INDUSTRY_GROUP_NAME")</f>
        <v>#NAME?</v>
      </c>
      <c r="K1583" t="e">
        <f ca="1">BDP("67919PVG Muni","SELF_REPRTD_GREEN_INSTR_INDCTR")</f>
        <v>#NAME?</v>
      </c>
      <c r="L1583" t="e">
        <f ca="1">BDP("67919PVG Muni","GB_MANAGEMENT_PROCEEDS")</f>
        <v>#NAME?</v>
      </c>
      <c r="M1583" t="e">
        <f ca="1">BDP("67919PVG Muni","GB_REPORTING")</f>
        <v>#NAME?</v>
      </c>
      <c r="N1583" t="e">
        <f ca="1">BDP("67919PVG Muni","GB_ASSURANCE_PROVIDERS")</f>
        <v>#NAME?</v>
      </c>
      <c r="O1583" t="e">
        <f ca="1">BDP("67919PVG Muni","GB_PROJECT_SELECTION_PROCESS")</f>
        <v>#NAME?</v>
      </c>
      <c r="P1583" t="e">
        <f ca="1">BDP("67919PVG Muni","ESG_FRAMEWORK_INDICATOR")</f>
        <v>#NAME?</v>
      </c>
      <c r="Q1583" t="e">
        <f ca="1">BDP("67919PVG Muni","BLOOMBERG_SECTOR_CODE")</f>
        <v>#NAME?</v>
      </c>
      <c r="R1583" t="e">
        <f ca="1">BDP("67919PVG Muni","ISSUER_TYPE")</f>
        <v>#NAME?</v>
      </c>
      <c r="S1583" t="e">
        <f ca="1">BDS("67919PVG Muni","ESG_PROJECT_CATEGORY", "aggregate=y")</f>
        <v>#NAME?</v>
      </c>
      <c r="T1583" t="e">
        <f ca="1">BDS("67919PVG Muni","ESG_PROJECT_SUBCATEGORY", "aggregate=y")</f>
        <v>#NAME?</v>
      </c>
    </row>
    <row r="1584" spans="1:20" x14ac:dyDescent="0.25">
      <c r="A1584" t="e">
        <f ca="1">BDP("67919PVH Muni","ID_CUSIP")</f>
        <v>#NAME?</v>
      </c>
      <c r="B1584" t="e">
        <f ca="1">BDP("67919PVH Muni","STATE_CODE")</f>
        <v>#NAME?</v>
      </c>
      <c r="C1584" t="s">
        <v>97</v>
      </c>
      <c r="D1584" t="e">
        <f ca="1">BDP("67919PVH Muni","YIELD_ON_ISSUE_DATE")</f>
        <v>#NAME?</v>
      </c>
      <c r="E1584">
        <v>2950000</v>
      </c>
      <c r="F1584" t="e">
        <f ca="1">BDP("67919PVH Muni","ISSUE_DT")</f>
        <v>#NAME?</v>
      </c>
      <c r="G1584" t="e">
        <f ca="1">BDP("67919PVH Muni","MATURITY")</f>
        <v>#NAME?</v>
      </c>
      <c r="H1584" t="e">
        <f ca="1">BDP("67919PVH Muni","MUNI_TAX_PROV")</f>
        <v>#NAME?</v>
      </c>
      <c r="I1584" t="e">
        <f ca="1">BDP("67919PVH Muni","FINANCING_TYPE")</f>
        <v>#NAME?</v>
      </c>
      <c r="J1584" t="e">
        <f ca="1">BDP("67919PVH Muni","BICS_LEVEL_2_INDUSTRY_GROUP_NAME")</f>
        <v>#NAME?</v>
      </c>
      <c r="K1584" t="e">
        <f ca="1">BDP("67919PVH Muni","SELF_REPRTD_GREEN_INSTR_INDCTR")</f>
        <v>#NAME?</v>
      </c>
      <c r="L1584" t="e">
        <f ca="1">BDP("67919PVH Muni","GB_MANAGEMENT_PROCEEDS")</f>
        <v>#NAME?</v>
      </c>
      <c r="M1584" t="e">
        <f ca="1">BDP("67919PVH Muni","GB_REPORTING")</f>
        <v>#NAME?</v>
      </c>
      <c r="N1584" t="e">
        <f ca="1">BDP("67919PVH Muni","GB_ASSURANCE_PROVIDERS")</f>
        <v>#NAME?</v>
      </c>
      <c r="O1584" t="e">
        <f ca="1">BDP("67919PVH Muni","GB_PROJECT_SELECTION_PROCESS")</f>
        <v>#NAME?</v>
      </c>
      <c r="P1584" t="e">
        <f ca="1">BDP("67919PVH Muni","ESG_FRAMEWORK_INDICATOR")</f>
        <v>#NAME?</v>
      </c>
      <c r="Q1584" t="e">
        <f ca="1">BDP("67919PVH Muni","BLOOMBERG_SECTOR_CODE")</f>
        <v>#NAME?</v>
      </c>
      <c r="R1584" t="e">
        <f ca="1">BDP("67919PVH Muni","ISSUER_TYPE")</f>
        <v>#NAME?</v>
      </c>
      <c r="S1584" t="e">
        <f ca="1">BDS("67919PVH Muni","ESG_PROJECT_CATEGORY", "aggregate=y")</f>
        <v>#NAME?</v>
      </c>
      <c r="T1584" t="e">
        <f ca="1">BDS("67919PVH Muni","ESG_PROJECT_SUBCATEGORY", "aggregate=y")</f>
        <v>#NAME?</v>
      </c>
    </row>
    <row r="1585" spans="1:20" x14ac:dyDescent="0.25">
      <c r="A1585" t="e">
        <f ca="1">BDP("67919PVJ Muni","ID_CUSIP")</f>
        <v>#NAME?</v>
      </c>
      <c r="B1585" t="e">
        <f ca="1">BDP("67919PVJ Muni","STATE_CODE")</f>
        <v>#NAME?</v>
      </c>
      <c r="C1585" t="s">
        <v>97</v>
      </c>
      <c r="D1585" t="e">
        <f ca="1">BDP("67919PVJ Muni","YIELD_ON_ISSUE_DATE")</f>
        <v>#NAME?</v>
      </c>
      <c r="E1585">
        <v>3000000</v>
      </c>
      <c r="F1585" t="e">
        <f ca="1">BDP("67919PVJ Muni","ISSUE_DT")</f>
        <v>#NAME?</v>
      </c>
      <c r="G1585" t="e">
        <f ca="1">BDP("67919PVJ Muni","MATURITY")</f>
        <v>#NAME?</v>
      </c>
      <c r="H1585" t="e">
        <f ca="1">BDP("67919PVJ Muni","MUNI_TAX_PROV")</f>
        <v>#NAME?</v>
      </c>
      <c r="I1585" t="e">
        <f ca="1">BDP("67919PVJ Muni","FINANCING_TYPE")</f>
        <v>#NAME?</v>
      </c>
      <c r="J1585" t="e">
        <f ca="1">BDP("67919PVJ Muni","BICS_LEVEL_2_INDUSTRY_GROUP_NAME")</f>
        <v>#NAME?</v>
      </c>
      <c r="K1585" t="e">
        <f ca="1">BDP("67919PVJ Muni","SELF_REPRTD_GREEN_INSTR_INDCTR")</f>
        <v>#NAME?</v>
      </c>
      <c r="L1585" t="e">
        <f ca="1">BDP("67919PVJ Muni","GB_MANAGEMENT_PROCEEDS")</f>
        <v>#NAME?</v>
      </c>
      <c r="M1585" t="e">
        <f ca="1">BDP("67919PVJ Muni","GB_REPORTING")</f>
        <v>#NAME?</v>
      </c>
      <c r="N1585" t="e">
        <f ca="1">BDP("67919PVJ Muni","GB_ASSURANCE_PROVIDERS")</f>
        <v>#NAME?</v>
      </c>
      <c r="O1585" t="e">
        <f ca="1">BDP("67919PVJ Muni","GB_PROJECT_SELECTION_PROCESS")</f>
        <v>#NAME?</v>
      </c>
      <c r="P1585" t="e">
        <f ca="1">BDP("67919PVJ Muni","ESG_FRAMEWORK_INDICATOR")</f>
        <v>#NAME?</v>
      </c>
      <c r="Q1585" t="e">
        <f ca="1">BDP("67919PVJ Muni","BLOOMBERG_SECTOR_CODE")</f>
        <v>#NAME?</v>
      </c>
      <c r="R1585" t="e">
        <f ca="1">BDP("67919PVJ Muni","ISSUER_TYPE")</f>
        <v>#NAME?</v>
      </c>
      <c r="S1585" t="e">
        <f ca="1">BDS("67919PVJ Muni","ESG_PROJECT_CATEGORY", "aggregate=y")</f>
        <v>#NAME?</v>
      </c>
      <c r="T1585" t="e">
        <f ca="1">BDS("67919PVJ Muni","ESG_PROJECT_SUBCATEGORY", "aggregate=y")</f>
        <v>#NAME?</v>
      </c>
    </row>
    <row r="1586" spans="1:20" x14ac:dyDescent="0.25">
      <c r="A1586" t="e">
        <f ca="1">BDP("67919PVK Muni","ID_CUSIP")</f>
        <v>#NAME?</v>
      </c>
      <c r="B1586" t="e">
        <f ca="1">BDP("67919PVK Muni","STATE_CODE")</f>
        <v>#NAME?</v>
      </c>
      <c r="C1586" t="s">
        <v>97</v>
      </c>
      <c r="D1586" t="e">
        <f ca="1">BDP("67919PVK Muni","YIELD_ON_ISSUE_DATE")</f>
        <v>#NAME?</v>
      </c>
      <c r="E1586">
        <v>2815000</v>
      </c>
      <c r="F1586" t="e">
        <f ca="1">BDP("67919PVK Muni","ISSUE_DT")</f>
        <v>#NAME?</v>
      </c>
      <c r="G1586" t="e">
        <f ca="1">BDP("67919PVK Muni","MATURITY")</f>
        <v>#NAME?</v>
      </c>
      <c r="H1586" t="e">
        <f ca="1">BDP("67919PVK Muni","MUNI_TAX_PROV")</f>
        <v>#NAME?</v>
      </c>
      <c r="I1586" t="e">
        <f ca="1">BDP("67919PVK Muni","FINANCING_TYPE")</f>
        <v>#NAME?</v>
      </c>
      <c r="J1586" t="e">
        <f ca="1">BDP("67919PVK Muni","BICS_LEVEL_2_INDUSTRY_GROUP_NAME")</f>
        <v>#NAME?</v>
      </c>
      <c r="K1586" t="e">
        <f ca="1">BDP("67919PVK Muni","SELF_REPRTD_GREEN_INSTR_INDCTR")</f>
        <v>#NAME?</v>
      </c>
      <c r="L1586" t="e">
        <f ca="1">BDP("67919PVK Muni","GB_MANAGEMENT_PROCEEDS")</f>
        <v>#NAME?</v>
      </c>
      <c r="M1586" t="e">
        <f ca="1">BDP("67919PVK Muni","GB_REPORTING")</f>
        <v>#NAME?</v>
      </c>
      <c r="N1586" t="e">
        <f ca="1">BDP("67919PVK Muni","GB_ASSURANCE_PROVIDERS")</f>
        <v>#NAME?</v>
      </c>
      <c r="O1586" t="e">
        <f ca="1">BDP("67919PVK Muni","GB_PROJECT_SELECTION_PROCESS")</f>
        <v>#NAME?</v>
      </c>
      <c r="P1586" t="e">
        <f ca="1">BDP("67919PVK Muni","ESG_FRAMEWORK_INDICATOR")</f>
        <v>#NAME?</v>
      </c>
      <c r="Q1586" t="e">
        <f ca="1">BDP("67919PVK Muni","BLOOMBERG_SECTOR_CODE")</f>
        <v>#NAME?</v>
      </c>
      <c r="R1586" t="e">
        <f ca="1">BDP("67919PVK Muni","ISSUER_TYPE")</f>
        <v>#NAME?</v>
      </c>
      <c r="S1586" t="e">
        <f ca="1">BDS("67919PVK Muni","ESG_PROJECT_CATEGORY", "aggregate=y")</f>
        <v>#NAME?</v>
      </c>
      <c r="T1586" t="e">
        <f ca="1">BDS("67919PVK Muni","ESG_PROJECT_SUBCATEGORY", "aggregate=y")</f>
        <v>#NAME?</v>
      </c>
    </row>
    <row r="1587" spans="1:20" x14ac:dyDescent="0.25">
      <c r="A1587" t="e">
        <f ca="1">BDP("67919PVL Muni","ID_CUSIP")</f>
        <v>#NAME?</v>
      </c>
      <c r="B1587" t="e">
        <f ca="1">BDP("67919PVL Muni","STATE_CODE")</f>
        <v>#NAME?</v>
      </c>
      <c r="C1587" t="s">
        <v>97</v>
      </c>
      <c r="D1587" t="e">
        <f ca="1">BDP("67919PVL Muni","YIELD_ON_ISSUE_DATE")</f>
        <v>#NAME?</v>
      </c>
      <c r="E1587">
        <v>3690000</v>
      </c>
      <c r="F1587" t="e">
        <f ca="1">BDP("67919PVL Muni","ISSUE_DT")</f>
        <v>#NAME?</v>
      </c>
      <c r="G1587" t="e">
        <f ca="1">BDP("67919PVL Muni","MATURITY")</f>
        <v>#NAME?</v>
      </c>
      <c r="H1587" t="e">
        <f ca="1">BDP("67919PVL Muni","MUNI_TAX_PROV")</f>
        <v>#NAME?</v>
      </c>
      <c r="I1587" t="e">
        <f ca="1">BDP("67919PVL Muni","FINANCING_TYPE")</f>
        <v>#NAME?</v>
      </c>
      <c r="J1587" t="e">
        <f ca="1">BDP("67919PVL Muni","BICS_LEVEL_2_INDUSTRY_GROUP_NAME")</f>
        <v>#NAME?</v>
      </c>
      <c r="K1587" t="e">
        <f ca="1">BDP("67919PVL Muni","SELF_REPRTD_GREEN_INSTR_INDCTR")</f>
        <v>#NAME?</v>
      </c>
      <c r="L1587" t="e">
        <f ca="1">BDP("67919PVL Muni","GB_MANAGEMENT_PROCEEDS")</f>
        <v>#NAME?</v>
      </c>
      <c r="M1587" t="e">
        <f ca="1">BDP("67919PVL Muni","GB_REPORTING")</f>
        <v>#NAME?</v>
      </c>
      <c r="N1587" t="e">
        <f ca="1">BDP("67919PVL Muni","GB_ASSURANCE_PROVIDERS")</f>
        <v>#NAME?</v>
      </c>
      <c r="O1587" t="e">
        <f ca="1">BDP("67919PVL Muni","GB_PROJECT_SELECTION_PROCESS")</f>
        <v>#NAME?</v>
      </c>
      <c r="P1587" t="e">
        <f ca="1">BDP("67919PVL Muni","ESG_FRAMEWORK_INDICATOR")</f>
        <v>#NAME?</v>
      </c>
      <c r="Q1587" t="e">
        <f ca="1">BDP("67919PVL Muni","BLOOMBERG_SECTOR_CODE")</f>
        <v>#NAME?</v>
      </c>
      <c r="R1587" t="e">
        <f ca="1">BDP("67919PVL Muni","ISSUER_TYPE")</f>
        <v>#NAME?</v>
      </c>
      <c r="S1587" t="e">
        <f ca="1">BDS("67919PVL Muni","ESG_PROJECT_CATEGORY", "aggregate=y")</f>
        <v>#NAME?</v>
      </c>
      <c r="T1587" t="e">
        <f ca="1">BDS("67919PVL Muni","ESG_PROJECT_SUBCATEGORY", "aggregate=y")</f>
        <v>#NAME?</v>
      </c>
    </row>
    <row r="1588" spans="1:20" x14ac:dyDescent="0.25">
      <c r="A1588" t="e">
        <f ca="1">BDP("67919PVM Muni","ID_CUSIP")</f>
        <v>#NAME?</v>
      </c>
      <c r="B1588" t="e">
        <f ca="1">BDP("67919PVM Muni","STATE_CODE")</f>
        <v>#NAME?</v>
      </c>
      <c r="C1588" t="s">
        <v>97</v>
      </c>
      <c r="D1588" t="e">
        <f ca="1">BDP("67919PVM Muni","YIELD_ON_ISSUE_DATE")</f>
        <v>#NAME?</v>
      </c>
      <c r="E1588">
        <v>4050000</v>
      </c>
      <c r="F1588" t="e">
        <f ca="1">BDP("67919PVM Muni","ISSUE_DT")</f>
        <v>#NAME?</v>
      </c>
      <c r="G1588" t="e">
        <f ca="1">BDP("67919PVM Muni","MATURITY")</f>
        <v>#NAME?</v>
      </c>
      <c r="H1588" t="e">
        <f ca="1">BDP("67919PVM Muni","MUNI_TAX_PROV")</f>
        <v>#NAME?</v>
      </c>
      <c r="I1588" t="e">
        <f ca="1">BDP("67919PVM Muni","FINANCING_TYPE")</f>
        <v>#NAME?</v>
      </c>
      <c r="J1588" t="e">
        <f ca="1">BDP("67919PVM Muni","BICS_LEVEL_2_INDUSTRY_GROUP_NAME")</f>
        <v>#NAME?</v>
      </c>
      <c r="K1588" t="e">
        <f ca="1">BDP("67919PVM Muni","SELF_REPRTD_GREEN_INSTR_INDCTR")</f>
        <v>#NAME?</v>
      </c>
      <c r="L1588" t="e">
        <f ca="1">BDP("67919PVM Muni","GB_MANAGEMENT_PROCEEDS")</f>
        <v>#NAME?</v>
      </c>
      <c r="M1588" t="e">
        <f ca="1">BDP("67919PVM Muni","GB_REPORTING")</f>
        <v>#NAME?</v>
      </c>
      <c r="N1588" t="e">
        <f ca="1">BDP("67919PVM Muni","GB_ASSURANCE_PROVIDERS")</f>
        <v>#NAME?</v>
      </c>
      <c r="O1588" t="e">
        <f ca="1">BDP("67919PVM Muni","GB_PROJECT_SELECTION_PROCESS")</f>
        <v>#NAME?</v>
      </c>
      <c r="P1588" t="e">
        <f ca="1">BDP("67919PVM Muni","ESG_FRAMEWORK_INDICATOR")</f>
        <v>#NAME?</v>
      </c>
      <c r="Q1588" t="e">
        <f ca="1">BDP("67919PVM Muni","BLOOMBERG_SECTOR_CODE")</f>
        <v>#NAME?</v>
      </c>
      <c r="R1588" t="e">
        <f ca="1">BDP("67919PVM Muni","ISSUER_TYPE")</f>
        <v>#NAME?</v>
      </c>
      <c r="S1588" t="e">
        <f ca="1">BDS("67919PVM Muni","ESG_PROJECT_CATEGORY", "aggregate=y")</f>
        <v>#NAME?</v>
      </c>
      <c r="T1588" t="e">
        <f ca="1">BDS("67919PVM Muni","ESG_PROJECT_SUBCATEGORY", "aggregate=y")</f>
        <v>#NAME?</v>
      </c>
    </row>
    <row r="1589" spans="1:20" x14ac:dyDescent="0.25">
      <c r="A1589" t="e">
        <f ca="1">BDP("67919PVN Muni","ID_CUSIP")</f>
        <v>#NAME?</v>
      </c>
      <c r="B1589" t="e">
        <f ca="1">BDP("67919PVN Muni","STATE_CODE")</f>
        <v>#NAME?</v>
      </c>
      <c r="C1589" t="s">
        <v>97</v>
      </c>
      <c r="D1589" t="e">
        <f ca="1">BDP("67919PVN Muni","YIELD_ON_ISSUE_DATE")</f>
        <v>#NAME?</v>
      </c>
      <c r="E1589">
        <v>4435000</v>
      </c>
      <c r="F1589" t="e">
        <f ca="1">BDP("67919PVN Muni","ISSUE_DT")</f>
        <v>#NAME?</v>
      </c>
      <c r="G1589" t="e">
        <f ca="1">BDP("67919PVN Muni","MATURITY")</f>
        <v>#NAME?</v>
      </c>
      <c r="H1589" t="e">
        <f ca="1">BDP("67919PVN Muni","MUNI_TAX_PROV")</f>
        <v>#NAME?</v>
      </c>
      <c r="I1589" t="e">
        <f ca="1">BDP("67919PVN Muni","FINANCING_TYPE")</f>
        <v>#NAME?</v>
      </c>
      <c r="J1589" t="e">
        <f ca="1">BDP("67919PVN Muni","BICS_LEVEL_2_INDUSTRY_GROUP_NAME")</f>
        <v>#NAME?</v>
      </c>
      <c r="K1589" t="e">
        <f ca="1">BDP("67919PVN Muni","SELF_REPRTD_GREEN_INSTR_INDCTR")</f>
        <v>#NAME?</v>
      </c>
      <c r="L1589" t="e">
        <f ca="1">BDP("67919PVN Muni","GB_MANAGEMENT_PROCEEDS")</f>
        <v>#NAME?</v>
      </c>
      <c r="M1589" t="e">
        <f ca="1">BDP("67919PVN Muni","GB_REPORTING")</f>
        <v>#NAME?</v>
      </c>
      <c r="N1589" t="e">
        <f ca="1">BDP("67919PVN Muni","GB_ASSURANCE_PROVIDERS")</f>
        <v>#NAME?</v>
      </c>
      <c r="O1589" t="e">
        <f ca="1">BDP("67919PVN Muni","GB_PROJECT_SELECTION_PROCESS")</f>
        <v>#NAME?</v>
      </c>
      <c r="P1589" t="e">
        <f ca="1">BDP("67919PVN Muni","ESG_FRAMEWORK_INDICATOR")</f>
        <v>#NAME?</v>
      </c>
      <c r="Q1589" t="e">
        <f ca="1">BDP("67919PVN Muni","BLOOMBERG_SECTOR_CODE")</f>
        <v>#NAME?</v>
      </c>
      <c r="R1589" t="e">
        <f ca="1">BDP("67919PVN Muni","ISSUER_TYPE")</f>
        <v>#NAME?</v>
      </c>
      <c r="S1589" t="e">
        <f ca="1">BDS("67919PVN Muni","ESG_PROJECT_CATEGORY", "aggregate=y")</f>
        <v>#NAME?</v>
      </c>
      <c r="T1589" t="e">
        <f ca="1">BDS("67919PVN Muni","ESG_PROJECT_SUBCATEGORY", "aggregate=y")</f>
        <v>#NAME?</v>
      </c>
    </row>
    <row r="1590" spans="1:20" x14ac:dyDescent="0.25">
      <c r="A1590" t="e">
        <f ca="1">BDP("67919PVP Muni","ID_CUSIP")</f>
        <v>#NAME?</v>
      </c>
      <c r="B1590" t="e">
        <f ca="1">BDP("67919PVP Muni","STATE_CODE")</f>
        <v>#NAME?</v>
      </c>
      <c r="C1590" t="s">
        <v>97</v>
      </c>
      <c r="D1590" t="e">
        <f ca="1">BDP("67919PVP Muni","YIELD_ON_ISSUE_DATE")</f>
        <v>#NAME?</v>
      </c>
      <c r="E1590">
        <v>4630000</v>
      </c>
      <c r="F1590" t="e">
        <f ca="1">BDP("67919PVP Muni","ISSUE_DT")</f>
        <v>#NAME?</v>
      </c>
      <c r="G1590" t="e">
        <f ca="1">BDP("67919PVP Muni","MATURITY")</f>
        <v>#NAME?</v>
      </c>
      <c r="H1590" t="e">
        <f ca="1">BDP("67919PVP Muni","MUNI_TAX_PROV")</f>
        <v>#NAME?</v>
      </c>
      <c r="I1590" t="e">
        <f ca="1">BDP("67919PVP Muni","FINANCING_TYPE")</f>
        <v>#NAME?</v>
      </c>
      <c r="J1590" t="e">
        <f ca="1">BDP("67919PVP Muni","BICS_LEVEL_2_INDUSTRY_GROUP_NAME")</f>
        <v>#NAME?</v>
      </c>
      <c r="K1590" t="e">
        <f ca="1">BDP("67919PVP Muni","SELF_REPRTD_GREEN_INSTR_INDCTR")</f>
        <v>#NAME?</v>
      </c>
      <c r="L1590" t="e">
        <f ca="1">BDP("67919PVP Muni","GB_MANAGEMENT_PROCEEDS")</f>
        <v>#NAME?</v>
      </c>
      <c r="M1590" t="e">
        <f ca="1">BDP("67919PVP Muni","GB_REPORTING")</f>
        <v>#NAME?</v>
      </c>
      <c r="N1590" t="e">
        <f ca="1">BDP("67919PVP Muni","GB_ASSURANCE_PROVIDERS")</f>
        <v>#NAME?</v>
      </c>
      <c r="O1590" t="e">
        <f ca="1">BDP("67919PVP Muni","GB_PROJECT_SELECTION_PROCESS")</f>
        <v>#NAME?</v>
      </c>
      <c r="P1590" t="e">
        <f ca="1">BDP("67919PVP Muni","ESG_FRAMEWORK_INDICATOR")</f>
        <v>#NAME?</v>
      </c>
      <c r="Q1590" t="e">
        <f ca="1">BDP("67919PVP Muni","BLOOMBERG_SECTOR_CODE")</f>
        <v>#NAME?</v>
      </c>
      <c r="R1590" t="e">
        <f ca="1">BDP("67919PVP Muni","ISSUER_TYPE")</f>
        <v>#NAME?</v>
      </c>
      <c r="S1590" t="e">
        <f ca="1">BDS("67919PVP Muni","ESG_PROJECT_CATEGORY", "aggregate=y")</f>
        <v>#NAME?</v>
      </c>
      <c r="T1590" t="e">
        <f ca="1">BDS("67919PVP Muni","ESG_PROJECT_SUBCATEGORY", "aggregate=y")</f>
        <v>#NAME?</v>
      </c>
    </row>
    <row r="1591" spans="1:20" x14ac:dyDescent="0.25">
      <c r="A1591" t="e">
        <f ca="1">BDP("67919PVQ Muni","ID_CUSIP")</f>
        <v>#NAME?</v>
      </c>
      <c r="B1591" t="e">
        <f ca="1">BDP("67919PVQ Muni","STATE_CODE")</f>
        <v>#NAME?</v>
      </c>
      <c r="C1591" t="s">
        <v>97</v>
      </c>
      <c r="D1591" t="e">
        <f ca="1">BDP("67919PVQ Muni","YIELD_ON_ISSUE_DATE")</f>
        <v>#NAME?</v>
      </c>
      <c r="E1591">
        <v>4200000</v>
      </c>
      <c r="F1591" t="e">
        <f ca="1">BDP("67919PVQ Muni","ISSUE_DT")</f>
        <v>#NAME?</v>
      </c>
      <c r="G1591" t="e">
        <f ca="1">BDP("67919PVQ Muni","MATURITY")</f>
        <v>#NAME?</v>
      </c>
      <c r="H1591" t="e">
        <f ca="1">BDP("67919PVQ Muni","MUNI_TAX_PROV")</f>
        <v>#NAME?</v>
      </c>
      <c r="I1591" t="e">
        <f ca="1">BDP("67919PVQ Muni","FINANCING_TYPE")</f>
        <v>#NAME?</v>
      </c>
      <c r="J1591" t="e">
        <f ca="1">BDP("67919PVQ Muni","BICS_LEVEL_2_INDUSTRY_GROUP_NAME")</f>
        <v>#NAME?</v>
      </c>
      <c r="K1591" t="e">
        <f ca="1">BDP("67919PVQ Muni","SELF_REPRTD_GREEN_INSTR_INDCTR")</f>
        <v>#NAME?</v>
      </c>
      <c r="L1591" t="e">
        <f ca="1">BDP("67919PVQ Muni","GB_MANAGEMENT_PROCEEDS")</f>
        <v>#NAME?</v>
      </c>
      <c r="M1591" t="e">
        <f ca="1">BDP("67919PVQ Muni","GB_REPORTING")</f>
        <v>#NAME?</v>
      </c>
      <c r="N1591" t="e">
        <f ca="1">BDP("67919PVQ Muni","GB_ASSURANCE_PROVIDERS")</f>
        <v>#NAME?</v>
      </c>
      <c r="O1591" t="e">
        <f ca="1">BDP("67919PVQ Muni","GB_PROJECT_SELECTION_PROCESS")</f>
        <v>#NAME?</v>
      </c>
      <c r="P1591" t="e">
        <f ca="1">BDP("67919PVQ Muni","ESG_FRAMEWORK_INDICATOR")</f>
        <v>#NAME?</v>
      </c>
      <c r="Q1591" t="e">
        <f ca="1">BDP("67919PVQ Muni","BLOOMBERG_SECTOR_CODE")</f>
        <v>#NAME?</v>
      </c>
      <c r="R1591" t="e">
        <f ca="1">BDP("67919PVQ Muni","ISSUER_TYPE")</f>
        <v>#NAME?</v>
      </c>
      <c r="S1591" t="e">
        <f ca="1">BDS("67919PVQ Muni","ESG_PROJECT_CATEGORY", "aggregate=y")</f>
        <v>#NAME?</v>
      </c>
      <c r="T1591" t="e">
        <f ca="1">BDS("67919PVQ Muni","ESG_PROJECT_SUBCATEGORY", "aggregate=y")</f>
        <v>#NAME?</v>
      </c>
    </row>
    <row r="1592" spans="1:20" x14ac:dyDescent="0.25">
      <c r="A1592" t="e">
        <f ca="1">BDP("67919PVR Muni","ID_CUSIP")</f>
        <v>#NAME?</v>
      </c>
      <c r="B1592" t="e">
        <f ca="1">BDP("67919PVR Muni","STATE_CODE")</f>
        <v>#NAME?</v>
      </c>
      <c r="C1592" t="s">
        <v>97</v>
      </c>
      <c r="D1592" t="e">
        <f ca="1">BDP("67919PVR Muni","YIELD_ON_ISSUE_DATE")</f>
        <v>#NAME?</v>
      </c>
      <c r="E1592">
        <v>4405000</v>
      </c>
      <c r="F1592" t="e">
        <f ca="1">BDP("67919PVR Muni","ISSUE_DT")</f>
        <v>#NAME?</v>
      </c>
      <c r="G1592" t="e">
        <f ca="1">BDP("67919PVR Muni","MATURITY")</f>
        <v>#NAME?</v>
      </c>
      <c r="H1592" t="e">
        <f ca="1">BDP("67919PVR Muni","MUNI_TAX_PROV")</f>
        <v>#NAME?</v>
      </c>
      <c r="I1592" t="e">
        <f ca="1">BDP("67919PVR Muni","FINANCING_TYPE")</f>
        <v>#NAME?</v>
      </c>
      <c r="J1592" t="e">
        <f ca="1">BDP("67919PVR Muni","BICS_LEVEL_2_INDUSTRY_GROUP_NAME")</f>
        <v>#NAME?</v>
      </c>
      <c r="K1592" t="e">
        <f ca="1">BDP("67919PVR Muni","SELF_REPRTD_GREEN_INSTR_INDCTR")</f>
        <v>#NAME?</v>
      </c>
      <c r="L1592" t="e">
        <f ca="1">BDP("67919PVR Muni","GB_MANAGEMENT_PROCEEDS")</f>
        <v>#NAME?</v>
      </c>
      <c r="M1592" t="e">
        <f ca="1">BDP("67919PVR Muni","GB_REPORTING")</f>
        <v>#NAME?</v>
      </c>
      <c r="N1592" t="e">
        <f ca="1">BDP("67919PVR Muni","GB_ASSURANCE_PROVIDERS")</f>
        <v>#NAME?</v>
      </c>
      <c r="O1592" t="e">
        <f ca="1">BDP("67919PVR Muni","GB_PROJECT_SELECTION_PROCESS")</f>
        <v>#NAME?</v>
      </c>
      <c r="P1592" t="e">
        <f ca="1">BDP("67919PVR Muni","ESG_FRAMEWORK_INDICATOR")</f>
        <v>#NAME?</v>
      </c>
      <c r="Q1592" t="e">
        <f ca="1">BDP("67919PVR Muni","BLOOMBERG_SECTOR_CODE")</f>
        <v>#NAME?</v>
      </c>
      <c r="R1592" t="e">
        <f ca="1">BDP("67919PVR Muni","ISSUER_TYPE")</f>
        <v>#NAME?</v>
      </c>
      <c r="S1592" t="e">
        <f ca="1">BDS("67919PVR Muni","ESG_PROJECT_CATEGORY", "aggregate=y")</f>
        <v>#NAME?</v>
      </c>
      <c r="T1592" t="e">
        <f ca="1">BDS("67919PVR Muni","ESG_PROJECT_SUBCATEGORY", "aggregate=y")</f>
        <v>#NAME?</v>
      </c>
    </row>
    <row r="1593" spans="1:20" x14ac:dyDescent="0.25">
      <c r="A1593" t="e">
        <f ca="1">BDP("67919PVS Muni","ID_CUSIP")</f>
        <v>#NAME?</v>
      </c>
      <c r="B1593" t="e">
        <f ca="1">BDP("67919PVS Muni","STATE_CODE")</f>
        <v>#NAME?</v>
      </c>
      <c r="C1593" t="s">
        <v>97</v>
      </c>
      <c r="D1593" t="e">
        <f ca="1">BDP("67919PVS Muni","YIELD_ON_ISSUE_DATE")</f>
        <v>#NAME?</v>
      </c>
      <c r="E1593">
        <v>4645000</v>
      </c>
      <c r="F1593" t="e">
        <f ca="1">BDP("67919PVS Muni","ISSUE_DT")</f>
        <v>#NAME?</v>
      </c>
      <c r="G1593" t="e">
        <f ca="1">BDP("67919PVS Muni","MATURITY")</f>
        <v>#NAME?</v>
      </c>
      <c r="H1593" t="e">
        <f ca="1">BDP("67919PVS Muni","MUNI_TAX_PROV")</f>
        <v>#NAME?</v>
      </c>
      <c r="I1593" t="e">
        <f ca="1">BDP("67919PVS Muni","FINANCING_TYPE")</f>
        <v>#NAME?</v>
      </c>
      <c r="J1593" t="e">
        <f ca="1">BDP("67919PVS Muni","BICS_LEVEL_2_INDUSTRY_GROUP_NAME")</f>
        <v>#NAME?</v>
      </c>
      <c r="K1593" t="e">
        <f ca="1">BDP("67919PVS Muni","SELF_REPRTD_GREEN_INSTR_INDCTR")</f>
        <v>#NAME?</v>
      </c>
      <c r="L1593" t="e">
        <f ca="1">BDP("67919PVS Muni","GB_MANAGEMENT_PROCEEDS")</f>
        <v>#NAME?</v>
      </c>
      <c r="M1593" t="e">
        <f ca="1">BDP("67919PVS Muni","GB_REPORTING")</f>
        <v>#NAME?</v>
      </c>
      <c r="N1593" t="e">
        <f ca="1">BDP("67919PVS Muni","GB_ASSURANCE_PROVIDERS")</f>
        <v>#NAME?</v>
      </c>
      <c r="O1593" t="e">
        <f ca="1">BDP("67919PVS Muni","GB_PROJECT_SELECTION_PROCESS")</f>
        <v>#NAME?</v>
      </c>
      <c r="P1593" t="e">
        <f ca="1">BDP("67919PVS Muni","ESG_FRAMEWORK_INDICATOR")</f>
        <v>#NAME?</v>
      </c>
      <c r="Q1593" t="e">
        <f ca="1">BDP("67919PVS Muni","BLOOMBERG_SECTOR_CODE")</f>
        <v>#NAME?</v>
      </c>
      <c r="R1593" t="e">
        <f ca="1">BDP("67919PVS Muni","ISSUER_TYPE")</f>
        <v>#NAME?</v>
      </c>
      <c r="S1593" t="e">
        <f ca="1">BDS("67919PVS Muni","ESG_PROJECT_CATEGORY", "aggregate=y")</f>
        <v>#NAME?</v>
      </c>
      <c r="T1593" t="e">
        <f ca="1">BDS("67919PVS Muni","ESG_PROJECT_SUBCATEGORY", "aggregate=y")</f>
        <v>#NAME?</v>
      </c>
    </row>
    <row r="1594" spans="1:20" x14ac:dyDescent="0.25">
      <c r="A1594" t="e">
        <f ca="1">BDP("67919PVV Muni","ID_CUSIP")</f>
        <v>#NAME?</v>
      </c>
      <c r="B1594" t="e">
        <f ca="1">BDP("67919PVV Muni","STATE_CODE")</f>
        <v>#NAME?</v>
      </c>
      <c r="C1594" t="s">
        <v>97</v>
      </c>
      <c r="D1594" t="e">
        <f ca="1">BDP("67919PVV Muni","YIELD_ON_ISSUE_DATE")</f>
        <v>#NAME?</v>
      </c>
      <c r="E1594">
        <v>5175000</v>
      </c>
      <c r="F1594" t="e">
        <f ca="1">BDP("67919PVV Muni","ISSUE_DT")</f>
        <v>#NAME?</v>
      </c>
      <c r="G1594" t="e">
        <f ca="1">BDP("67919PVV Muni","MATURITY")</f>
        <v>#NAME?</v>
      </c>
      <c r="H1594" t="e">
        <f ca="1">BDP("67919PVV Muni","MUNI_TAX_PROV")</f>
        <v>#NAME?</v>
      </c>
      <c r="I1594" t="e">
        <f ca="1">BDP("67919PVV Muni","FINANCING_TYPE")</f>
        <v>#NAME?</v>
      </c>
      <c r="J1594" t="e">
        <f ca="1">BDP("67919PVV Muni","BICS_LEVEL_2_INDUSTRY_GROUP_NAME")</f>
        <v>#NAME?</v>
      </c>
      <c r="K1594" t="e">
        <f ca="1">BDP("67919PVV Muni","SELF_REPRTD_GREEN_INSTR_INDCTR")</f>
        <v>#NAME?</v>
      </c>
      <c r="L1594" t="e">
        <f ca="1">BDP("67919PVV Muni","GB_MANAGEMENT_PROCEEDS")</f>
        <v>#NAME?</v>
      </c>
      <c r="M1594" t="e">
        <f ca="1">BDP("67919PVV Muni","GB_REPORTING")</f>
        <v>#NAME?</v>
      </c>
      <c r="N1594" t="e">
        <f ca="1">BDP("67919PVV Muni","GB_ASSURANCE_PROVIDERS")</f>
        <v>#NAME?</v>
      </c>
      <c r="O1594" t="e">
        <f ca="1">BDP("67919PVV Muni","GB_PROJECT_SELECTION_PROCESS")</f>
        <v>#NAME?</v>
      </c>
      <c r="P1594" t="e">
        <f ca="1">BDP("67919PVV Muni","ESG_FRAMEWORK_INDICATOR")</f>
        <v>#NAME?</v>
      </c>
      <c r="Q1594" t="e">
        <f ca="1">BDP("67919PVV Muni","BLOOMBERG_SECTOR_CODE")</f>
        <v>#NAME?</v>
      </c>
      <c r="R1594" t="e">
        <f ca="1">BDP("67919PVV Muni","ISSUER_TYPE")</f>
        <v>#NAME?</v>
      </c>
      <c r="S1594" t="e">
        <f ca="1">BDS("67919PVV Muni","ESG_PROJECT_CATEGORY", "aggregate=y")</f>
        <v>#NAME?</v>
      </c>
      <c r="T1594" t="e">
        <f ca="1">BDS("67919PVV Muni","ESG_PROJECT_SUBCATEGORY", "aggregate=y")</f>
        <v>#NAME?</v>
      </c>
    </row>
    <row r="1595" spans="1:20" x14ac:dyDescent="0.25">
      <c r="A1595" t="e">
        <f ca="1">BDP("67919PVW Muni","ID_CUSIP")</f>
        <v>#NAME?</v>
      </c>
      <c r="B1595" t="e">
        <f ca="1">BDP("67919PVW Muni","STATE_CODE")</f>
        <v>#NAME?</v>
      </c>
      <c r="C1595" t="s">
        <v>97</v>
      </c>
      <c r="D1595" t="e">
        <f ca="1">BDP("67919PVW Muni","YIELD_ON_ISSUE_DATE")</f>
        <v>#NAME?</v>
      </c>
      <c r="E1595">
        <v>6670000</v>
      </c>
      <c r="F1595" t="e">
        <f ca="1">BDP("67919PVW Muni","ISSUE_DT")</f>
        <v>#NAME?</v>
      </c>
      <c r="G1595" t="e">
        <f ca="1">BDP("67919PVW Muni","MATURITY")</f>
        <v>#NAME?</v>
      </c>
      <c r="H1595" t="e">
        <f ca="1">BDP("67919PVW Muni","MUNI_TAX_PROV")</f>
        <v>#NAME?</v>
      </c>
      <c r="I1595" t="e">
        <f ca="1">BDP("67919PVW Muni","FINANCING_TYPE")</f>
        <v>#NAME?</v>
      </c>
      <c r="J1595" t="e">
        <f ca="1">BDP("67919PVW Muni","BICS_LEVEL_2_INDUSTRY_GROUP_NAME")</f>
        <v>#NAME?</v>
      </c>
      <c r="K1595" t="e">
        <f ca="1">BDP("67919PVW Muni","SELF_REPRTD_GREEN_INSTR_INDCTR")</f>
        <v>#NAME?</v>
      </c>
      <c r="L1595" t="e">
        <f ca="1">BDP("67919PVW Muni","GB_MANAGEMENT_PROCEEDS")</f>
        <v>#NAME?</v>
      </c>
      <c r="M1595" t="e">
        <f ca="1">BDP("67919PVW Muni","GB_REPORTING")</f>
        <v>#NAME?</v>
      </c>
      <c r="N1595" t="e">
        <f ca="1">BDP("67919PVW Muni","GB_ASSURANCE_PROVIDERS")</f>
        <v>#NAME?</v>
      </c>
      <c r="O1595" t="e">
        <f ca="1">BDP("67919PVW Muni","GB_PROJECT_SELECTION_PROCESS")</f>
        <v>#NAME?</v>
      </c>
      <c r="P1595" t="e">
        <f ca="1">BDP("67919PVW Muni","ESG_FRAMEWORK_INDICATOR")</f>
        <v>#NAME?</v>
      </c>
      <c r="Q1595" t="e">
        <f ca="1">BDP("67919PVW Muni","BLOOMBERG_SECTOR_CODE")</f>
        <v>#NAME?</v>
      </c>
      <c r="R1595" t="e">
        <f ca="1">BDP("67919PVW Muni","ISSUER_TYPE")</f>
        <v>#NAME?</v>
      </c>
      <c r="S1595" t="e">
        <f ca="1">BDS("67919PVW Muni","ESG_PROJECT_CATEGORY", "aggregate=y")</f>
        <v>#NAME?</v>
      </c>
      <c r="T1595" t="e">
        <f ca="1">BDS("67919PVW Muni","ESG_PROJECT_SUBCATEGORY", "aggregate=y")</f>
        <v>#NAME?</v>
      </c>
    </row>
    <row r="1596" spans="1:20" x14ac:dyDescent="0.25">
      <c r="A1596" t="e">
        <f ca="1">BDP("67919PVX Muni","ID_CUSIP")</f>
        <v>#NAME?</v>
      </c>
      <c r="B1596" t="e">
        <f ca="1">BDP("67919PVX Muni","STATE_CODE")</f>
        <v>#NAME?</v>
      </c>
      <c r="C1596" t="s">
        <v>97</v>
      </c>
      <c r="D1596" t="e">
        <f ca="1">BDP("67919PVX Muni","YIELD_ON_ISSUE_DATE")</f>
        <v>#NAME?</v>
      </c>
      <c r="E1596">
        <v>7615000</v>
      </c>
      <c r="F1596" t="e">
        <f ca="1">BDP("67919PVX Muni","ISSUE_DT")</f>
        <v>#NAME?</v>
      </c>
      <c r="G1596" t="e">
        <f ca="1">BDP("67919PVX Muni","MATURITY")</f>
        <v>#NAME?</v>
      </c>
      <c r="H1596" t="e">
        <f ca="1">BDP("67919PVX Muni","MUNI_TAX_PROV")</f>
        <v>#NAME?</v>
      </c>
      <c r="I1596" t="e">
        <f ca="1">BDP("67919PVX Muni","FINANCING_TYPE")</f>
        <v>#NAME?</v>
      </c>
      <c r="J1596" t="e">
        <f ca="1">BDP("67919PVX Muni","BICS_LEVEL_2_INDUSTRY_GROUP_NAME")</f>
        <v>#NAME?</v>
      </c>
      <c r="K1596" t="e">
        <f ca="1">BDP("67919PVX Muni","SELF_REPRTD_GREEN_INSTR_INDCTR")</f>
        <v>#NAME?</v>
      </c>
      <c r="L1596" t="e">
        <f ca="1">BDP("67919PVX Muni","GB_MANAGEMENT_PROCEEDS")</f>
        <v>#NAME?</v>
      </c>
      <c r="M1596" t="e">
        <f ca="1">BDP("67919PVX Muni","GB_REPORTING")</f>
        <v>#NAME?</v>
      </c>
      <c r="N1596" t="e">
        <f ca="1">BDP("67919PVX Muni","GB_ASSURANCE_PROVIDERS")</f>
        <v>#NAME?</v>
      </c>
      <c r="O1596" t="e">
        <f ca="1">BDP("67919PVX Muni","GB_PROJECT_SELECTION_PROCESS")</f>
        <v>#NAME?</v>
      </c>
      <c r="P1596" t="e">
        <f ca="1">BDP("67919PVX Muni","ESG_FRAMEWORK_INDICATOR")</f>
        <v>#NAME?</v>
      </c>
      <c r="Q1596" t="e">
        <f ca="1">BDP("67919PVX Muni","BLOOMBERG_SECTOR_CODE")</f>
        <v>#NAME?</v>
      </c>
      <c r="R1596" t="e">
        <f ca="1">BDP("67919PVX Muni","ISSUER_TYPE")</f>
        <v>#NAME?</v>
      </c>
      <c r="S1596" t="e">
        <f ca="1">BDS("67919PVX Muni","ESG_PROJECT_CATEGORY", "aggregate=y")</f>
        <v>#NAME?</v>
      </c>
      <c r="T1596" t="e">
        <f ca="1">BDS("67919PVX Muni","ESG_PROJECT_SUBCATEGORY", "aggregate=y")</f>
        <v>#NAME?</v>
      </c>
    </row>
    <row r="1597" spans="1:20" x14ac:dyDescent="0.25">
      <c r="A1597" t="e">
        <f ca="1">BDP("67919PVY Muni","ID_CUSIP")</f>
        <v>#NAME?</v>
      </c>
      <c r="B1597" t="e">
        <f ca="1">BDP("67919PVY Muni","STATE_CODE")</f>
        <v>#NAME?</v>
      </c>
      <c r="C1597" t="s">
        <v>97</v>
      </c>
      <c r="D1597" t="e">
        <f ca="1">BDP("67919PVY Muni","YIELD_ON_ISSUE_DATE")</f>
        <v>#NAME?</v>
      </c>
      <c r="E1597">
        <v>5950000</v>
      </c>
      <c r="F1597" t="e">
        <f ca="1">BDP("67919PVY Muni","ISSUE_DT")</f>
        <v>#NAME?</v>
      </c>
      <c r="G1597" t="e">
        <f ca="1">BDP("67919PVY Muni","MATURITY")</f>
        <v>#NAME?</v>
      </c>
      <c r="H1597" t="e">
        <f ca="1">BDP("67919PVY Muni","MUNI_TAX_PROV")</f>
        <v>#NAME?</v>
      </c>
      <c r="I1597" t="e">
        <f ca="1">BDP("67919PVY Muni","FINANCING_TYPE")</f>
        <v>#NAME?</v>
      </c>
      <c r="J1597" t="e">
        <f ca="1">BDP("67919PVY Muni","BICS_LEVEL_2_INDUSTRY_GROUP_NAME")</f>
        <v>#NAME?</v>
      </c>
      <c r="K1597" t="e">
        <f ca="1">BDP("67919PVY Muni","SELF_REPRTD_GREEN_INSTR_INDCTR")</f>
        <v>#NAME?</v>
      </c>
      <c r="L1597" t="e">
        <f ca="1">BDP("67919PVY Muni","GB_MANAGEMENT_PROCEEDS")</f>
        <v>#NAME?</v>
      </c>
      <c r="M1597" t="e">
        <f ca="1">BDP("67919PVY Muni","GB_REPORTING")</f>
        <v>#NAME?</v>
      </c>
      <c r="N1597" t="e">
        <f ca="1">BDP("67919PVY Muni","GB_ASSURANCE_PROVIDERS")</f>
        <v>#NAME?</v>
      </c>
      <c r="O1597" t="e">
        <f ca="1">BDP("67919PVY Muni","GB_PROJECT_SELECTION_PROCESS")</f>
        <v>#NAME?</v>
      </c>
      <c r="P1597" t="e">
        <f ca="1">BDP("67919PVY Muni","ESG_FRAMEWORK_INDICATOR")</f>
        <v>#NAME?</v>
      </c>
      <c r="Q1597" t="e">
        <f ca="1">BDP("67919PVY Muni","BLOOMBERG_SECTOR_CODE")</f>
        <v>#NAME?</v>
      </c>
      <c r="R1597" t="e">
        <f ca="1">BDP("67919PVY Muni","ISSUER_TYPE")</f>
        <v>#NAME?</v>
      </c>
      <c r="S1597" t="e">
        <f ca="1">BDS("67919PVY Muni","ESG_PROJECT_CATEGORY", "aggregate=y")</f>
        <v>#NAME?</v>
      </c>
      <c r="T1597" t="e">
        <f ca="1">BDS("67919PVY Muni","ESG_PROJECT_SUBCATEGORY", "aggregate=y")</f>
        <v>#NAME?</v>
      </c>
    </row>
    <row r="1598" spans="1:20" x14ac:dyDescent="0.25">
      <c r="A1598" t="e">
        <f ca="1">BDP("67919PVZ Muni","ID_CUSIP")</f>
        <v>#NAME?</v>
      </c>
      <c r="B1598" t="e">
        <f ca="1">BDP("67919PVZ Muni","STATE_CODE")</f>
        <v>#NAME?</v>
      </c>
      <c r="C1598" t="s">
        <v>97</v>
      </c>
      <c r="D1598" t="e">
        <f ca="1">BDP("67919PVZ Muni","YIELD_ON_ISSUE_DATE")</f>
        <v>#NAME?</v>
      </c>
      <c r="E1598">
        <v>6245000</v>
      </c>
      <c r="F1598" t="e">
        <f ca="1">BDP("67919PVZ Muni","ISSUE_DT")</f>
        <v>#NAME?</v>
      </c>
      <c r="G1598" t="e">
        <f ca="1">BDP("67919PVZ Muni","MATURITY")</f>
        <v>#NAME?</v>
      </c>
      <c r="H1598" t="e">
        <f ca="1">BDP("67919PVZ Muni","MUNI_TAX_PROV")</f>
        <v>#NAME?</v>
      </c>
      <c r="I1598" t="e">
        <f ca="1">BDP("67919PVZ Muni","FINANCING_TYPE")</f>
        <v>#NAME?</v>
      </c>
      <c r="J1598" t="e">
        <f ca="1">BDP("67919PVZ Muni","BICS_LEVEL_2_INDUSTRY_GROUP_NAME")</f>
        <v>#NAME?</v>
      </c>
      <c r="K1598" t="e">
        <f ca="1">BDP("67919PVZ Muni","SELF_REPRTD_GREEN_INSTR_INDCTR")</f>
        <v>#NAME?</v>
      </c>
      <c r="L1598" t="e">
        <f ca="1">BDP("67919PVZ Muni","GB_MANAGEMENT_PROCEEDS")</f>
        <v>#NAME?</v>
      </c>
      <c r="M1598" t="e">
        <f ca="1">BDP("67919PVZ Muni","GB_REPORTING")</f>
        <v>#NAME?</v>
      </c>
      <c r="N1598" t="e">
        <f ca="1">BDP("67919PVZ Muni","GB_ASSURANCE_PROVIDERS")</f>
        <v>#NAME?</v>
      </c>
      <c r="O1598" t="e">
        <f ca="1">BDP("67919PVZ Muni","GB_PROJECT_SELECTION_PROCESS")</f>
        <v>#NAME?</v>
      </c>
      <c r="P1598" t="e">
        <f ca="1">BDP("67919PVZ Muni","ESG_FRAMEWORK_INDICATOR")</f>
        <v>#NAME?</v>
      </c>
      <c r="Q1598" t="e">
        <f ca="1">BDP("67919PVZ Muni","BLOOMBERG_SECTOR_CODE")</f>
        <v>#NAME?</v>
      </c>
      <c r="R1598" t="e">
        <f ca="1">BDP("67919PVZ Muni","ISSUER_TYPE")</f>
        <v>#NAME?</v>
      </c>
      <c r="S1598" t="e">
        <f ca="1">BDS("67919PVZ Muni","ESG_PROJECT_CATEGORY", "aggregate=y")</f>
        <v>#NAME?</v>
      </c>
      <c r="T1598" t="e">
        <f ca="1">BDS("67919PVZ Muni","ESG_PROJECT_SUBCATEGORY", "aggregate=y")</f>
        <v>#NAME?</v>
      </c>
    </row>
    <row r="1599" spans="1:20" x14ac:dyDescent="0.25">
      <c r="A1599" t="e">
        <f ca="1">BDP("67919PWC Muni","ID_CUSIP")</f>
        <v>#NAME?</v>
      </c>
      <c r="B1599" t="e">
        <f ca="1">BDP("67919PWC Muni","STATE_CODE")</f>
        <v>#NAME?</v>
      </c>
      <c r="C1599" t="s">
        <v>97</v>
      </c>
      <c r="D1599" t="e">
        <f ca="1">BDP("67919PWC Muni","YIELD_ON_ISSUE_DATE")</f>
        <v>#NAME?</v>
      </c>
      <c r="E1599">
        <v>6570000</v>
      </c>
      <c r="F1599" t="e">
        <f ca="1">BDP("67919PWC Muni","ISSUE_DT")</f>
        <v>#NAME?</v>
      </c>
      <c r="G1599" t="e">
        <f ca="1">BDP("67919PWC Muni","MATURITY")</f>
        <v>#NAME?</v>
      </c>
      <c r="H1599" t="e">
        <f ca="1">BDP("67919PWC Muni","MUNI_TAX_PROV")</f>
        <v>#NAME?</v>
      </c>
      <c r="I1599" t="e">
        <f ca="1">BDP("67919PWC Muni","FINANCING_TYPE")</f>
        <v>#NAME?</v>
      </c>
      <c r="J1599" t="e">
        <f ca="1">BDP("67919PWC Muni","BICS_LEVEL_2_INDUSTRY_GROUP_NAME")</f>
        <v>#NAME?</v>
      </c>
      <c r="K1599" t="e">
        <f ca="1">BDP("67919PWC Muni","SELF_REPRTD_GREEN_INSTR_INDCTR")</f>
        <v>#NAME?</v>
      </c>
      <c r="L1599" t="e">
        <f ca="1">BDP("67919PWC Muni","GB_MANAGEMENT_PROCEEDS")</f>
        <v>#NAME?</v>
      </c>
      <c r="M1599" t="e">
        <f ca="1">BDP("67919PWC Muni","GB_REPORTING")</f>
        <v>#NAME?</v>
      </c>
      <c r="N1599" t="e">
        <f ca="1">BDP("67919PWC Muni","GB_ASSURANCE_PROVIDERS")</f>
        <v>#NAME?</v>
      </c>
      <c r="O1599" t="e">
        <f ca="1">BDP("67919PWC Muni","GB_PROJECT_SELECTION_PROCESS")</f>
        <v>#NAME?</v>
      </c>
      <c r="P1599" t="e">
        <f ca="1">BDP("67919PWC Muni","ESG_FRAMEWORK_INDICATOR")</f>
        <v>#NAME?</v>
      </c>
      <c r="Q1599" t="e">
        <f ca="1">BDP("67919PWC Muni","BLOOMBERG_SECTOR_CODE")</f>
        <v>#NAME?</v>
      </c>
      <c r="R1599" t="e">
        <f ca="1">BDP("67919PWC Muni","ISSUER_TYPE")</f>
        <v>#NAME?</v>
      </c>
      <c r="S1599" t="e">
        <f ca="1">BDS("67919PWC Muni","ESG_PROJECT_CATEGORY", "aggregate=y")</f>
        <v>#NAME?</v>
      </c>
      <c r="T1599" t="e">
        <f ca="1">BDS("67919PWC Muni","ESG_PROJECT_SUBCATEGORY", "aggregate=y")</f>
        <v>#NAME?</v>
      </c>
    </row>
    <row r="1600" spans="1:20" x14ac:dyDescent="0.25">
      <c r="A1600" t="e">
        <f ca="1">BDP("67919PWP Muni","ID_CUSIP")</f>
        <v>#NAME?</v>
      </c>
      <c r="B1600" t="e">
        <f ca="1">BDP("67919PWP Muni","STATE_CODE")</f>
        <v>#NAME?</v>
      </c>
      <c r="C1600" t="s">
        <v>97</v>
      </c>
      <c r="D1600" t="e">
        <f ca="1">BDP("67919PWP Muni","YIELD_ON_ISSUE_DATE")</f>
        <v>#NAME?</v>
      </c>
      <c r="E1600">
        <v>5005000</v>
      </c>
      <c r="F1600" t="e">
        <f ca="1">BDP("67919PWP Muni","ISSUE_DT")</f>
        <v>#NAME?</v>
      </c>
      <c r="G1600" t="e">
        <f ca="1">BDP("67919PWP Muni","MATURITY")</f>
        <v>#NAME?</v>
      </c>
      <c r="H1600" t="e">
        <f ca="1">BDP("67919PWP Muni","MUNI_TAX_PROV")</f>
        <v>#NAME?</v>
      </c>
      <c r="I1600" t="e">
        <f ca="1">BDP("67919PWP Muni","FINANCING_TYPE")</f>
        <v>#NAME?</v>
      </c>
      <c r="J1600" t="e">
        <f ca="1">BDP("67919PWP Muni","BICS_LEVEL_2_INDUSTRY_GROUP_NAME")</f>
        <v>#NAME?</v>
      </c>
      <c r="K1600" t="e">
        <f ca="1">BDP("67919PWP Muni","SELF_REPRTD_GREEN_INSTR_INDCTR")</f>
        <v>#NAME?</v>
      </c>
      <c r="L1600" t="e">
        <f ca="1">BDP("67919PWP Muni","GB_MANAGEMENT_PROCEEDS")</f>
        <v>#NAME?</v>
      </c>
      <c r="M1600" t="e">
        <f ca="1">BDP("67919PWP Muni","GB_REPORTING")</f>
        <v>#NAME?</v>
      </c>
      <c r="N1600" t="e">
        <f ca="1">BDP("67919PWP Muni","GB_ASSURANCE_PROVIDERS")</f>
        <v>#NAME?</v>
      </c>
      <c r="O1600" t="e">
        <f ca="1">BDP("67919PWP Muni","GB_PROJECT_SELECTION_PROCESS")</f>
        <v>#NAME?</v>
      </c>
      <c r="P1600" t="e">
        <f ca="1">BDP("67919PWP Muni","ESG_FRAMEWORK_INDICATOR")</f>
        <v>#NAME?</v>
      </c>
      <c r="Q1600" t="e">
        <f ca="1">BDP("67919PWP Muni","BLOOMBERG_SECTOR_CODE")</f>
        <v>#NAME?</v>
      </c>
      <c r="R1600" t="e">
        <f ca="1">BDP("67919PWP Muni","ISSUER_TYPE")</f>
        <v>#NAME?</v>
      </c>
      <c r="S1600" t="e">
        <f ca="1">BDS("67919PWP Muni","ESG_PROJECT_CATEGORY", "aggregate=y")</f>
        <v>#NAME?</v>
      </c>
      <c r="T1600" t="e">
        <f ca="1">BDS("67919PWP Muni","ESG_PROJECT_SUBCATEGORY", "aggregate=y")</f>
        <v>#NAME?</v>
      </c>
    </row>
    <row r="1601" spans="1:20" x14ac:dyDescent="0.25">
      <c r="A1601" t="e">
        <f ca="1">BDP("67919PWQ Muni","ID_CUSIP")</f>
        <v>#NAME?</v>
      </c>
      <c r="B1601" t="e">
        <f ca="1">BDP("67919PWQ Muni","STATE_CODE")</f>
        <v>#NAME?</v>
      </c>
      <c r="C1601" t="s">
        <v>97</v>
      </c>
      <c r="D1601" t="e">
        <f ca="1">BDP("67919PWQ Muni","YIELD_ON_ISSUE_DATE")</f>
        <v>#NAME?</v>
      </c>
      <c r="E1601">
        <v>4570000</v>
      </c>
      <c r="F1601" t="e">
        <f ca="1">BDP("67919PWQ Muni","ISSUE_DT")</f>
        <v>#NAME?</v>
      </c>
      <c r="G1601" t="e">
        <f ca="1">BDP("67919PWQ Muni","MATURITY")</f>
        <v>#NAME?</v>
      </c>
      <c r="H1601" t="e">
        <f ca="1">BDP("67919PWQ Muni","MUNI_TAX_PROV")</f>
        <v>#NAME?</v>
      </c>
      <c r="I1601" t="e">
        <f ca="1">BDP("67919PWQ Muni","FINANCING_TYPE")</f>
        <v>#NAME?</v>
      </c>
      <c r="J1601" t="e">
        <f ca="1">BDP("67919PWQ Muni","BICS_LEVEL_2_INDUSTRY_GROUP_NAME")</f>
        <v>#NAME?</v>
      </c>
      <c r="K1601" t="e">
        <f ca="1">BDP("67919PWQ Muni","SELF_REPRTD_GREEN_INSTR_INDCTR")</f>
        <v>#NAME?</v>
      </c>
      <c r="L1601" t="e">
        <f ca="1">BDP("67919PWQ Muni","GB_MANAGEMENT_PROCEEDS")</f>
        <v>#NAME?</v>
      </c>
      <c r="M1601" t="e">
        <f ca="1">BDP("67919PWQ Muni","GB_REPORTING")</f>
        <v>#NAME?</v>
      </c>
      <c r="N1601" t="e">
        <f ca="1">BDP("67919PWQ Muni","GB_ASSURANCE_PROVIDERS")</f>
        <v>#NAME?</v>
      </c>
      <c r="O1601" t="e">
        <f ca="1">BDP("67919PWQ Muni","GB_PROJECT_SELECTION_PROCESS")</f>
        <v>#NAME?</v>
      </c>
      <c r="P1601" t="e">
        <f ca="1">BDP("67919PWQ Muni","ESG_FRAMEWORK_INDICATOR")</f>
        <v>#NAME?</v>
      </c>
      <c r="Q1601" t="e">
        <f ca="1">BDP("67919PWQ Muni","BLOOMBERG_SECTOR_CODE")</f>
        <v>#NAME?</v>
      </c>
      <c r="R1601" t="e">
        <f ca="1">BDP("67919PWQ Muni","ISSUER_TYPE")</f>
        <v>#NAME?</v>
      </c>
      <c r="S1601" t="e">
        <f ca="1">BDS("67919PWQ Muni","ESG_PROJECT_CATEGORY", "aggregate=y")</f>
        <v>#NAME?</v>
      </c>
      <c r="T1601" t="e">
        <f ca="1">BDS("67919PWQ Muni","ESG_PROJECT_SUBCATEGORY", "aggregate=y")</f>
        <v>#NAME?</v>
      </c>
    </row>
    <row r="1602" spans="1:20" x14ac:dyDescent="0.25">
      <c r="A1602" t="e">
        <f ca="1">BDP("67919PWA Muni","ID_CUSIP")</f>
        <v>#NAME?</v>
      </c>
      <c r="B1602" t="e">
        <f ca="1">BDP("67919PWA Muni","STATE_CODE")</f>
        <v>#NAME?</v>
      </c>
      <c r="C1602" t="s">
        <v>97</v>
      </c>
      <c r="D1602" t="e">
        <f ca="1">BDP("67919PWA Muni","YIELD_ON_ISSUE_DATE")</f>
        <v>#NAME?</v>
      </c>
      <c r="E1602">
        <v>28175000</v>
      </c>
      <c r="F1602" t="e">
        <f ca="1">BDP("67919PWA Muni","ISSUE_DT")</f>
        <v>#NAME?</v>
      </c>
      <c r="G1602" t="e">
        <f ca="1">BDP("67919PWA Muni","MATURITY")</f>
        <v>#NAME?</v>
      </c>
      <c r="H1602" t="e">
        <f ca="1">BDP("67919PWA Muni","MUNI_TAX_PROV")</f>
        <v>#NAME?</v>
      </c>
      <c r="I1602" t="e">
        <f ca="1">BDP("67919PWA Muni","FINANCING_TYPE")</f>
        <v>#NAME?</v>
      </c>
      <c r="J1602" t="e">
        <f ca="1">BDP("67919PWA Muni","BICS_LEVEL_2_INDUSTRY_GROUP_NAME")</f>
        <v>#NAME?</v>
      </c>
      <c r="K1602" t="e">
        <f ca="1">BDP("67919PWA Muni","SELF_REPRTD_GREEN_INSTR_INDCTR")</f>
        <v>#NAME?</v>
      </c>
      <c r="L1602" t="e">
        <f ca="1">BDP("67919PWA Muni","GB_MANAGEMENT_PROCEEDS")</f>
        <v>#NAME?</v>
      </c>
      <c r="M1602" t="e">
        <f ca="1">BDP("67919PWA Muni","GB_REPORTING")</f>
        <v>#NAME?</v>
      </c>
      <c r="N1602" t="e">
        <f ca="1">BDP("67919PWA Muni","GB_ASSURANCE_PROVIDERS")</f>
        <v>#NAME?</v>
      </c>
      <c r="O1602" t="e">
        <f ca="1">BDP("67919PWA Muni","GB_PROJECT_SELECTION_PROCESS")</f>
        <v>#NAME?</v>
      </c>
      <c r="P1602" t="e">
        <f ca="1">BDP("67919PWA Muni","ESG_FRAMEWORK_INDICATOR")</f>
        <v>#NAME?</v>
      </c>
      <c r="Q1602" t="e">
        <f ca="1">BDP("67919PWA Muni","BLOOMBERG_SECTOR_CODE")</f>
        <v>#NAME?</v>
      </c>
      <c r="R1602" t="e">
        <f ca="1">BDP("67919PWA Muni","ISSUER_TYPE")</f>
        <v>#NAME?</v>
      </c>
      <c r="S1602" t="e">
        <f ca="1">BDS("67919PWA Muni","ESG_PROJECT_CATEGORY", "aggregate=y")</f>
        <v>#NAME?</v>
      </c>
      <c r="T1602" t="e">
        <f ca="1">BDS("67919PWA Muni","ESG_PROJECT_SUBCATEGORY", "aggregate=y")</f>
        <v>#NAME?</v>
      </c>
    </row>
    <row r="1603" spans="1:20" x14ac:dyDescent="0.25">
      <c r="A1603" t="e">
        <f ca="1">BDP("67919PWZ Muni","ID_CUSIP")</f>
        <v>#NAME?</v>
      </c>
      <c r="B1603" t="e">
        <f ca="1">BDP("67919PWZ Muni","STATE_CODE")</f>
        <v>#NAME?</v>
      </c>
      <c r="C1603" t="s">
        <v>97</v>
      </c>
      <c r="D1603" t="e">
        <f ca="1">BDP("67919PWZ Muni","YIELD_ON_ISSUE_DATE")</f>
        <v>#NAME?</v>
      </c>
      <c r="E1603">
        <v>44485000</v>
      </c>
      <c r="F1603" t="e">
        <f ca="1">BDP("67919PWZ Muni","ISSUE_DT")</f>
        <v>#NAME?</v>
      </c>
      <c r="G1603" t="e">
        <f ca="1">BDP("67919PWZ Muni","MATURITY")</f>
        <v>#NAME?</v>
      </c>
      <c r="H1603" t="e">
        <f ca="1">BDP("67919PWZ Muni","MUNI_TAX_PROV")</f>
        <v>#NAME?</v>
      </c>
      <c r="I1603" t="e">
        <f ca="1">BDP("67919PWZ Muni","FINANCING_TYPE")</f>
        <v>#NAME?</v>
      </c>
      <c r="J1603" t="e">
        <f ca="1">BDP("67919PWZ Muni","BICS_LEVEL_2_INDUSTRY_GROUP_NAME")</f>
        <v>#NAME?</v>
      </c>
      <c r="K1603" t="e">
        <f ca="1">BDP("67919PWZ Muni","SELF_REPRTD_GREEN_INSTR_INDCTR")</f>
        <v>#NAME?</v>
      </c>
      <c r="L1603" t="e">
        <f ca="1">BDP("67919PWZ Muni","GB_MANAGEMENT_PROCEEDS")</f>
        <v>#NAME?</v>
      </c>
      <c r="M1603" t="e">
        <f ca="1">BDP("67919PWZ Muni","GB_REPORTING")</f>
        <v>#NAME?</v>
      </c>
      <c r="N1603" t="e">
        <f ca="1">BDP("67919PWZ Muni","GB_ASSURANCE_PROVIDERS")</f>
        <v>#NAME?</v>
      </c>
      <c r="O1603" t="e">
        <f ca="1">BDP("67919PWZ Muni","GB_PROJECT_SELECTION_PROCESS")</f>
        <v>#NAME?</v>
      </c>
      <c r="P1603" t="e">
        <f ca="1">BDP("67919PWZ Muni","ESG_FRAMEWORK_INDICATOR")</f>
        <v>#NAME?</v>
      </c>
      <c r="Q1603" t="e">
        <f ca="1">BDP("67919PWZ Muni","BLOOMBERG_SECTOR_CODE")</f>
        <v>#NAME?</v>
      </c>
      <c r="R1603" t="e">
        <f ca="1">BDP("67919PWZ Muni","ISSUER_TYPE")</f>
        <v>#NAME?</v>
      </c>
      <c r="S1603" t="e">
        <f ca="1">BDS("67919PWZ Muni","ESG_PROJECT_CATEGORY", "aggregate=y")</f>
        <v>#NAME?</v>
      </c>
      <c r="T1603" t="e">
        <f ca="1">BDS("67919PWZ Muni","ESG_PROJECT_SUBCATEGORY", "aggregate=y")</f>
        <v>#NAME?</v>
      </c>
    </row>
    <row r="1604" spans="1:20" x14ac:dyDescent="0.25">
      <c r="A1604" t="e">
        <f ca="1">BDP("67919PWY Muni","ID_CUSIP")</f>
        <v>#NAME?</v>
      </c>
      <c r="B1604" t="e">
        <f ca="1">BDP("67919PWY Muni","STATE_CODE")</f>
        <v>#NAME?</v>
      </c>
      <c r="C1604" t="s">
        <v>97</v>
      </c>
      <c r="D1604" t="e">
        <f ca="1">BDP("67919PWY Muni","YIELD_ON_ISSUE_DATE")</f>
        <v>#NAME?</v>
      </c>
      <c r="E1604">
        <v>28770000</v>
      </c>
      <c r="F1604" t="e">
        <f ca="1">BDP("67919PWY Muni","ISSUE_DT")</f>
        <v>#NAME?</v>
      </c>
      <c r="G1604" t="e">
        <f ca="1">BDP("67919PWY Muni","MATURITY")</f>
        <v>#NAME?</v>
      </c>
      <c r="H1604" t="e">
        <f ca="1">BDP("67919PWY Muni","MUNI_TAX_PROV")</f>
        <v>#NAME?</v>
      </c>
      <c r="I1604" t="e">
        <f ca="1">BDP("67919PWY Muni","FINANCING_TYPE")</f>
        <v>#NAME?</v>
      </c>
      <c r="J1604" t="e">
        <f ca="1">BDP("67919PWY Muni","BICS_LEVEL_2_INDUSTRY_GROUP_NAME")</f>
        <v>#NAME?</v>
      </c>
      <c r="K1604" t="e">
        <f ca="1">BDP("67919PWY Muni","SELF_REPRTD_GREEN_INSTR_INDCTR")</f>
        <v>#NAME?</v>
      </c>
      <c r="L1604" t="e">
        <f ca="1">BDP("67919PWY Muni","GB_MANAGEMENT_PROCEEDS")</f>
        <v>#NAME?</v>
      </c>
      <c r="M1604" t="e">
        <f ca="1">BDP("67919PWY Muni","GB_REPORTING")</f>
        <v>#NAME?</v>
      </c>
      <c r="N1604" t="e">
        <f ca="1">BDP("67919PWY Muni","GB_ASSURANCE_PROVIDERS")</f>
        <v>#NAME?</v>
      </c>
      <c r="O1604" t="e">
        <f ca="1">BDP("67919PWY Muni","GB_PROJECT_SELECTION_PROCESS")</f>
        <v>#NAME?</v>
      </c>
      <c r="P1604" t="e">
        <f ca="1">BDP("67919PWY Muni","ESG_FRAMEWORK_INDICATOR")</f>
        <v>#NAME?</v>
      </c>
      <c r="Q1604" t="e">
        <f ca="1">BDP("67919PWY Muni","BLOOMBERG_SECTOR_CODE")</f>
        <v>#NAME?</v>
      </c>
      <c r="R1604" t="e">
        <f ca="1">BDP("67919PWY Muni","ISSUER_TYPE")</f>
        <v>#NAME?</v>
      </c>
      <c r="S1604" t="e">
        <f ca="1">BDS("67919PWY Muni","ESG_PROJECT_CATEGORY", "aggregate=y")</f>
        <v>#NAME?</v>
      </c>
      <c r="T1604" t="e">
        <f ca="1">BDS("67919PWY Muni","ESG_PROJECT_SUBCATEGORY", "aggregate=y")</f>
        <v>#NAME?</v>
      </c>
    </row>
    <row r="1605" spans="1:20" x14ac:dyDescent="0.25">
      <c r="A1605" t="e">
        <f ca="1">BDP("67919PWF Muni","ID_CUSIP")</f>
        <v>#NAME?</v>
      </c>
      <c r="B1605" t="e">
        <f ca="1">BDP("67919PWF Muni","STATE_CODE")</f>
        <v>#NAME?</v>
      </c>
      <c r="C1605" t="s">
        <v>97</v>
      </c>
      <c r="D1605" t="e">
        <f ca="1">BDP("67919PWF Muni","YIELD_ON_ISSUE_DATE")</f>
        <v>#NAME?</v>
      </c>
      <c r="E1605">
        <v>3635000</v>
      </c>
      <c r="F1605" t="e">
        <f ca="1">BDP("67919PWF Muni","ISSUE_DT")</f>
        <v>#NAME?</v>
      </c>
      <c r="G1605" t="e">
        <f ca="1">BDP("67919PWF Muni","MATURITY")</f>
        <v>#NAME?</v>
      </c>
      <c r="H1605" t="e">
        <f ca="1">BDP("67919PWF Muni","MUNI_TAX_PROV")</f>
        <v>#NAME?</v>
      </c>
      <c r="I1605" t="e">
        <f ca="1">BDP("67919PWF Muni","FINANCING_TYPE")</f>
        <v>#NAME?</v>
      </c>
      <c r="J1605" t="e">
        <f ca="1">BDP("67919PWF Muni","BICS_LEVEL_2_INDUSTRY_GROUP_NAME")</f>
        <v>#NAME?</v>
      </c>
      <c r="K1605" t="e">
        <f ca="1">BDP("67919PWF Muni","SELF_REPRTD_GREEN_INSTR_INDCTR")</f>
        <v>#NAME?</v>
      </c>
      <c r="L1605" t="e">
        <f ca="1">BDP("67919PWF Muni","GB_MANAGEMENT_PROCEEDS")</f>
        <v>#NAME?</v>
      </c>
      <c r="M1605" t="e">
        <f ca="1">BDP("67919PWF Muni","GB_REPORTING")</f>
        <v>#NAME?</v>
      </c>
      <c r="N1605" t="e">
        <f ca="1">BDP("67919PWF Muni","GB_ASSURANCE_PROVIDERS")</f>
        <v>#NAME?</v>
      </c>
      <c r="O1605" t="e">
        <f ca="1">BDP("67919PWF Muni","GB_PROJECT_SELECTION_PROCESS")</f>
        <v>#NAME?</v>
      </c>
      <c r="P1605" t="e">
        <f ca="1">BDP("67919PWF Muni","ESG_FRAMEWORK_INDICATOR")</f>
        <v>#NAME?</v>
      </c>
      <c r="Q1605" t="e">
        <f ca="1">BDP("67919PWF Muni","BLOOMBERG_SECTOR_CODE")</f>
        <v>#NAME?</v>
      </c>
      <c r="R1605" t="e">
        <f ca="1">BDP("67919PWF Muni","ISSUER_TYPE")</f>
        <v>#NAME?</v>
      </c>
      <c r="S1605" t="e">
        <f ca="1">BDS("67919PWF Muni","ESG_PROJECT_CATEGORY", "aggregate=y")</f>
        <v>#NAME?</v>
      </c>
      <c r="T1605" t="e">
        <f ca="1">BDS("67919PWF Muni","ESG_PROJECT_SUBCATEGORY", "aggregate=y")</f>
        <v>#NAME?</v>
      </c>
    </row>
    <row r="1606" spans="1:20" x14ac:dyDescent="0.25">
      <c r="A1606" t="e">
        <f ca="1">BDP("67919PWE Muni","ID_CUSIP")</f>
        <v>#NAME?</v>
      </c>
      <c r="B1606" t="e">
        <f ca="1">BDP("67919PWE Muni","STATE_CODE")</f>
        <v>#NAME?</v>
      </c>
      <c r="C1606" t="s">
        <v>97</v>
      </c>
      <c r="D1606" t="e">
        <f ca="1">BDP("67919PWE Muni","YIELD_ON_ISSUE_DATE")</f>
        <v>#NAME?</v>
      </c>
      <c r="E1606">
        <v>3320000</v>
      </c>
      <c r="F1606" t="e">
        <f ca="1">BDP("67919PWE Muni","ISSUE_DT")</f>
        <v>#NAME?</v>
      </c>
      <c r="G1606" t="e">
        <f ca="1">BDP("67919PWE Muni","MATURITY")</f>
        <v>#NAME?</v>
      </c>
      <c r="H1606" t="e">
        <f ca="1">BDP("67919PWE Muni","MUNI_TAX_PROV")</f>
        <v>#NAME?</v>
      </c>
      <c r="I1606" t="e">
        <f ca="1">BDP("67919PWE Muni","FINANCING_TYPE")</f>
        <v>#NAME?</v>
      </c>
      <c r="J1606" t="e">
        <f ca="1">BDP("67919PWE Muni","BICS_LEVEL_2_INDUSTRY_GROUP_NAME")</f>
        <v>#NAME?</v>
      </c>
      <c r="K1606" t="e">
        <f ca="1">BDP("67919PWE Muni","SELF_REPRTD_GREEN_INSTR_INDCTR")</f>
        <v>#NAME?</v>
      </c>
      <c r="L1606" t="e">
        <f ca="1">BDP("67919PWE Muni","GB_MANAGEMENT_PROCEEDS")</f>
        <v>#NAME?</v>
      </c>
      <c r="M1606" t="e">
        <f ca="1">BDP("67919PWE Muni","GB_REPORTING")</f>
        <v>#NAME?</v>
      </c>
      <c r="N1606" t="e">
        <f ca="1">BDP("67919PWE Muni","GB_ASSURANCE_PROVIDERS")</f>
        <v>#NAME?</v>
      </c>
      <c r="O1606" t="e">
        <f ca="1">BDP("67919PWE Muni","GB_PROJECT_SELECTION_PROCESS")</f>
        <v>#NAME?</v>
      </c>
      <c r="P1606" t="e">
        <f ca="1">BDP("67919PWE Muni","ESG_FRAMEWORK_INDICATOR")</f>
        <v>#NAME?</v>
      </c>
      <c r="Q1606" t="e">
        <f ca="1">BDP("67919PWE Muni","BLOOMBERG_SECTOR_CODE")</f>
        <v>#NAME?</v>
      </c>
      <c r="R1606" t="e">
        <f ca="1">BDP("67919PWE Muni","ISSUER_TYPE")</f>
        <v>#NAME?</v>
      </c>
      <c r="S1606" t="e">
        <f ca="1">BDS("67919PWE Muni","ESG_PROJECT_CATEGORY", "aggregate=y")</f>
        <v>#NAME?</v>
      </c>
      <c r="T1606" t="e">
        <f ca="1">BDS("67919PWE Muni","ESG_PROJECT_SUBCATEGORY", "aggregate=y")</f>
        <v>#NAME?</v>
      </c>
    </row>
    <row r="1607" spans="1:20" x14ac:dyDescent="0.25">
      <c r="A1607" t="e">
        <f ca="1">BDP("67919PWS Muni","ID_CUSIP")</f>
        <v>#NAME?</v>
      </c>
      <c r="B1607" t="e">
        <f ca="1">BDP("67919PWS Muni","STATE_CODE")</f>
        <v>#NAME?</v>
      </c>
      <c r="C1607" t="s">
        <v>97</v>
      </c>
      <c r="D1607" t="e">
        <f ca="1">BDP("67919PWS Muni","YIELD_ON_ISSUE_DATE")</f>
        <v>#NAME?</v>
      </c>
      <c r="E1607">
        <v>4315000</v>
      </c>
      <c r="F1607" t="e">
        <f ca="1">BDP("67919PWS Muni","ISSUE_DT")</f>
        <v>#NAME?</v>
      </c>
      <c r="G1607" t="e">
        <f ca="1">BDP("67919PWS Muni","MATURITY")</f>
        <v>#NAME?</v>
      </c>
      <c r="H1607" t="e">
        <f ca="1">BDP("67919PWS Muni","MUNI_TAX_PROV")</f>
        <v>#NAME?</v>
      </c>
      <c r="I1607" t="e">
        <f ca="1">BDP("67919PWS Muni","FINANCING_TYPE")</f>
        <v>#NAME?</v>
      </c>
      <c r="J1607" t="e">
        <f ca="1">BDP("67919PWS Muni","BICS_LEVEL_2_INDUSTRY_GROUP_NAME")</f>
        <v>#NAME?</v>
      </c>
      <c r="K1607" t="e">
        <f ca="1">BDP("67919PWS Muni","SELF_REPRTD_GREEN_INSTR_INDCTR")</f>
        <v>#NAME?</v>
      </c>
      <c r="L1607" t="e">
        <f ca="1">BDP("67919PWS Muni","GB_MANAGEMENT_PROCEEDS")</f>
        <v>#NAME?</v>
      </c>
      <c r="M1607" t="e">
        <f ca="1">BDP("67919PWS Muni","GB_REPORTING")</f>
        <v>#NAME?</v>
      </c>
      <c r="N1607" t="e">
        <f ca="1">BDP("67919PWS Muni","GB_ASSURANCE_PROVIDERS")</f>
        <v>#NAME?</v>
      </c>
      <c r="O1607" t="e">
        <f ca="1">BDP("67919PWS Muni","GB_PROJECT_SELECTION_PROCESS")</f>
        <v>#NAME?</v>
      </c>
      <c r="P1607" t="e">
        <f ca="1">BDP("67919PWS Muni","ESG_FRAMEWORK_INDICATOR")</f>
        <v>#NAME?</v>
      </c>
      <c r="Q1607" t="e">
        <f ca="1">BDP("67919PWS Muni","BLOOMBERG_SECTOR_CODE")</f>
        <v>#NAME?</v>
      </c>
      <c r="R1607" t="e">
        <f ca="1">BDP("67919PWS Muni","ISSUER_TYPE")</f>
        <v>#NAME?</v>
      </c>
      <c r="S1607" t="e">
        <f ca="1">BDS("67919PWS Muni","ESG_PROJECT_CATEGORY", "aggregate=y")</f>
        <v>#NAME?</v>
      </c>
      <c r="T1607" t="e">
        <f ca="1">BDS("67919PWS Muni","ESG_PROJECT_SUBCATEGORY", "aggregate=y")</f>
        <v>#NAME?</v>
      </c>
    </row>
    <row r="1608" spans="1:20" x14ac:dyDescent="0.25">
      <c r="A1608" t="e">
        <f ca="1">BDP("67919PWJ Muni","ID_CUSIP")</f>
        <v>#NAME?</v>
      </c>
      <c r="B1608" t="e">
        <f ca="1">BDP("67919PWJ Muni","STATE_CODE")</f>
        <v>#NAME?</v>
      </c>
      <c r="C1608" t="s">
        <v>97</v>
      </c>
      <c r="D1608" t="e">
        <f ca="1">BDP("67919PWJ Muni","YIELD_ON_ISSUE_DATE")</f>
        <v>#NAME?</v>
      </c>
      <c r="E1608">
        <v>4040000</v>
      </c>
      <c r="F1608" t="e">
        <f ca="1">BDP("67919PWJ Muni","ISSUE_DT")</f>
        <v>#NAME?</v>
      </c>
      <c r="G1608" t="e">
        <f ca="1">BDP("67919PWJ Muni","MATURITY")</f>
        <v>#NAME?</v>
      </c>
      <c r="H1608" t="e">
        <f ca="1">BDP("67919PWJ Muni","MUNI_TAX_PROV")</f>
        <v>#NAME?</v>
      </c>
      <c r="I1608" t="e">
        <f ca="1">BDP("67919PWJ Muni","FINANCING_TYPE")</f>
        <v>#NAME?</v>
      </c>
      <c r="J1608" t="e">
        <f ca="1">BDP("67919PWJ Muni","BICS_LEVEL_2_INDUSTRY_GROUP_NAME")</f>
        <v>#NAME?</v>
      </c>
      <c r="K1608" t="e">
        <f ca="1">BDP("67919PWJ Muni","SELF_REPRTD_GREEN_INSTR_INDCTR")</f>
        <v>#NAME?</v>
      </c>
      <c r="L1608" t="e">
        <f ca="1">BDP("67919PWJ Muni","GB_MANAGEMENT_PROCEEDS")</f>
        <v>#NAME?</v>
      </c>
      <c r="M1608" t="e">
        <f ca="1">BDP("67919PWJ Muni","GB_REPORTING")</f>
        <v>#NAME?</v>
      </c>
      <c r="N1608" t="e">
        <f ca="1">BDP("67919PWJ Muni","GB_ASSURANCE_PROVIDERS")</f>
        <v>#NAME?</v>
      </c>
      <c r="O1608" t="e">
        <f ca="1">BDP("67919PWJ Muni","GB_PROJECT_SELECTION_PROCESS")</f>
        <v>#NAME?</v>
      </c>
      <c r="P1608" t="e">
        <f ca="1">BDP("67919PWJ Muni","ESG_FRAMEWORK_INDICATOR")</f>
        <v>#NAME?</v>
      </c>
      <c r="Q1608" t="e">
        <f ca="1">BDP("67919PWJ Muni","BLOOMBERG_SECTOR_CODE")</f>
        <v>#NAME?</v>
      </c>
      <c r="R1608" t="e">
        <f ca="1">BDP("67919PWJ Muni","ISSUER_TYPE")</f>
        <v>#NAME?</v>
      </c>
      <c r="S1608" t="e">
        <f ca="1">BDS("67919PWJ Muni","ESG_PROJECT_CATEGORY", "aggregate=y")</f>
        <v>#NAME?</v>
      </c>
      <c r="T1608" t="e">
        <f ca="1">BDS("67919PWJ Muni","ESG_PROJECT_SUBCATEGORY", "aggregate=y")</f>
        <v>#NAME?</v>
      </c>
    </row>
    <row r="1609" spans="1:20" x14ac:dyDescent="0.25">
      <c r="A1609" t="e">
        <f ca="1">BDP("67919PWR Muni","ID_CUSIP")</f>
        <v>#NAME?</v>
      </c>
      <c r="B1609" t="e">
        <f ca="1">BDP("67919PWR Muni","STATE_CODE")</f>
        <v>#NAME?</v>
      </c>
      <c r="C1609" t="s">
        <v>97</v>
      </c>
      <c r="D1609" t="e">
        <f ca="1">BDP("67919PWR Muni","YIELD_ON_ISSUE_DATE")</f>
        <v>#NAME?</v>
      </c>
      <c r="E1609">
        <v>4390000</v>
      </c>
      <c r="F1609" t="e">
        <f ca="1">BDP("67919PWR Muni","ISSUE_DT")</f>
        <v>#NAME?</v>
      </c>
      <c r="G1609" t="e">
        <f ca="1">BDP("67919PWR Muni","MATURITY")</f>
        <v>#NAME?</v>
      </c>
      <c r="H1609" t="e">
        <f ca="1">BDP("67919PWR Muni","MUNI_TAX_PROV")</f>
        <v>#NAME?</v>
      </c>
      <c r="I1609" t="e">
        <f ca="1">BDP("67919PWR Muni","FINANCING_TYPE")</f>
        <v>#NAME?</v>
      </c>
      <c r="J1609" t="e">
        <f ca="1">BDP("67919PWR Muni","BICS_LEVEL_2_INDUSTRY_GROUP_NAME")</f>
        <v>#NAME?</v>
      </c>
      <c r="K1609" t="e">
        <f ca="1">BDP("67919PWR Muni","SELF_REPRTD_GREEN_INSTR_INDCTR")</f>
        <v>#NAME?</v>
      </c>
      <c r="L1609" t="e">
        <f ca="1">BDP("67919PWR Muni","GB_MANAGEMENT_PROCEEDS")</f>
        <v>#NAME?</v>
      </c>
      <c r="M1609" t="e">
        <f ca="1">BDP("67919PWR Muni","GB_REPORTING")</f>
        <v>#NAME?</v>
      </c>
      <c r="N1609" t="e">
        <f ca="1">BDP("67919PWR Muni","GB_ASSURANCE_PROVIDERS")</f>
        <v>#NAME?</v>
      </c>
      <c r="O1609" t="e">
        <f ca="1">BDP("67919PWR Muni","GB_PROJECT_SELECTION_PROCESS")</f>
        <v>#NAME?</v>
      </c>
      <c r="P1609" t="e">
        <f ca="1">BDP("67919PWR Muni","ESG_FRAMEWORK_INDICATOR")</f>
        <v>#NAME?</v>
      </c>
      <c r="Q1609" t="e">
        <f ca="1">BDP("67919PWR Muni","BLOOMBERG_SECTOR_CODE")</f>
        <v>#NAME?</v>
      </c>
      <c r="R1609" t="e">
        <f ca="1">BDP("67919PWR Muni","ISSUER_TYPE")</f>
        <v>#NAME?</v>
      </c>
      <c r="S1609" t="e">
        <f ca="1">BDS("67919PWR Muni","ESG_PROJECT_CATEGORY", "aggregate=y")</f>
        <v>#NAME?</v>
      </c>
      <c r="T1609" t="e">
        <f ca="1">BDS("67919PWR Muni","ESG_PROJECT_SUBCATEGORY", "aggregate=y")</f>
        <v>#NAME?</v>
      </c>
    </row>
    <row r="1610" spans="1:20" x14ac:dyDescent="0.25">
      <c r="A1610" t="e">
        <f ca="1">BDP("67919PWW Muni","ID_CUSIP")</f>
        <v>#NAME?</v>
      </c>
      <c r="B1610" t="e">
        <f ca="1">BDP("67919PWW Muni","STATE_CODE")</f>
        <v>#NAME?</v>
      </c>
      <c r="C1610" t="s">
        <v>97</v>
      </c>
      <c r="D1610" t="e">
        <f ca="1">BDP("67919PWW Muni","YIELD_ON_ISSUE_DATE")</f>
        <v>#NAME?</v>
      </c>
      <c r="E1610">
        <v>9055000</v>
      </c>
      <c r="F1610" t="e">
        <f ca="1">BDP("67919PWW Muni","ISSUE_DT")</f>
        <v>#NAME?</v>
      </c>
      <c r="G1610" t="e">
        <f ca="1">BDP("67919PWW Muni","MATURITY")</f>
        <v>#NAME?</v>
      </c>
      <c r="H1610" t="e">
        <f ca="1">BDP("67919PWW Muni","MUNI_TAX_PROV")</f>
        <v>#NAME?</v>
      </c>
      <c r="I1610" t="e">
        <f ca="1">BDP("67919PWW Muni","FINANCING_TYPE")</f>
        <v>#NAME?</v>
      </c>
      <c r="J1610" t="e">
        <f ca="1">BDP("67919PWW Muni","BICS_LEVEL_2_INDUSTRY_GROUP_NAME")</f>
        <v>#NAME?</v>
      </c>
      <c r="K1610" t="e">
        <f ca="1">BDP("67919PWW Muni","SELF_REPRTD_GREEN_INSTR_INDCTR")</f>
        <v>#NAME?</v>
      </c>
      <c r="L1610" t="e">
        <f ca="1">BDP("67919PWW Muni","GB_MANAGEMENT_PROCEEDS")</f>
        <v>#NAME?</v>
      </c>
      <c r="M1610" t="e">
        <f ca="1">BDP("67919PWW Muni","GB_REPORTING")</f>
        <v>#NAME?</v>
      </c>
      <c r="N1610" t="e">
        <f ca="1">BDP("67919PWW Muni","GB_ASSURANCE_PROVIDERS")</f>
        <v>#NAME?</v>
      </c>
      <c r="O1610" t="e">
        <f ca="1">BDP("67919PWW Muni","GB_PROJECT_SELECTION_PROCESS")</f>
        <v>#NAME?</v>
      </c>
      <c r="P1610" t="e">
        <f ca="1">BDP("67919PWW Muni","ESG_FRAMEWORK_INDICATOR")</f>
        <v>#NAME?</v>
      </c>
      <c r="Q1610" t="e">
        <f ca="1">BDP("67919PWW Muni","BLOOMBERG_SECTOR_CODE")</f>
        <v>#NAME?</v>
      </c>
      <c r="R1610" t="e">
        <f ca="1">BDP("67919PWW Muni","ISSUER_TYPE")</f>
        <v>#NAME?</v>
      </c>
      <c r="S1610" t="e">
        <f ca="1">BDS("67919PWW Muni","ESG_PROJECT_CATEGORY", "aggregate=y")</f>
        <v>#NAME?</v>
      </c>
      <c r="T1610" t="e">
        <f ca="1">BDS("67919PWW Muni","ESG_PROJECT_SUBCATEGORY", "aggregate=y")</f>
        <v>#NAME?</v>
      </c>
    </row>
    <row r="1611" spans="1:20" x14ac:dyDescent="0.25">
      <c r="A1611" t="e">
        <f ca="1">BDP("88035RLY Muni","ID_CUSIP")</f>
        <v>#NAME?</v>
      </c>
      <c r="B1611" t="e">
        <f ca="1">BDP("88035RLY Muni","STATE_CODE")</f>
        <v>#NAME?</v>
      </c>
      <c r="C1611" t="s">
        <v>25</v>
      </c>
      <c r="D1611" t="e">
        <f ca="1">BDP("88035RLY Muni","YIELD_ON_ISSUE_DATE")</f>
        <v>#NAME?</v>
      </c>
      <c r="E1611">
        <v>27535000</v>
      </c>
      <c r="F1611" t="e">
        <f ca="1">BDP("88035RLY Muni","ISSUE_DT")</f>
        <v>#NAME?</v>
      </c>
      <c r="G1611" t="e">
        <f ca="1">BDP("88035RLY Muni","MATURITY")</f>
        <v>#NAME?</v>
      </c>
      <c r="H1611" t="e">
        <f ca="1">BDP("88035RLY Muni","MUNI_TAX_PROV")</f>
        <v>#NAME?</v>
      </c>
      <c r="I1611" t="e">
        <f ca="1">BDP("88035RLY Muni","FINANCING_TYPE")</f>
        <v>#NAME?</v>
      </c>
      <c r="J1611" t="e">
        <f ca="1">BDP("88035RLY Muni","BICS_LEVEL_2_INDUSTRY_GROUP_NAME")</f>
        <v>#NAME?</v>
      </c>
      <c r="K1611" t="e">
        <f ca="1">BDP("88035RLY Muni","SELF_REPRTD_GREEN_INSTR_INDCTR")</f>
        <v>#NAME?</v>
      </c>
      <c r="L1611" t="e">
        <f ca="1">BDP("88035RLY Muni","GB_MANAGEMENT_PROCEEDS")</f>
        <v>#NAME?</v>
      </c>
      <c r="M1611" t="e">
        <f ca="1">BDP("88035RLY Muni","GB_REPORTING")</f>
        <v>#NAME?</v>
      </c>
      <c r="N1611" t="e">
        <f ca="1">BDP("88035RLY Muni","GB_ASSURANCE_PROVIDERS")</f>
        <v>#NAME?</v>
      </c>
      <c r="O1611" t="e">
        <f ca="1">BDP("88035RLY Muni","GB_PROJECT_SELECTION_PROCESS")</f>
        <v>#NAME?</v>
      </c>
      <c r="P1611" t="e">
        <f ca="1">BDP("88035RLY Muni","ESG_FRAMEWORK_INDICATOR")</f>
        <v>#NAME?</v>
      </c>
      <c r="Q1611" t="e">
        <f ca="1">BDP("88035RLY Muni","BLOOMBERG_SECTOR_CODE")</f>
        <v>#NAME?</v>
      </c>
      <c r="R1611" t="e">
        <f ca="1">BDP("88035RLY Muni","ISSUER_TYPE")</f>
        <v>#NAME?</v>
      </c>
      <c r="S1611" t="e">
        <f ca="1">BDS("88035RLY Muni","ESG_PROJECT_CATEGORY", "aggregate=y")</f>
        <v>#NAME?</v>
      </c>
      <c r="T1611" t="e">
        <f ca="1">BDS("88035RLY Muni","ESG_PROJECT_SUBCATEGORY", "aggregate=y")</f>
        <v>#NAME?</v>
      </c>
    </row>
    <row r="1612" spans="1:20" x14ac:dyDescent="0.25">
      <c r="A1612" t="e">
        <f ca="1">BDP("67919PWG Muni","ID_CUSIP")</f>
        <v>#NAME?</v>
      </c>
      <c r="B1612" t="e">
        <f ca="1">BDP("67919PWG Muni","STATE_CODE")</f>
        <v>#NAME?</v>
      </c>
      <c r="C1612" t="s">
        <v>97</v>
      </c>
      <c r="D1612" t="e">
        <f ca="1">BDP("67919PWG Muni","YIELD_ON_ISSUE_DATE")</f>
        <v>#NAME?</v>
      </c>
      <c r="E1612">
        <v>3850000</v>
      </c>
      <c r="F1612" t="e">
        <f ca="1">BDP("67919PWG Muni","ISSUE_DT")</f>
        <v>#NAME?</v>
      </c>
      <c r="G1612" t="e">
        <f ca="1">BDP("67919PWG Muni","MATURITY")</f>
        <v>#NAME?</v>
      </c>
      <c r="H1612" t="e">
        <f ca="1">BDP("67919PWG Muni","MUNI_TAX_PROV")</f>
        <v>#NAME?</v>
      </c>
      <c r="I1612" t="e">
        <f ca="1">BDP("67919PWG Muni","FINANCING_TYPE")</f>
        <v>#NAME?</v>
      </c>
      <c r="J1612" t="e">
        <f ca="1">BDP("67919PWG Muni","BICS_LEVEL_2_INDUSTRY_GROUP_NAME")</f>
        <v>#NAME?</v>
      </c>
      <c r="K1612" t="e">
        <f ca="1">BDP("67919PWG Muni","SELF_REPRTD_GREEN_INSTR_INDCTR")</f>
        <v>#NAME?</v>
      </c>
      <c r="L1612" t="e">
        <f ca="1">BDP("67919PWG Muni","GB_MANAGEMENT_PROCEEDS")</f>
        <v>#NAME?</v>
      </c>
      <c r="M1612" t="e">
        <f ca="1">BDP("67919PWG Muni","GB_REPORTING")</f>
        <v>#NAME?</v>
      </c>
      <c r="N1612" t="e">
        <f ca="1">BDP("67919PWG Muni","GB_ASSURANCE_PROVIDERS")</f>
        <v>#NAME?</v>
      </c>
      <c r="O1612" t="e">
        <f ca="1">BDP("67919PWG Muni","GB_PROJECT_SELECTION_PROCESS")</f>
        <v>#NAME?</v>
      </c>
      <c r="P1612" t="e">
        <f ca="1">BDP("67919PWG Muni","ESG_FRAMEWORK_INDICATOR")</f>
        <v>#NAME?</v>
      </c>
      <c r="Q1612" t="e">
        <f ca="1">BDP("67919PWG Muni","BLOOMBERG_SECTOR_CODE")</f>
        <v>#NAME?</v>
      </c>
      <c r="R1612" t="e">
        <f ca="1">BDP("67919PWG Muni","ISSUER_TYPE")</f>
        <v>#NAME?</v>
      </c>
      <c r="S1612" t="e">
        <f ca="1">BDS("67919PWG Muni","ESG_PROJECT_CATEGORY", "aggregate=y")</f>
        <v>#NAME?</v>
      </c>
      <c r="T1612" t="e">
        <f ca="1">BDS("67919PWG Muni","ESG_PROJECT_SUBCATEGORY", "aggregate=y")</f>
        <v>#NAME?</v>
      </c>
    </row>
    <row r="1613" spans="1:20" x14ac:dyDescent="0.25">
      <c r="A1613" t="e">
        <f ca="1">BDP("67919PWH Muni","ID_CUSIP")</f>
        <v>#NAME?</v>
      </c>
      <c r="B1613" t="e">
        <f ca="1">BDP("67919PWH Muni","STATE_CODE")</f>
        <v>#NAME?</v>
      </c>
      <c r="C1613" t="s">
        <v>97</v>
      </c>
      <c r="D1613" t="e">
        <f ca="1">BDP("67919PWH Muni","YIELD_ON_ISSUE_DATE")</f>
        <v>#NAME?</v>
      </c>
      <c r="E1613">
        <v>4005000</v>
      </c>
      <c r="F1613" t="e">
        <f ca="1">BDP("67919PWH Muni","ISSUE_DT")</f>
        <v>#NAME?</v>
      </c>
      <c r="G1613" t="e">
        <f ca="1">BDP("67919PWH Muni","MATURITY")</f>
        <v>#NAME?</v>
      </c>
      <c r="H1613" t="e">
        <f ca="1">BDP("67919PWH Muni","MUNI_TAX_PROV")</f>
        <v>#NAME?</v>
      </c>
      <c r="I1613" t="e">
        <f ca="1">BDP("67919PWH Muni","FINANCING_TYPE")</f>
        <v>#NAME?</v>
      </c>
      <c r="J1613" t="e">
        <f ca="1">BDP("67919PWH Muni","BICS_LEVEL_2_INDUSTRY_GROUP_NAME")</f>
        <v>#NAME?</v>
      </c>
      <c r="K1613" t="e">
        <f ca="1">BDP("67919PWH Muni","SELF_REPRTD_GREEN_INSTR_INDCTR")</f>
        <v>#NAME?</v>
      </c>
      <c r="L1613" t="e">
        <f ca="1">BDP("67919PWH Muni","GB_MANAGEMENT_PROCEEDS")</f>
        <v>#NAME?</v>
      </c>
      <c r="M1613" t="e">
        <f ca="1">BDP("67919PWH Muni","GB_REPORTING")</f>
        <v>#NAME?</v>
      </c>
      <c r="N1613" t="e">
        <f ca="1">BDP("67919PWH Muni","GB_ASSURANCE_PROVIDERS")</f>
        <v>#NAME?</v>
      </c>
      <c r="O1613" t="e">
        <f ca="1">BDP("67919PWH Muni","GB_PROJECT_SELECTION_PROCESS")</f>
        <v>#NAME?</v>
      </c>
      <c r="P1613" t="e">
        <f ca="1">BDP("67919PWH Muni","ESG_FRAMEWORK_INDICATOR")</f>
        <v>#NAME?</v>
      </c>
      <c r="Q1613" t="e">
        <f ca="1">BDP("67919PWH Muni","BLOOMBERG_SECTOR_CODE")</f>
        <v>#NAME?</v>
      </c>
      <c r="R1613" t="e">
        <f ca="1">BDP("67919PWH Muni","ISSUER_TYPE")</f>
        <v>#NAME?</v>
      </c>
      <c r="S1613" t="e">
        <f ca="1">BDS("67919PWH Muni","ESG_PROJECT_CATEGORY", "aggregate=y")</f>
        <v>#NAME?</v>
      </c>
      <c r="T1613" t="e">
        <f ca="1">BDS("67919PWH Muni","ESG_PROJECT_SUBCATEGORY", "aggregate=y")</f>
        <v>#NAME?</v>
      </c>
    </row>
    <row r="1614" spans="1:20" x14ac:dyDescent="0.25">
      <c r="A1614" t="e">
        <f ca="1">BDP("67919PWV Muni","ID_CUSIP")</f>
        <v>#NAME?</v>
      </c>
      <c r="B1614" t="e">
        <f ca="1">BDP("67919PWV Muni","STATE_CODE")</f>
        <v>#NAME?</v>
      </c>
      <c r="C1614" t="s">
        <v>97</v>
      </c>
      <c r="D1614" t="e">
        <f ca="1">BDP("67919PWV Muni","YIELD_ON_ISSUE_DATE")</f>
        <v>#NAME?</v>
      </c>
      <c r="E1614">
        <v>7505000</v>
      </c>
      <c r="F1614" t="e">
        <f ca="1">BDP("67919PWV Muni","ISSUE_DT")</f>
        <v>#NAME?</v>
      </c>
      <c r="G1614" t="e">
        <f ca="1">BDP("67919PWV Muni","MATURITY")</f>
        <v>#NAME?</v>
      </c>
      <c r="H1614" t="e">
        <f ca="1">BDP("67919PWV Muni","MUNI_TAX_PROV")</f>
        <v>#NAME?</v>
      </c>
      <c r="I1614" t="e">
        <f ca="1">BDP("67919PWV Muni","FINANCING_TYPE")</f>
        <v>#NAME?</v>
      </c>
      <c r="J1614" t="e">
        <f ca="1">BDP("67919PWV Muni","BICS_LEVEL_2_INDUSTRY_GROUP_NAME")</f>
        <v>#NAME?</v>
      </c>
      <c r="K1614" t="e">
        <f ca="1">BDP("67919PWV Muni","SELF_REPRTD_GREEN_INSTR_INDCTR")</f>
        <v>#NAME?</v>
      </c>
      <c r="L1614" t="e">
        <f ca="1">BDP("67919PWV Muni","GB_MANAGEMENT_PROCEEDS")</f>
        <v>#NAME?</v>
      </c>
      <c r="M1614" t="e">
        <f ca="1">BDP("67919PWV Muni","GB_REPORTING")</f>
        <v>#NAME?</v>
      </c>
      <c r="N1614" t="e">
        <f ca="1">BDP("67919PWV Muni","GB_ASSURANCE_PROVIDERS")</f>
        <v>#NAME?</v>
      </c>
      <c r="O1614" t="e">
        <f ca="1">BDP("67919PWV Muni","GB_PROJECT_SELECTION_PROCESS")</f>
        <v>#NAME?</v>
      </c>
      <c r="P1614" t="e">
        <f ca="1">BDP("67919PWV Muni","ESG_FRAMEWORK_INDICATOR")</f>
        <v>#NAME?</v>
      </c>
      <c r="Q1614" t="e">
        <f ca="1">BDP("67919PWV Muni","BLOOMBERG_SECTOR_CODE")</f>
        <v>#NAME?</v>
      </c>
      <c r="R1614" t="e">
        <f ca="1">BDP("67919PWV Muni","ISSUER_TYPE")</f>
        <v>#NAME?</v>
      </c>
      <c r="S1614" t="e">
        <f ca="1">BDS("67919PWV Muni","ESG_PROJECT_CATEGORY", "aggregate=y")</f>
        <v>#NAME?</v>
      </c>
      <c r="T1614" t="e">
        <f ca="1">BDS("67919PWV Muni","ESG_PROJECT_SUBCATEGORY", "aggregate=y")</f>
        <v>#NAME?</v>
      </c>
    </row>
    <row r="1615" spans="1:20" x14ac:dyDescent="0.25">
      <c r="A1615" t="e">
        <f ca="1">BDP("88035RPS Muni","ID_CUSIP")</f>
        <v>#NAME?</v>
      </c>
      <c r="B1615" t="e">
        <f ca="1">BDP("88035RPS Muni","STATE_CODE")</f>
        <v>#NAME?</v>
      </c>
      <c r="C1615" t="s">
        <v>25</v>
      </c>
      <c r="D1615" t="e">
        <f ca="1">BDP("88035RPS Muni","YIELD_ON_ISSUE_DATE")</f>
        <v>#NAME?</v>
      </c>
      <c r="E1615">
        <v>21850000</v>
      </c>
      <c r="F1615" t="e">
        <f ca="1">BDP("88035RPS Muni","ISSUE_DT")</f>
        <v>#NAME?</v>
      </c>
      <c r="G1615" t="e">
        <f ca="1">BDP("88035RPS Muni","MATURITY")</f>
        <v>#NAME?</v>
      </c>
      <c r="H1615" t="e">
        <f ca="1">BDP("88035RPS Muni","MUNI_TAX_PROV")</f>
        <v>#NAME?</v>
      </c>
      <c r="I1615" t="e">
        <f ca="1">BDP("88035RPS Muni","FINANCING_TYPE")</f>
        <v>#NAME?</v>
      </c>
      <c r="J1615" t="e">
        <f ca="1">BDP("88035RPS Muni","BICS_LEVEL_2_INDUSTRY_GROUP_NAME")</f>
        <v>#NAME?</v>
      </c>
      <c r="K1615" t="e">
        <f ca="1">BDP("88035RPS Muni","SELF_REPRTD_GREEN_INSTR_INDCTR")</f>
        <v>#NAME?</v>
      </c>
      <c r="L1615" t="e">
        <f ca="1">BDP("88035RPS Muni","GB_MANAGEMENT_PROCEEDS")</f>
        <v>#NAME?</v>
      </c>
      <c r="M1615" t="e">
        <f ca="1">BDP("88035RPS Muni","GB_REPORTING")</f>
        <v>#NAME?</v>
      </c>
      <c r="N1615" t="e">
        <f ca="1">BDP("88035RPS Muni","GB_ASSURANCE_PROVIDERS")</f>
        <v>#NAME?</v>
      </c>
      <c r="O1615" t="e">
        <f ca="1">BDP("88035RPS Muni","GB_PROJECT_SELECTION_PROCESS")</f>
        <v>#NAME?</v>
      </c>
      <c r="P1615" t="e">
        <f ca="1">BDP("88035RPS Muni","ESG_FRAMEWORK_INDICATOR")</f>
        <v>#NAME?</v>
      </c>
      <c r="Q1615" t="e">
        <f ca="1">BDP("88035RPS Muni","BLOOMBERG_SECTOR_CODE")</f>
        <v>#NAME?</v>
      </c>
      <c r="R1615" t="e">
        <f ca="1">BDP("88035RPS Muni","ISSUER_TYPE")</f>
        <v>#NAME?</v>
      </c>
      <c r="S1615" t="e">
        <f ca="1">BDS("88035RPS Muni","ESG_PROJECT_CATEGORY", "aggregate=y")</f>
        <v>#NAME?</v>
      </c>
      <c r="T1615" t="e">
        <f ca="1">BDS("88035RPS Muni","ESG_PROJECT_SUBCATEGORY", "aggregate=y")</f>
        <v>#NAME?</v>
      </c>
    </row>
    <row r="1616" spans="1:20" x14ac:dyDescent="0.25">
      <c r="A1616" t="e">
        <f ca="1">BDP("67919PWM Muni","ID_CUSIP")</f>
        <v>#NAME?</v>
      </c>
      <c r="B1616" t="e">
        <f ca="1">BDP("67919PWM Muni","STATE_CODE")</f>
        <v>#NAME?</v>
      </c>
      <c r="C1616" t="s">
        <v>97</v>
      </c>
      <c r="D1616" t="e">
        <f ca="1">BDP("67919PWM Muni","YIELD_ON_ISSUE_DATE")</f>
        <v>#NAME?</v>
      </c>
      <c r="E1616">
        <v>4870000</v>
      </c>
      <c r="F1616" t="e">
        <f ca="1">BDP("67919PWM Muni","ISSUE_DT")</f>
        <v>#NAME?</v>
      </c>
      <c r="G1616" t="e">
        <f ca="1">BDP("67919PWM Muni","MATURITY")</f>
        <v>#NAME?</v>
      </c>
      <c r="H1616" t="e">
        <f ca="1">BDP("67919PWM Muni","MUNI_TAX_PROV")</f>
        <v>#NAME?</v>
      </c>
      <c r="I1616" t="e">
        <f ca="1">BDP("67919PWM Muni","FINANCING_TYPE")</f>
        <v>#NAME?</v>
      </c>
      <c r="J1616" t="e">
        <f ca="1">BDP("67919PWM Muni","BICS_LEVEL_2_INDUSTRY_GROUP_NAME")</f>
        <v>#NAME?</v>
      </c>
      <c r="K1616" t="e">
        <f ca="1">BDP("67919PWM Muni","SELF_REPRTD_GREEN_INSTR_INDCTR")</f>
        <v>#NAME?</v>
      </c>
      <c r="L1616" t="e">
        <f ca="1">BDP("67919PWM Muni","GB_MANAGEMENT_PROCEEDS")</f>
        <v>#NAME?</v>
      </c>
      <c r="M1616" t="e">
        <f ca="1">BDP("67919PWM Muni","GB_REPORTING")</f>
        <v>#NAME?</v>
      </c>
      <c r="N1616" t="e">
        <f ca="1">BDP("67919PWM Muni","GB_ASSURANCE_PROVIDERS")</f>
        <v>#NAME?</v>
      </c>
      <c r="O1616" t="e">
        <f ca="1">BDP("67919PWM Muni","GB_PROJECT_SELECTION_PROCESS")</f>
        <v>#NAME?</v>
      </c>
      <c r="P1616" t="e">
        <f ca="1">BDP("67919PWM Muni","ESG_FRAMEWORK_INDICATOR")</f>
        <v>#NAME?</v>
      </c>
      <c r="Q1616" t="e">
        <f ca="1">BDP("67919PWM Muni","BLOOMBERG_SECTOR_CODE")</f>
        <v>#NAME?</v>
      </c>
      <c r="R1616" t="e">
        <f ca="1">BDP("67919PWM Muni","ISSUER_TYPE")</f>
        <v>#NAME?</v>
      </c>
      <c r="S1616" t="e">
        <f ca="1">BDS("67919PWM Muni","ESG_PROJECT_CATEGORY", "aggregate=y")</f>
        <v>#NAME?</v>
      </c>
      <c r="T1616" t="e">
        <f ca="1">BDS("67919PWM Muni","ESG_PROJECT_SUBCATEGORY", "aggregate=y")</f>
        <v>#NAME?</v>
      </c>
    </row>
    <row r="1617" spans="1:20" x14ac:dyDescent="0.25">
      <c r="A1617" t="e">
        <f ca="1">BDP("88035RBJ Muni","ID_CUSIP")</f>
        <v>#NAME?</v>
      </c>
      <c r="B1617" t="e">
        <f ca="1">BDP("88035RBJ Muni","STATE_CODE")</f>
        <v>#NAME?</v>
      </c>
      <c r="C1617" t="s">
        <v>25</v>
      </c>
      <c r="D1617" t="e">
        <f ca="1">BDP("88035RBJ Muni","YIELD_ON_ISSUE_DATE")</f>
        <v>#NAME?</v>
      </c>
      <c r="E1617">
        <v>670000</v>
      </c>
      <c r="F1617" t="e">
        <f ca="1">BDP("88035RBJ Muni","ISSUE_DT")</f>
        <v>#NAME?</v>
      </c>
      <c r="G1617" t="e">
        <f ca="1">BDP("88035RBJ Muni","MATURITY")</f>
        <v>#NAME?</v>
      </c>
      <c r="H1617" t="e">
        <f ca="1">BDP("88035RBJ Muni","MUNI_TAX_PROV")</f>
        <v>#NAME?</v>
      </c>
      <c r="I1617" t="e">
        <f ca="1">BDP("88035RBJ Muni","FINANCING_TYPE")</f>
        <v>#NAME?</v>
      </c>
      <c r="J1617" t="e">
        <f ca="1">BDP("88035RBJ Muni","BICS_LEVEL_2_INDUSTRY_GROUP_NAME")</f>
        <v>#NAME?</v>
      </c>
      <c r="K1617" t="e">
        <f ca="1">BDP("88035RBJ Muni","SELF_REPRTD_GREEN_INSTR_INDCTR")</f>
        <v>#NAME?</v>
      </c>
      <c r="L1617" t="e">
        <f ca="1">BDP("88035RBJ Muni","GB_MANAGEMENT_PROCEEDS")</f>
        <v>#NAME?</v>
      </c>
      <c r="M1617" t="e">
        <f ca="1">BDP("88035RBJ Muni","GB_REPORTING")</f>
        <v>#NAME?</v>
      </c>
      <c r="N1617" t="e">
        <f ca="1">BDP("88035RBJ Muni","GB_ASSURANCE_PROVIDERS")</f>
        <v>#NAME?</v>
      </c>
      <c r="O1617" t="e">
        <f ca="1">BDP("88035RBJ Muni","GB_PROJECT_SELECTION_PROCESS")</f>
        <v>#NAME?</v>
      </c>
      <c r="P1617" t="e">
        <f ca="1">BDP("88035RBJ Muni","ESG_FRAMEWORK_INDICATOR")</f>
        <v>#NAME?</v>
      </c>
      <c r="Q1617" t="e">
        <f ca="1">BDP("88035RBJ Muni","BLOOMBERG_SECTOR_CODE")</f>
        <v>#NAME?</v>
      </c>
      <c r="R1617" t="e">
        <f ca="1">BDP("88035RBJ Muni","ISSUER_TYPE")</f>
        <v>#NAME?</v>
      </c>
      <c r="S1617" t="e">
        <f ca="1">BDS("88035RBJ Muni","ESG_PROJECT_CATEGORY", "aggregate=y")</f>
        <v>#NAME?</v>
      </c>
      <c r="T1617" t="e">
        <f ca="1">BDS("88035RBJ Muni","ESG_PROJECT_SUBCATEGORY", "aggregate=y")</f>
        <v>#NAME?</v>
      </c>
    </row>
    <row r="1618" spans="1:20" x14ac:dyDescent="0.25">
      <c r="A1618" t="e">
        <f ca="1">BDP("88035RPU Muni","ID_CUSIP")</f>
        <v>#NAME?</v>
      </c>
      <c r="B1618" t="e">
        <f ca="1">BDP("88035RPU Muni","STATE_CODE")</f>
        <v>#NAME?</v>
      </c>
      <c r="C1618" t="s">
        <v>25</v>
      </c>
      <c r="D1618" t="e">
        <f ca="1">BDP("88035RPU Muni","YIELD_ON_ISSUE_DATE")</f>
        <v>#NAME?</v>
      </c>
      <c r="E1618">
        <v>27535000</v>
      </c>
      <c r="F1618" t="e">
        <f ca="1">BDP("88035RPU Muni","ISSUE_DT")</f>
        <v>#NAME?</v>
      </c>
      <c r="G1618" t="e">
        <f ca="1">BDP("88035RPU Muni","MATURITY")</f>
        <v>#NAME?</v>
      </c>
      <c r="H1618" t="e">
        <f ca="1">BDP("88035RPU Muni","MUNI_TAX_PROV")</f>
        <v>#NAME?</v>
      </c>
      <c r="I1618" t="e">
        <f ca="1">BDP("88035RPU Muni","FINANCING_TYPE")</f>
        <v>#NAME?</v>
      </c>
      <c r="J1618" t="e">
        <f ca="1">BDP("88035RPU Muni","BICS_LEVEL_2_INDUSTRY_GROUP_NAME")</f>
        <v>#NAME?</v>
      </c>
      <c r="K1618" t="e">
        <f ca="1">BDP("88035RPU Muni","SELF_REPRTD_GREEN_INSTR_INDCTR")</f>
        <v>#NAME?</v>
      </c>
      <c r="L1618" t="e">
        <f ca="1">BDP("88035RPU Muni","GB_MANAGEMENT_PROCEEDS")</f>
        <v>#NAME?</v>
      </c>
      <c r="M1618" t="e">
        <f ca="1">BDP("88035RPU Muni","GB_REPORTING")</f>
        <v>#NAME?</v>
      </c>
      <c r="N1618" t="e">
        <f ca="1">BDP("88035RPU Muni","GB_ASSURANCE_PROVIDERS")</f>
        <v>#NAME?</v>
      </c>
      <c r="O1618" t="e">
        <f ca="1">BDP("88035RPU Muni","GB_PROJECT_SELECTION_PROCESS")</f>
        <v>#NAME?</v>
      </c>
      <c r="P1618" t="e">
        <f ca="1">BDP("88035RPU Muni","ESG_FRAMEWORK_INDICATOR")</f>
        <v>#NAME?</v>
      </c>
      <c r="Q1618" t="e">
        <f ca="1">BDP("88035RPU Muni","BLOOMBERG_SECTOR_CODE")</f>
        <v>#NAME?</v>
      </c>
      <c r="R1618" t="e">
        <f ca="1">BDP("88035RPU Muni","ISSUER_TYPE")</f>
        <v>#NAME?</v>
      </c>
      <c r="S1618" t="e">
        <f ca="1">BDS("88035RPU Muni","ESG_PROJECT_CATEGORY", "aggregate=y")</f>
        <v>#NAME?</v>
      </c>
      <c r="T1618" t="e">
        <f ca="1">BDS("88035RPU Muni","ESG_PROJECT_SUBCATEGORY", "aggregate=y")</f>
        <v>#NAME?</v>
      </c>
    </row>
    <row r="1619" spans="1:20" x14ac:dyDescent="0.25">
      <c r="A1619" t="e">
        <f ca="1">BDP("67919PWK Muni","ID_CUSIP")</f>
        <v>#NAME?</v>
      </c>
      <c r="B1619" t="e">
        <f ca="1">BDP("67919PWK Muni","STATE_CODE")</f>
        <v>#NAME?</v>
      </c>
      <c r="C1619" t="s">
        <v>97</v>
      </c>
      <c r="D1619" t="e">
        <f ca="1">BDP("67919PWK Muni","YIELD_ON_ISSUE_DATE")</f>
        <v>#NAME?</v>
      </c>
      <c r="E1619">
        <v>3970000</v>
      </c>
      <c r="F1619" t="e">
        <f ca="1">BDP("67919PWK Muni","ISSUE_DT")</f>
        <v>#NAME?</v>
      </c>
      <c r="G1619" t="e">
        <f ca="1">BDP("67919PWK Muni","MATURITY")</f>
        <v>#NAME?</v>
      </c>
      <c r="H1619" t="e">
        <f ca="1">BDP("67919PWK Muni","MUNI_TAX_PROV")</f>
        <v>#NAME?</v>
      </c>
      <c r="I1619" t="e">
        <f ca="1">BDP("67919PWK Muni","FINANCING_TYPE")</f>
        <v>#NAME?</v>
      </c>
      <c r="J1619" t="e">
        <f ca="1">BDP("67919PWK Muni","BICS_LEVEL_2_INDUSTRY_GROUP_NAME")</f>
        <v>#NAME?</v>
      </c>
      <c r="K1619" t="e">
        <f ca="1">BDP("67919PWK Muni","SELF_REPRTD_GREEN_INSTR_INDCTR")</f>
        <v>#NAME?</v>
      </c>
      <c r="L1619" t="e">
        <f ca="1">BDP("67919PWK Muni","GB_MANAGEMENT_PROCEEDS")</f>
        <v>#NAME?</v>
      </c>
      <c r="M1619" t="e">
        <f ca="1">BDP("67919PWK Muni","GB_REPORTING")</f>
        <v>#NAME?</v>
      </c>
      <c r="N1619" t="e">
        <f ca="1">BDP("67919PWK Muni","GB_ASSURANCE_PROVIDERS")</f>
        <v>#NAME?</v>
      </c>
      <c r="O1619" t="e">
        <f ca="1">BDP("67919PWK Muni","GB_PROJECT_SELECTION_PROCESS")</f>
        <v>#NAME?</v>
      </c>
      <c r="P1619" t="e">
        <f ca="1">BDP("67919PWK Muni","ESG_FRAMEWORK_INDICATOR")</f>
        <v>#NAME?</v>
      </c>
      <c r="Q1619" t="e">
        <f ca="1">BDP("67919PWK Muni","BLOOMBERG_SECTOR_CODE")</f>
        <v>#NAME?</v>
      </c>
      <c r="R1619" t="e">
        <f ca="1">BDP("67919PWK Muni","ISSUER_TYPE")</f>
        <v>#NAME?</v>
      </c>
      <c r="S1619" t="e">
        <f ca="1">BDS("67919PWK Muni","ESG_PROJECT_CATEGORY", "aggregate=y")</f>
        <v>#NAME?</v>
      </c>
      <c r="T1619" t="e">
        <f ca="1">BDS("67919PWK Muni","ESG_PROJECT_SUBCATEGORY", "aggregate=y")</f>
        <v>#NAME?</v>
      </c>
    </row>
    <row r="1620" spans="1:20" x14ac:dyDescent="0.25">
      <c r="A1620" t="e">
        <f ca="1">BDP("67919PWL Muni","ID_CUSIP")</f>
        <v>#NAME?</v>
      </c>
      <c r="B1620" t="e">
        <f ca="1">BDP("67919PWL Muni","STATE_CODE")</f>
        <v>#NAME?</v>
      </c>
      <c r="C1620" t="s">
        <v>97</v>
      </c>
      <c r="D1620" t="e">
        <f ca="1">BDP("67919PWL Muni","YIELD_ON_ISSUE_DATE")</f>
        <v>#NAME?</v>
      </c>
      <c r="E1620">
        <v>3890000</v>
      </c>
      <c r="F1620" t="e">
        <f ca="1">BDP("67919PWL Muni","ISSUE_DT")</f>
        <v>#NAME?</v>
      </c>
      <c r="G1620" t="e">
        <f ca="1">BDP("67919PWL Muni","MATURITY")</f>
        <v>#NAME?</v>
      </c>
      <c r="H1620" t="e">
        <f ca="1">BDP("67919PWL Muni","MUNI_TAX_PROV")</f>
        <v>#NAME?</v>
      </c>
      <c r="I1620" t="e">
        <f ca="1">BDP("67919PWL Muni","FINANCING_TYPE")</f>
        <v>#NAME?</v>
      </c>
      <c r="J1620" t="e">
        <f ca="1">BDP("67919PWL Muni","BICS_LEVEL_2_INDUSTRY_GROUP_NAME")</f>
        <v>#NAME?</v>
      </c>
      <c r="K1620" t="e">
        <f ca="1">BDP("67919PWL Muni","SELF_REPRTD_GREEN_INSTR_INDCTR")</f>
        <v>#NAME?</v>
      </c>
      <c r="L1620" t="e">
        <f ca="1">BDP("67919PWL Muni","GB_MANAGEMENT_PROCEEDS")</f>
        <v>#NAME?</v>
      </c>
      <c r="M1620" t="e">
        <f ca="1">BDP("67919PWL Muni","GB_REPORTING")</f>
        <v>#NAME?</v>
      </c>
      <c r="N1620" t="e">
        <f ca="1">BDP("67919PWL Muni","GB_ASSURANCE_PROVIDERS")</f>
        <v>#NAME?</v>
      </c>
      <c r="O1620" t="e">
        <f ca="1">BDP("67919PWL Muni","GB_PROJECT_SELECTION_PROCESS")</f>
        <v>#NAME?</v>
      </c>
      <c r="P1620" t="e">
        <f ca="1">BDP("67919PWL Muni","ESG_FRAMEWORK_INDICATOR")</f>
        <v>#NAME?</v>
      </c>
      <c r="Q1620" t="e">
        <f ca="1">BDP("67919PWL Muni","BLOOMBERG_SECTOR_CODE")</f>
        <v>#NAME?</v>
      </c>
      <c r="R1620" t="e">
        <f ca="1">BDP("67919PWL Muni","ISSUER_TYPE")</f>
        <v>#NAME?</v>
      </c>
      <c r="S1620" t="e">
        <f ca="1">BDS("67919PWL Muni","ESG_PROJECT_CATEGORY", "aggregate=y")</f>
        <v>#NAME?</v>
      </c>
      <c r="T1620" t="e">
        <f ca="1">BDS("67919PWL Muni","ESG_PROJECT_SUBCATEGORY", "aggregate=y")</f>
        <v>#NAME?</v>
      </c>
    </row>
    <row r="1621" spans="1:20" x14ac:dyDescent="0.25">
      <c r="A1621" t="e">
        <f ca="1">BDP("67919PXA Muni","ID_CUSIP")</f>
        <v>#NAME?</v>
      </c>
      <c r="B1621" t="e">
        <f ca="1">BDP("67919PXA Muni","STATE_CODE")</f>
        <v>#NAME?</v>
      </c>
      <c r="C1621" t="s">
        <v>97</v>
      </c>
      <c r="D1621" t="e">
        <f ca="1">BDP("67919PXA Muni","YIELD_ON_ISSUE_DATE")</f>
        <v>#NAME?</v>
      </c>
      <c r="E1621">
        <v>10010000</v>
      </c>
      <c r="F1621" t="e">
        <f ca="1">BDP("67919PXA Muni","ISSUE_DT")</f>
        <v>#NAME?</v>
      </c>
      <c r="G1621" t="e">
        <f ca="1">BDP("67919PXA Muni","MATURITY")</f>
        <v>#NAME?</v>
      </c>
      <c r="H1621" t="e">
        <f ca="1">BDP("67919PXA Muni","MUNI_TAX_PROV")</f>
        <v>#NAME?</v>
      </c>
      <c r="I1621" t="e">
        <f ca="1">BDP("67919PXA Muni","FINANCING_TYPE")</f>
        <v>#NAME?</v>
      </c>
      <c r="J1621" t="e">
        <f ca="1">BDP("67919PXA Muni","BICS_LEVEL_2_INDUSTRY_GROUP_NAME")</f>
        <v>#NAME?</v>
      </c>
      <c r="K1621" t="e">
        <f ca="1">BDP("67919PXA Muni","SELF_REPRTD_GREEN_INSTR_INDCTR")</f>
        <v>#NAME?</v>
      </c>
      <c r="L1621" t="e">
        <f ca="1">BDP("67919PXA Muni","GB_MANAGEMENT_PROCEEDS")</f>
        <v>#NAME?</v>
      </c>
      <c r="M1621" t="e">
        <f ca="1">BDP("67919PXA Muni","GB_REPORTING")</f>
        <v>#NAME?</v>
      </c>
      <c r="N1621" t="e">
        <f ca="1">BDP("67919PXA Muni","GB_ASSURANCE_PROVIDERS")</f>
        <v>#NAME?</v>
      </c>
      <c r="O1621" t="e">
        <f ca="1">BDP("67919PXA Muni","GB_PROJECT_SELECTION_PROCESS")</f>
        <v>#NAME?</v>
      </c>
      <c r="P1621" t="e">
        <f ca="1">BDP("67919PXA Muni","ESG_FRAMEWORK_INDICATOR")</f>
        <v>#NAME?</v>
      </c>
      <c r="Q1621" t="e">
        <f ca="1">BDP("67919PXA Muni","BLOOMBERG_SECTOR_CODE")</f>
        <v>#NAME?</v>
      </c>
      <c r="R1621" t="e">
        <f ca="1">BDP("67919PXA Muni","ISSUER_TYPE")</f>
        <v>#NAME?</v>
      </c>
      <c r="S1621" t="e">
        <f ca="1">BDS("67919PXA Muni","ESG_PROJECT_CATEGORY", "aggregate=y")</f>
        <v>#NAME?</v>
      </c>
      <c r="T1621" t="e">
        <f ca="1">BDS("67919PXA Muni","ESG_PROJECT_SUBCATEGORY", "aggregate=y")</f>
        <v>#NAME?</v>
      </c>
    </row>
    <row r="1622" spans="1:20" x14ac:dyDescent="0.25">
      <c r="A1622" t="e">
        <f ca="1">BDP("67919PWT Muni","ID_CUSIP")</f>
        <v>#NAME?</v>
      </c>
      <c r="B1622" t="e">
        <f ca="1">BDP("67919PWT Muni","STATE_CODE")</f>
        <v>#NAME?</v>
      </c>
      <c r="C1622" t="s">
        <v>97</v>
      </c>
      <c r="D1622" t="e">
        <f ca="1">BDP("67919PWT Muni","YIELD_ON_ISSUE_DATE")</f>
        <v>#NAME?</v>
      </c>
      <c r="E1622">
        <v>3795000</v>
      </c>
      <c r="F1622" t="e">
        <f ca="1">BDP("67919PWT Muni","ISSUE_DT")</f>
        <v>#NAME?</v>
      </c>
      <c r="G1622" t="e">
        <f ca="1">BDP("67919PWT Muni","MATURITY")</f>
        <v>#NAME?</v>
      </c>
      <c r="H1622" t="e">
        <f ca="1">BDP("67919PWT Muni","MUNI_TAX_PROV")</f>
        <v>#NAME?</v>
      </c>
      <c r="I1622" t="e">
        <f ca="1">BDP("67919PWT Muni","FINANCING_TYPE")</f>
        <v>#NAME?</v>
      </c>
      <c r="J1622" t="e">
        <f ca="1">BDP("67919PWT Muni","BICS_LEVEL_2_INDUSTRY_GROUP_NAME")</f>
        <v>#NAME?</v>
      </c>
      <c r="K1622" t="e">
        <f ca="1">BDP("67919PWT Muni","SELF_REPRTD_GREEN_INSTR_INDCTR")</f>
        <v>#NAME?</v>
      </c>
      <c r="L1622" t="e">
        <f ca="1">BDP("67919PWT Muni","GB_MANAGEMENT_PROCEEDS")</f>
        <v>#NAME?</v>
      </c>
      <c r="M1622" t="e">
        <f ca="1">BDP("67919PWT Muni","GB_REPORTING")</f>
        <v>#NAME?</v>
      </c>
      <c r="N1622" t="e">
        <f ca="1">BDP("67919PWT Muni","GB_ASSURANCE_PROVIDERS")</f>
        <v>#NAME?</v>
      </c>
      <c r="O1622" t="e">
        <f ca="1">BDP("67919PWT Muni","GB_PROJECT_SELECTION_PROCESS")</f>
        <v>#NAME?</v>
      </c>
      <c r="P1622" t="e">
        <f ca="1">BDP("67919PWT Muni","ESG_FRAMEWORK_INDICATOR")</f>
        <v>#NAME?</v>
      </c>
      <c r="Q1622" t="e">
        <f ca="1">BDP("67919PWT Muni","BLOOMBERG_SECTOR_CODE")</f>
        <v>#NAME?</v>
      </c>
      <c r="R1622" t="e">
        <f ca="1">BDP("67919PWT Muni","ISSUER_TYPE")</f>
        <v>#NAME?</v>
      </c>
      <c r="S1622" t="e">
        <f ca="1">BDS("67919PWT Muni","ESG_PROJECT_CATEGORY", "aggregate=y")</f>
        <v>#NAME?</v>
      </c>
      <c r="T1622" t="e">
        <f ca="1">BDS("67919PWT Muni","ESG_PROJECT_SUBCATEGORY", "aggregate=y")</f>
        <v>#NAME?</v>
      </c>
    </row>
    <row r="1623" spans="1:20" x14ac:dyDescent="0.25">
      <c r="A1623" t="e">
        <f ca="1">BDP("88035RBH Muni","ID_CUSIP")</f>
        <v>#NAME?</v>
      </c>
      <c r="B1623" t="e">
        <f ca="1">BDP("88035RBH Muni","STATE_CODE")</f>
        <v>#NAME?</v>
      </c>
      <c r="C1623" t="s">
        <v>25</v>
      </c>
      <c r="D1623" t="e">
        <f ca="1">BDP("88035RBH Muni","YIELD_ON_ISSUE_DATE")</f>
        <v>#NAME?</v>
      </c>
      <c r="E1623">
        <v>3995000</v>
      </c>
      <c r="F1623" t="e">
        <f ca="1">BDP("88035RBH Muni","ISSUE_DT")</f>
        <v>#NAME?</v>
      </c>
      <c r="G1623" t="e">
        <f ca="1">BDP("88035RBH Muni","MATURITY")</f>
        <v>#NAME?</v>
      </c>
      <c r="H1623" t="e">
        <f ca="1">BDP("88035RBH Muni","MUNI_TAX_PROV")</f>
        <v>#NAME?</v>
      </c>
      <c r="I1623" t="e">
        <f ca="1">BDP("88035RBH Muni","FINANCING_TYPE")</f>
        <v>#NAME?</v>
      </c>
      <c r="J1623" t="e">
        <f ca="1">BDP("88035RBH Muni","BICS_LEVEL_2_INDUSTRY_GROUP_NAME")</f>
        <v>#NAME?</v>
      </c>
      <c r="K1623" t="e">
        <f ca="1">BDP("88035RBH Muni","SELF_REPRTD_GREEN_INSTR_INDCTR")</f>
        <v>#NAME?</v>
      </c>
      <c r="L1623" t="e">
        <f ca="1">BDP("88035RBH Muni","GB_MANAGEMENT_PROCEEDS")</f>
        <v>#NAME?</v>
      </c>
      <c r="M1623" t="e">
        <f ca="1">BDP("88035RBH Muni","GB_REPORTING")</f>
        <v>#NAME?</v>
      </c>
      <c r="N1623" t="e">
        <f ca="1">BDP("88035RBH Muni","GB_ASSURANCE_PROVIDERS")</f>
        <v>#NAME?</v>
      </c>
      <c r="O1623" t="e">
        <f ca="1">BDP("88035RBH Muni","GB_PROJECT_SELECTION_PROCESS")</f>
        <v>#NAME?</v>
      </c>
      <c r="P1623" t="e">
        <f ca="1">BDP("88035RBH Muni","ESG_FRAMEWORK_INDICATOR")</f>
        <v>#NAME?</v>
      </c>
      <c r="Q1623" t="e">
        <f ca="1">BDP("88035RBH Muni","BLOOMBERG_SECTOR_CODE")</f>
        <v>#NAME?</v>
      </c>
      <c r="R1623" t="e">
        <f ca="1">BDP("88035RBH Muni","ISSUER_TYPE")</f>
        <v>#NAME?</v>
      </c>
      <c r="S1623" t="e">
        <f ca="1">BDS("88035RBH Muni","ESG_PROJECT_CATEGORY", "aggregate=y")</f>
        <v>#NAME?</v>
      </c>
      <c r="T1623" t="e">
        <f ca="1">BDS("88035RBH Muni","ESG_PROJECT_SUBCATEGORY", "aggregate=y")</f>
        <v>#NAME?</v>
      </c>
    </row>
    <row r="1624" spans="1:20" x14ac:dyDescent="0.25">
      <c r="A1624" t="e">
        <f ca="1">BDP("67919PWB Muni","ID_CUSIP")</f>
        <v>#NAME?</v>
      </c>
      <c r="B1624" t="e">
        <f ca="1">BDP("67919PWB Muni","STATE_CODE")</f>
        <v>#NAME?</v>
      </c>
      <c r="C1624" t="s">
        <v>97</v>
      </c>
      <c r="D1624" t="e">
        <f ca="1">BDP("67919PWB Muni","YIELD_ON_ISSUE_DATE")</f>
        <v>#NAME?</v>
      </c>
      <c r="E1624">
        <v>41680000</v>
      </c>
      <c r="F1624" t="e">
        <f ca="1">BDP("67919PWB Muni","ISSUE_DT")</f>
        <v>#NAME?</v>
      </c>
      <c r="G1624" t="e">
        <f ca="1">BDP("67919PWB Muni","MATURITY")</f>
        <v>#NAME?</v>
      </c>
      <c r="H1624" t="e">
        <f ca="1">BDP("67919PWB Muni","MUNI_TAX_PROV")</f>
        <v>#NAME?</v>
      </c>
      <c r="I1624" t="e">
        <f ca="1">BDP("67919PWB Muni","FINANCING_TYPE")</f>
        <v>#NAME?</v>
      </c>
      <c r="J1624" t="e">
        <f ca="1">BDP("67919PWB Muni","BICS_LEVEL_2_INDUSTRY_GROUP_NAME")</f>
        <v>#NAME?</v>
      </c>
      <c r="K1624" t="e">
        <f ca="1">BDP("67919PWB Muni","SELF_REPRTD_GREEN_INSTR_INDCTR")</f>
        <v>#NAME?</v>
      </c>
      <c r="L1624" t="e">
        <f ca="1">BDP("67919PWB Muni","GB_MANAGEMENT_PROCEEDS")</f>
        <v>#NAME?</v>
      </c>
      <c r="M1624" t="e">
        <f ca="1">BDP("67919PWB Muni","GB_REPORTING")</f>
        <v>#NAME?</v>
      </c>
      <c r="N1624" t="e">
        <f ca="1">BDP("67919PWB Muni","GB_ASSURANCE_PROVIDERS")</f>
        <v>#NAME?</v>
      </c>
      <c r="O1624" t="e">
        <f ca="1">BDP("67919PWB Muni","GB_PROJECT_SELECTION_PROCESS")</f>
        <v>#NAME?</v>
      </c>
      <c r="P1624" t="e">
        <f ca="1">BDP("67919PWB Muni","ESG_FRAMEWORK_INDICATOR")</f>
        <v>#NAME?</v>
      </c>
      <c r="Q1624" t="e">
        <f ca="1">BDP("67919PWB Muni","BLOOMBERG_SECTOR_CODE")</f>
        <v>#NAME?</v>
      </c>
      <c r="R1624" t="e">
        <f ca="1">BDP("67919PWB Muni","ISSUER_TYPE")</f>
        <v>#NAME?</v>
      </c>
      <c r="S1624" t="e">
        <f ca="1">BDS("67919PWB Muni","ESG_PROJECT_CATEGORY", "aggregate=y")</f>
        <v>#NAME?</v>
      </c>
      <c r="T1624" t="e">
        <f ca="1">BDS("67919PWB Muni","ESG_PROJECT_SUBCATEGORY", "aggregate=y")</f>
        <v>#NAME?</v>
      </c>
    </row>
    <row r="1625" spans="1:20" x14ac:dyDescent="0.25">
      <c r="A1625" t="e">
        <f ca="1">BDP("88035RBK Muni","ID_CUSIP")</f>
        <v>#NAME?</v>
      </c>
      <c r="B1625" t="e">
        <f ca="1">BDP("88035RBK Muni","STATE_CODE")</f>
        <v>#NAME?</v>
      </c>
      <c r="C1625" t="s">
        <v>25</v>
      </c>
      <c r="D1625" t="e">
        <f ca="1">BDP("88035RBK Muni","YIELD_ON_ISSUE_DATE")</f>
        <v>#NAME?</v>
      </c>
      <c r="E1625">
        <v>335000</v>
      </c>
      <c r="F1625" t="e">
        <f ca="1">BDP("88035RBK Muni","ISSUE_DT")</f>
        <v>#NAME?</v>
      </c>
      <c r="G1625" t="e">
        <f ca="1">BDP("88035RBK Muni","MATURITY")</f>
        <v>#NAME?</v>
      </c>
      <c r="H1625" t="e">
        <f ca="1">BDP("88035RBK Muni","MUNI_TAX_PROV")</f>
        <v>#NAME?</v>
      </c>
      <c r="I1625" t="e">
        <f ca="1">BDP("88035RBK Muni","FINANCING_TYPE")</f>
        <v>#NAME?</v>
      </c>
      <c r="J1625" t="e">
        <f ca="1">BDP("88035RBK Muni","BICS_LEVEL_2_INDUSTRY_GROUP_NAME")</f>
        <v>#NAME?</v>
      </c>
      <c r="K1625" t="e">
        <f ca="1">BDP("88035RBK Muni","SELF_REPRTD_GREEN_INSTR_INDCTR")</f>
        <v>#NAME?</v>
      </c>
      <c r="L1625" t="e">
        <f ca="1">BDP("88035RBK Muni","GB_MANAGEMENT_PROCEEDS")</f>
        <v>#NAME?</v>
      </c>
      <c r="M1625" t="e">
        <f ca="1">BDP("88035RBK Muni","GB_REPORTING")</f>
        <v>#NAME?</v>
      </c>
      <c r="N1625" t="e">
        <f ca="1">BDP("88035RBK Muni","GB_ASSURANCE_PROVIDERS")</f>
        <v>#NAME?</v>
      </c>
      <c r="O1625" t="e">
        <f ca="1">BDP("88035RBK Muni","GB_PROJECT_SELECTION_PROCESS")</f>
        <v>#NAME?</v>
      </c>
      <c r="P1625" t="e">
        <f ca="1">BDP("88035RBK Muni","ESG_FRAMEWORK_INDICATOR")</f>
        <v>#NAME?</v>
      </c>
      <c r="Q1625" t="e">
        <f ca="1">BDP("88035RBK Muni","BLOOMBERG_SECTOR_CODE")</f>
        <v>#NAME?</v>
      </c>
      <c r="R1625" t="e">
        <f ca="1">BDP("88035RBK Muni","ISSUER_TYPE")</f>
        <v>#NAME?</v>
      </c>
      <c r="S1625" t="e">
        <f ca="1">BDS("88035RBK Muni","ESG_PROJECT_CATEGORY", "aggregate=y")</f>
        <v>#NAME?</v>
      </c>
      <c r="T1625" t="e">
        <f ca="1">BDS("88035RBK Muni","ESG_PROJECT_SUBCATEGORY", "aggregate=y")</f>
        <v>#NAME?</v>
      </c>
    </row>
    <row r="1626" spans="1:20" x14ac:dyDescent="0.25">
      <c r="A1626" t="e">
        <f ca="1">BDP("67919PVT Muni","ID_CUSIP")</f>
        <v>#NAME?</v>
      </c>
      <c r="B1626" t="e">
        <f ca="1">BDP("67919PVT Muni","STATE_CODE")</f>
        <v>#NAME?</v>
      </c>
      <c r="C1626" t="s">
        <v>97</v>
      </c>
      <c r="D1626" t="e">
        <f ca="1">BDP("67919PVT Muni","YIELD_ON_ISSUE_DATE")</f>
        <v>#NAME?</v>
      </c>
      <c r="E1626">
        <v>4835000</v>
      </c>
      <c r="F1626" t="e">
        <f ca="1">BDP("67919PVT Muni","ISSUE_DT")</f>
        <v>#NAME?</v>
      </c>
      <c r="G1626" t="e">
        <f ca="1">BDP("67919PVT Muni","MATURITY")</f>
        <v>#NAME?</v>
      </c>
      <c r="H1626" t="e">
        <f ca="1">BDP("67919PVT Muni","MUNI_TAX_PROV")</f>
        <v>#NAME?</v>
      </c>
      <c r="I1626" t="e">
        <f ca="1">BDP("67919PVT Muni","FINANCING_TYPE")</f>
        <v>#NAME?</v>
      </c>
      <c r="J1626" t="e">
        <f ca="1">BDP("67919PVT Muni","BICS_LEVEL_2_INDUSTRY_GROUP_NAME")</f>
        <v>#NAME?</v>
      </c>
      <c r="K1626" t="e">
        <f ca="1">BDP("67919PVT Muni","SELF_REPRTD_GREEN_INSTR_INDCTR")</f>
        <v>#NAME?</v>
      </c>
      <c r="L1626" t="e">
        <f ca="1">BDP("67919PVT Muni","GB_MANAGEMENT_PROCEEDS")</f>
        <v>#NAME?</v>
      </c>
      <c r="M1626" t="e">
        <f ca="1">BDP("67919PVT Muni","GB_REPORTING")</f>
        <v>#NAME?</v>
      </c>
      <c r="N1626" t="e">
        <f ca="1">BDP("67919PVT Muni","GB_ASSURANCE_PROVIDERS")</f>
        <v>#NAME?</v>
      </c>
      <c r="O1626" t="e">
        <f ca="1">BDP("67919PVT Muni","GB_PROJECT_SELECTION_PROCESS")</f>
        <v>#NAME?</v>
      </c>
      <c r="P1626" t="e">
        <f ca="1">BDP("67919PVT Muni","ESG_FRAMEWORK_INDICATOR")</f>
        <v>#NAME?</v>
      </c>
      <c r="Q1626" t="e">
        <f ca="1">BDP("67919PVT Muni","BLOOMBERG_SECTOR_CODE")</f>
        <v>#NAME?</v>
      </c>
      <c r="R1626" t="e">
        <f ca="1">BDP("67919PVT Muni","ISSUER_TYPE")</f>
        <v>#NAME?</v>
      </c>
      <c r="S1626" t="e">
        <f ca="1">BDS("67919PVT Muni","ESG_PROJECT_CATEGORY", "aggregate=y")</f>
        <v>#NAME?</v>
      </c>
      <c r="T1626" t="e">
        <f ca="1">BDS("67919PVT Muni","ESG_PROJECT_SUBCATEGORY", "aggregate=y")</f>
        <v>#NAME?</v>
      </c>
    </row>
    <row r="1627" spans="1:20" x14ac:dyDescent="0.25">
      <c r="A1627" t="e">
        <f ca="1">BDP("67919PWU Muni","ID_CUSIP")</f>
        <v>#NAME?</v>
      </c>
      <c r="B1627" t="e">
        <f ca="1">BDP("67919PWU Muni","STATE_CODE")</f>
        <v>#NAME?</v>
      </c>
      <c r="C1627" t="s">
        <v>97</v>
      </c>
      <c r="D1627" t="e">
        <f ca="1">BDP("67919PWU Muni","YIELD_ON_ISSUE_DATE")</f>
        <v>#NAME?</v>
      </c>
      <c r="E1627">
        <v>3260000</v>
      </c>
      <c r="F1627" t="e">
        <f ca="1">BDP("67919PWU Muni","ISSUE_DT")</f>
        <v>#NAME?</v>
      </c>
      <c r="G1627" t="e">
        <f ca="1">BDP("67919PWU Muni","MATURITY")</f>
        <v>#NAME?</v>
      </c>
      <c r="H1627" t="e">
        <f ca="1">BDP("67919PWU Muni","MUNI_TAX_PROV")</f>
        <v>#NAME?</v>
      </c>
      <c r="I1627" t="e">
        <f ca="1">BDP("67919PWU Muni","FINANCING_TYPE")</f>
        <v>#NAME?</v>
      </c>
      <c r="J1627" t="e">
        <f ca="1">BDP("67919PWU Muni","BICS_LEVEL_2_INDUSTRY_GROUP_NAME")</f>
        <v>#NAME?</v>
      </c>
      <c r="K1627" t="e">
        <f ca="1">BDP("67919PWU Muni","SELF_REPRTD_GREEN_INSTR_INDCTR")</f>
        <v>#NAME?</v>
      </c>
      <c r="L1627" t="e">
        <f ca="1">BDP("67919PWU Muni","GB_MANAGEMENT_PROCEEDS")</f>
        <v>#NAME?</v>
      </c>
      <c r="M1627" t="e">
        <f ca="1">BDP("67919PWU Muni","GB_REPORTING")</f>
        <v>#NAME?</v>
      </c>
      <c r="N1627" t="e">
        <f ca="1">BDP("67919PWU Muni","GB_ASSURANCE_PROVIDERS")</f>
        <v>#NAME?</v>
      </c>
      <c r="O1627" t="e">
        <f ca="1">BDP("67919PWU Muni","GB_PROJECT_SELECTION_PROCESS")</f>
        <v>#NAME?</v>
      </c>
      <c r="P1627" t="e">
        <f ca="1">BDP("67919PWU Muni","ESG_FRAMEWORK_INDICATOR")</f>
        <v>#NAME?</v>
      </c>
      <c r="Q1627" t="e">
        <f ca="1">BDP("67919PWU Muni","BLOOMBERG_SECTOR_CODE")</f>
        <v>#NAME?</v>
      </c>
      <c r="R1627" t="e">
        <f ca="1">BDP("67919PWU Muni","ISSUER_TYPE")</f>
        <v>#NAME?</v>
      </c>
      <c r="S1627" t="e">
        <f ca="1">BDS("67919PWU Muni","ESG_PROJECT_CATEGORY", "aggregate=y")</f>
        <v>#NAME?</v>
      </c>
      <c r="T1627" t="e">
        <f ca="1">BDS("67919PWU Muni","ESG_PROJECT_SUBCATEGORY", "aggregate=y")</f>
        <v>#NAME?</v>
      </c>
    </row>
    <row r="1628" spans="1:20" x14ac:dyDescent="0.25">
      <c r="A1628" t="e">
        <f ca="1">BDP("88035R4N Muni","ID_CUSIP")</f>
        <v>#NAME?</v>
      </c>
      <c r="B1628" t="e">
        <f ca="1">BDP("88035R4N Muni","STATE_CODE")</f>
        <v>#NAME?</v>
      </c>
      <c r="C1628" t="s">
        <v>25</v>
      </c>
      <c r="D1628" t="e">
        <f ca="1">BDP("88035R4N Muni","YIELD_ON_ISSUE_DATE")</f>
        <v>#NAME?</v>
      </c>
      <c r="E1628">
        <v>9340000</v>
      </c>
      <c r="F1628" t="e">
        <f ca="1">BDP("88035R4N Muni","ISSUE_DT")</f>
        <v>#NAME?</v>
      </c>
      <c r="G1628" t="e">
        <f ca="1">BDP("88035R4N Muni","MATURITY")</f>
        <v>#NAME?</v>
      </c>
      <c r="H1628" t="e">
        <f ca="1">BDP("88035R4N Muni","MUNI_TAX_PROV")</f>
        <v>#NAME?</v>
      </c>
      <c r="I1628" t="e">
        <f ca="1">BDP("88035R4N Muni","FINANCING_TYPE")</f>
        <v>#NAME?</v>
      </c>
      <c r="J1628" t="e">
        <f ca="1">BDP("88035R4N Muni","BICS_LEVEL_2_INDUSTRY_GROUP_NAME")</f>
        <v>#NAME?</v>
      </c>
      <c r="K1628" t="e">
        <f ca="1">BDP("88035R4N Muni","SELF_REPRTD_GREEN_INSTR_INDCTR")</f>
        <v>#NAME?</v>
      </c>
      <c r="L1628" t="e">
        <f ca="1">BDP("88035R4N Muni","GB_MANAGEMENT_PROCEEDS")</f>
        <v>#NAME?</v>
      </c>
      <c r="M1628" t="e">
        <f ca="1">BDP("88035R4N Muni","GB_REPORTING")</f>
        <v>#NAME?</v>
      </c>
      <c r="N1628" t="e">
        <f ca="1">BDP("88035R4N Muni","GB_ASSURANCE_PROVIDERS")</f>
        <v>#NAME?</v>
      </c>
      <c r="O1628" t="e">
        <f ca="1">BDP("88035R4N Muni","GB_PROJECT_SELECTION_PROCESS")</f>
        <v>#NAME?</v>
      </c>
      <c r="P1628" t="e">
        <f ca="1">BDP("88035R4N Muni","ESG_FRAMEWORK_INDICATOR")</f>
        <v>#NAME?</v>
      </c>
      <c r="Q1628" t="e">
        <f ca="1">BDP("88035R4N Muni","BLOOMBERG_SECTOR_CODE")</f>
        <v>#NAME?</v>
      </c>
      <c r="R1628" t="e">
        <f ca="1">BDP("88035R4N Muni","ISSUER_TYPE")</f>
        <v>#NAME?</v>
      </c>
      <c r="S1628" t="e">
        <f ca="1">BDS("88035R4N Muni","ESG_PROJECT_CATEGORY", "aggregate=y")</f>
        <v>#NAME?</v>
      </c>
      <c r="T1628" t="e">
        <f ca="1">BDS("88035R4N Muni","ESG_PROJECT_SUBCATEGORY", "aggregate=y")</f>
        <v>#NAME?</v>
      </c>
    </row>
    <row r="1629" spans="1:20" x14ac:dyDescent="0.25">
      <c r="A1629" t="e">
        <f ca="1">BDP("88035R4Q Muni","ID_CUSIP")</f>
        <v>#NAME?</v>
      </c>
      <c r="B1629" t="e">
        <f ca="1">BDP("88035R4Q Muni","STATE_CODE")</f>
        <v>#NAME?</v>
      </c>
      <c r="C1629" t="s">
        <v>25</v>
      </c>
      <c r="D1629" t="e">
        <f ca="1">BDP("88035R4Q Muni","YIELD_ON_ISSUE_DATE")</f>
        <v>#NAME?</v>
      </c>
      <c r="E1629">
        <v>1335000</v>
      </c>
      <c r="F1629" t="e">
        <f ca="1">BDP("88035R4Q Muni","ISSUE_DT")</f>
        <v>#NAME?</v>
      </c>
      <c r="G1629" t="e">
        <f ca="1">BDP("88035R4Q Muni","MATURITY")</f>
        <v>#NAME?</v>
      </c>
      <c r="H1629" t="e">
        <f ca="1">BDP("88035R4Q Muni","MUNI_TAX_PROV")</f>
        <v>#NAME?</v>
      </c>
      <c r="I1629" t="e">
        <f ca="1">BDP("88035R4Q Muni","FINANCING_TYPE")</f>
        <v>#NAME?</v>
      </c>
      <c r="J1629" t="e">
        <f ca="1">BDP("88035R4Q Muni","BICS_LEVEL_2_INDUSTRY_GROUP_NAME")</f>
        <v>#NAME?</v>
      </c>
      <c r="K1629" t="e">
        <f ca="1">BDP("88035R4Q Muni","SELF_REPRTD_GREEN_INSTR_INDCTR")</f>
        <v>#NAME?</v>
      </c>
      <c r="L1629" t="e">
        <f ca="1">BDP("88035R4Q Muni","GB_MANAGEMENT_PROCEEDS")</f>
        <v>#NAME?</v>
      </c>
      <c r="M1629" t="e">
        <f ca="1">BDP("88035R4Q Muni","GB_REPORTING")</f>
        <v>#NAME?</v>
      </c>
      <c r="N1629" t="e">
        <f ca="1">BDP("88035R4Q Muni","GB_ASSURANCE_PROVIDERS")</f>
        <v>#NAME?</v>
      </c>
      <c r="O1629" t="e">
        <f ca="1">BDP("88035R4Q Muni","GB_PROJECT_SELECTION_PROCESS")</f>
        <v>#NAME?</v>
      </c>
      <c r="P1629" t="e">
        <f ca="1">BDP("88035R4Q Muni","ESG_FRAMEWORK_INDICATOR")</f>
        <v>#NAME?</v>
      </c>
      <c r="Q1629" t="e">
        <f ca="1">BDP("88035R4Q Muni","BLOOMBERG_SECTOR_CODE")</f>
        <v>#NAME?</v>
      </c>
      <c r="R1629" t="e">
        <f ca="1">BDP("88035R4Q Muni","ISSUER_TYPE")</f>
        <v>#NAME?</v>
      </c>
      <c r="S1629" t="e">
        <f ca="1">BDS("88035R4Q Muni","ESG_PROJECT_CATEGORY", "aggregate=y")</f>
        <v>#NAME?</v>
      </c>
      <c r="T1629" t="e">
        <f ca="1">BDS("88035R4Q Muni","ESG_PROJECT_SUBCATEGORY", "aggregate=y")</f>
        <v>#NAME?</v>
      </c>
    </row>
    <row r="1630" spans="1:20" x14ac:dyDescent="0.25">
      <c r="A1630" t="e">
        <f ca="1">BDP("88035RLZ Muni","ID_CUSIP")</f>
        <v>#NAME?</v>
      </c>
      <c r="B1630" t="e">
        <f ca="1">BDP("88035RLZ Muni","STATE_CODE")</f>
        <v>#NAME?</v>
      </c>
      <c r="C1630" t="s">
        <v>25</v>
      </c>
      <c r="D1630" t="e">
        <f ca="1">BDP("88035RLZ Muni","YIELD_ON_ISSUE_DATE")</f>
        <v>#NAME?</v>
      </c>
      <c r="E1630">
        <v>1450000</v>
      </c>
      <c r="F1630" t="e">
        <f ca="1">BDP("88035RLZ Muni","ISSUE_DT")</f>
        <v>#NAME?</v>
      </c>
      <c r="G1630" t="e">
        <f ca="1">BDP("88035RLZ Muni","MATURITY")</f>
        <v>#NAME?</v>
      </c>
      <c r="H1630" t="e">
        <f ca="1">BDP("88035RLZ Muni","MUNI_TAX_PROV")</f>
        <v>#NAME?</v>
      </c>
      <c r="I1630" t="e">
        <f ca="1">BDP("88035RLZ Muni","FINANCING_TYPE")</f>
        <v>#NAME?</v>
      </c>
      <c r="J1630" t="e">
        <f ca="1">BDP("88035RLZ Muni","BICS_LEVEL_2_INDUSTRY_GROUP_NAME")</f>
        <v>#NAME?</v>
      </c>
      <c r="K1630" t="e">
        <f ca="1">BDP("88035RLZ Muni","SELF_REPRTD_GREEN_INSTR_INDCTR")</f>
        <v>#NAME?</v>
      </c>
      <c r="L1630" t="e">
        <f ca="1">BDP("88035RLZ Muni","GB_MANAGEMENT_PROCEEDS")</f>
        <v>#NAME?</v>
      </c>
      <c r="M1630" t="e">
        <f ca="1">BDP("88035RLZ Muni","GB_REPORTING")</f>
        <v>#NAME?</v>
      </c>
      <c r="N1630" t="e">
        <f ca="1">BDP("88035RLZ Muni","GB_ASSURANCE_PROVIDERS")</f>
        <v>#NAME?</v>
      </c>
      <c r="O1630" t="e">
        <f ca="1">BDP("88035RLZ Muni","GB_PROJECT_SELECTION_PROCESS")</f>
        <v>#NAME?</v>
      </c>
      <c r="P1630" t="e">
        <f ca="1">BDP("88035RLZ Muni","ESG_FRAMEWORK_INDICATOR")</f>
        <v>#NAME?</v>
      </c>
      <c r="Q1630" t="e">
        <f ca="1">BDP("88035RLZ Muni","BLOOMBERG_SECTOR_CODE")</f>
        <v>#NAME?</v>
      </c>
      <c r="R1630" t="e">
        <f ca="1">BDP("88035RLZ Muni","ISSUER_TYPE")</f>
        <v>#NAME?</v>
      </c>
      <c r="S1630" t="e">
        <f ca="1">BDS("88035RLZ Muni","ESG_PROJECT_CATEGORY", "aggregate=y")</f>
        <v>#NAME?</v>
      </c>
      <c r="T1630" t="e">
        <f ca="1">BDS("88035RLZ Muni","ESG_PROJECT_SUBCATEGORY", "aggregate=y")</f>
        <v>#NAME?</v>
      </c>
    </row>
    <row r="1631" spans="1:20" x14ac:dyDescent="0.25">
      <c r="A1631" t="e">
        <f ca="1">BDP("67919PWX Muni","ID_CUSIP")</f>
        <v>#NAME?</v>
      </c>
      <c r="B1631" t="e">
        <f ca="1">BDP("67919PWX Muni","STATE_CODE")</f>
        <v>#NAME?</v>
      </c>
      <c r="C1631" t="s">
        <v>97</v>
      </c>
      <c r="D1631" t="e">
        <f ca="1">BDP("67919PWX Muni","YIELD_ON_ISSUE_DATE")</f>
        <v>#NAME?</v>
      </c>
      <c r="E1631">
        <v>9935000</v>
      </c>
      <c r="F1631" t="e">
        <f ca="1">BDP("67919PWX Muni","ISSUE_DT")</f>
        <v>#NAME?</v>
      </c>
      <c r="G1631" t="e">
        <f ca="1">BDP("67919PWX Muni","MATURITY")</f>
        <v>#NAME?</v>
      </c>
      <c r="H1631" t="e">
        <f ca="1">BDP("67919PWX Muni","MUNI_TAX_PROV")</f>
        <v>#NAME?</v>
      </c>
      <c r="I1631" t="e">
        <f ca="1">BDP("67919PWX Muni","FINANCING_TYPE")</f>
        <v>#NAME?</v>
      </c>
      <c r="J1631" t="e">
        <f ca="1">BDP("67919PWX Muni","BICS_LEVEL_2_INDUSTRY_GROUP_NAME")</f>
        <v>#NAME?</v>
      </c>
      <c r="K1631" t="e">
        <f ca="1">BDP("67919PWX Muni","SELF_REPRTD_GREEN_INSTR_INDCTR")</f>
        <v>#NAME?</v>
      </c>
      <c r="L1631" t="e">
        <f ca="1">BDP("67919PWX Muni","GB_MANAGEMENT_PROCEEDS")</f>
        <v>#NAME?</v>
      </c>
      <c r="M1631" t="e">
        <f ca="1">BDP("67919PWX Muni","GB_REPORTING")</f>
        <v>#NAME?</v>
      </c>
      <c r="N1631" t="e">
        <f ca="1">BDP("67919PWX Muni","GB_ASSURANCE_PROVIDERS")</f>
        <v>#NAME?</v>
      </c>
      <c r="O1631" t="e">
        <f ca="1">BDP("67919PWX Muni","GB_PROJECT_SELECTION_PROCESS")</f>
        <v>#NAME?</v>
      </c>
      <c r="P1631" t="e">
        <f ca="1">BDP("67919PWX Muni","ESG_FRAMEWORK_INDICATOR")</f>
        <v>#NAME?</v>
      </c>
      <c r="Q1631" t="e">
        <f ca="1">BDP("67919PWX Muni","BLOOMBERG_SECTOR_CODE")</f>
        <v>#NAME?</v>
      </c>
      <c r="R1631" t="e">
        <f ca="1">BDP("67919PWX Muni","ISSUER_TYPE")</f>
        <v>#NAME?</v>
      </c>
      <c r="S1631" t="e">
        <f ca="1">BDS("67919PWX Muni","ESG_PROJECT_CATEGORY", "aggregate=y")</f>
        <v>#NAME?</v>
      </c>
      <c r="T1631" t="e">
        <f ca="1">BDS("67919PWX Muni","ESG_PROJECT_SUBCATEGORY", "aggregate=y")</f>
        <v>#NAME?</v>
      </c>
    </row>
    <row r="1632" spans="1:20" x14ac:dyDescent="0.25">
      <c r="A1632" t="e">
        <f ca="1">BDP("88035RPT Muni","ID_CUSIP")</f>
        <v>#NAME?</v>
      </c>
      <c r="B1632" t="e">
        <f ca="1">BDP("88035RPT Muni","STATE_CODE")</f>
        <v>#NAME?</v>
      </c>
      <c r="C1632" t="s">
        <v>25</v>
      </c>
      <c r="D1632" t="e">
        <f ca="1">BDP("88035RPT Muni","YIELD_ON_ISSUE_DATE")</f>
        <v>#NAME?</v>
      </c>
      <c r="E1632">
        <v>1150000</v>
      </c>
      <c r="F1632" t="e">
        <f ca="1">BDP("88035RPT Muni","ISSUE_DT")</f>
        <v>#NAME?</v>
      </c>
      <c r="G1632" t="e">
        <f ca="1">BDP("88035RPT Muni","MATURITY")</f>
        <v>#NAME?</v>
      </c>
      <c r="H1632" t="e">
        <f ca="1">BDP("88035RPT Muni","MUNI_TAX_PROV")</f>
        <v>#NAME?</v>
      </c>
      <c r="I1632" t="e">
        <f ca="1">BDP("88035RPT Muni","FINANCING_TYPE")</f>
        <v>#NAME?</v>
      </c>
      <c r="J1632" t="e">
        <f ca="1">BDP("88035RPT Muni","BICS_LEVEL_2_INDUSTRY_GROUP_NAME")</f>
        <v>#NAME?</v>
      </c>
      <c r="K1632" t="e">
        <f ca="1">BDP("88035RPT Muni","SELF_REPRTD_GREEN_INSTR_INDCTR")</f>
        <v>#NAME?</v>
      </c>
      <c r="L1632" t="e">
        <f ca="1">BDP("88035RPT Muni","GB_MANAGEMENT_PROCEEDS")</f>
        <v>#NAME?</v>
      </c>
      <c r="M1632" t="e">
        <f ca="1">BDP("88035RPT Muni","GB_REPORTING")</f>
        <v>#NAME?</v>
      </c>
      <c r="N1632" t="e">
        <f ca="1">BDP("88035RPT Muni","GB_ASSURANCE_PROVIDERS")</f>
        <v>#NAME?</v>
      </c>
      <c r="O1632" t="e">
        <f ca="1">BDP("88035RPT Muni","GB_PROJECT_SELECTION_PROCESS")</f>
        <v>#NAME?</v>
      </c>
      <c r="P1632" t="e">
        <f ca="1">BDP("88035RPT Muni","ESG_FRAMEWORK_INDICATOR")</f>
        <v>#NAME?</v>
      </c>
      <c r="Q1632" t="e">
        <f ca="1">BDP("88035RPT Muni","BLOOMBERG_SECTOR_CODE")</f>
        <v>#NAME?</v>
      </c>
      <c r="R1632" t="e">
        <f ca="1">BDP("88035RPT Muni","ISSUER_TYPE")</f>
        <v>#NAME?</v>
      </c>
      <c r="S1632" t="e">
        <f ca="1">BDS("88035RPT Muni","ESG_PROJECT_CATEGORY", "aggregate=y")</f>
        <v>#NAME?</v>
      </c>
      <c r="T1632" t="e">
        <f ca="1">BDS("88035RPT Muni","ESG_PROJECT_SUBCATEGORY", "aggregate=y")</f>
        <v>#NAME?</v>
      </c>
    </row>
    <row r="1633" spans="1:20" x14ac:dyDescent="0.25">
      <c r="A1633" t="e">
        <f ca="1">BDP("67919PVU Muni","ID_CUSIP")</f>
        <v>#NAME?</v>
      </c>
      <c r="B1633" t="e">
        <f ca="1">BDP("67919PVU Muni","STATE_CODE")</f>
        <v>#NAME?</v>
      </c>
      <c r="C1633" t="s">
        <v>97</v>
      </c>
      <c r="D1633" t="e">
        <f ca="1">BDP("67919PVU Muni","YIELD_ON_ISSUE_DATE")</f>
        <v>#NAME?</v>
      </c>
      <c r="E1633">
        <v>4480000</v>
      </c>
      <c r="F1633" t="e">
        <f ca="1">BDP("67919PVU Muni","ISSUE_DT")</f>
        <v>#NAME?</v>
      </c>
      <c r="G1633" t="e">
        <f ca="1">BDP("67919PVU Muni","MATURITY")</f>
        <v>#NAME?</v>
      </c>
      <c r="H1633" t="e">
        <f ca="1">BDP("67919PVU Muni","MUNI_TAX_PROV")</f>
        <v>#NAME?</v>
      </c>
      <c r="I1633" t="e">
        <f ca="1">BDP("67919PVU Muni","FINANCING_TYPE")</f>
        <v>#NAME?</v>
      </c>
      <c r="J1633" t="e">
        <f ca="1">BDP("67919PVU Muni","BICS_LEVEL_2_INDUSTRY_GROUP_NAME")</f>
        <v>#NAME?</v>
      </c>
      <c r="K1633" t="e">
        <f ca="1">BDP("67919PVU Muni","SELF_REPRTD_GREEN_INSTR_INDCTR")</f>
        <v>#NAME?</v>
      </c>
      <c r="L1633" t="e">
        <f ca="1">BDP("67919PVU Muni","GB_MANAGEMENT_PROCEEDS")</f>
        <v>#NAME?</v>
      </c>
      <c r="M1633" t="e">
        <f ca="1">BDP("67919PVU Muni","GB_REPORTING")</f>
        <v>#NAME?</v>
      </c>
      <c r="N1633" t="e">
        <f ca="1">BDP("67919PVU Muni","GB_ASSURANCE_PROVIDERS")</f>
        <v>#NAME?</v>
      </c>
      <c r="O1633" t="e">
        <f ca="1">BDP("67919PVU Muni","GB_PROJECT_SELECTION_PROCESS")</f>
        <v>#NAME?</v>
      </c>
      <c r="P1633" t="e">
        <f ca="1">BDP("67919PVU Muni","ESG_FRAMEWORK_INDICATOR")</f>
        <v>#NAME?</v>
      </c>
      <c r="Q1633" t="e">
        <f ca="1">BDP("67919PVU Muni","BLOOMBERG_SECTOR_CODE")</f>
        <v>#NAME?</v>
      </c>
      <c r="R1633" t="e">
        <f ca="1">BDP("67919PVU Muni","ISSUER_TYPE")</f>
        <v>#NAME?</v>
      </c>
      <c r="S1633" t="e">
        <f ca="1">BDS("67919PVU Muni","ESG_PROJECT_CATEGORY", "aggregate=y")</f>
        <v>#NAME?</v>
      </c>
      <c r="T1633" t="e">
        <f ca="1">BDS("67919PVU Muni","ESG_PROJECT_SUBCATEGORY", "aggregate=y")</f>
        <v>#NAME?</v>
      </c>
    </row>
    <row r="1634" spans="1:20" x14ac:dyDescent="0.25">
      <c r="A1634" t="e">
        <f ca="1">BDP("67919PWD Muni","ID_CUSIP")</f>
        <v>#NAME?</v>
      </c>
      <c r="B1634" t="e">
        <f ca="1">BDP("67919PWD Muni","STATE_CODE")</f>
        <v>#NAME?</v>
      </c>
      <c r="C1634" t="s">
        <v>97</v>
      </c>
      <c r="D1634" t="e">
        <f ca="1">BDP("67919PWD Muni","YIELD_ON_ISSUE_DATE")</f>
        <v>#NAME?</v>
      </c>
      <c r="E1634">
        <v>3210000</v>
      </c>
      <c r="F1634" t="e">
        <f ca="1">BDP("67919PWD Muni","ISSUE_DT")</f>
        <v>#NAME?</v>
      </c>
      <c r="G1634" t="e">
        <f ca="1">BDP("67919PWD Muni","MATURITY")</f>
        <v>#NAME?</v>
      </c>
      <c r="H1634" t="e">
        <f ca="1">BDP("67919PWD Muni","MUNI_TAX_PROV")</f>
        <v>#NAME?</v>
      </c>
      <c r="I1634" t="e">
        <f ca="1">BDP("67919PWD Muni","FINANCING_TYPE")</f>
        <v>#NAME?</v>
      </c>
      <c r="J1634" t="e">
        <f ca="1">BDP("67919PWD Muni","BICS_LEVEL_2_INDUSTRY_GROUP_NAME")</f>
        <v>#NAME?</v>
      </c>
      <c r="K1634" t="e">
        <f ca="1">BDP("67919PWD Muni","SELF_REPRTD_GREEN_INSTR_INDCTR")</f>
        <v>#NAME?</v>
      </c>
      <c r="L1634" t="e">
        <f ca="1">BDP("67919PWD Muni","GB_MANAGEMENT_PROCEEDS")</f>
        <v>#NAME?</v>
      </c>
      <c r="M1634" t="e">
        <f ca="1">BDP("67919PWD Muni","GB_REPORTING")</f>
        <v>#NAME?</v>
      </c>
      <c r="N1634" t="e">
        <f ca="1">BDP("67919PWD Muni","GB_ASSURANCE_PROVIDERS")</f>
        <v>#NAME?</v>
      </c>
      <c r="O1634" t="e">
        <f ca="1">BDP("67919PWD Muni","GB_PROJECT_SELECTION_PROCESS")</f>
        <v>#NAME?</v>
      </c>
      <c r="P1634" t="e">
        <f ca="1">BDP("67919PWD Muni","ESG_FRAMEWORK_INDICATOR")</f>
        <v>#NAME?</v>
      </c>
      <c r="Q1634" t="e">
        <f ca="1">BDP("67919PWD Muni","BLOOMBERG_SECTOR_CODE")</f>
        <v>#NAME?</v>
      </c>
      <c r="R1634" t="e">
        <f ca="1">BDP("67919PWD Muni","ISSUER_TYPE")</f>
        <v>#NAME?</v>
      </c>
      <c r="S1634" t="e">
        <f ca="1">BDS("67919PWD Muni","ESG_PROJECT_CATEGORY", "aggregate=y")</f>
        <v>#NAME?</v>
      </c>
      <c r="T1634" t="e">
        <f ca="1">BDS("67919PWD Muni","ESG_PROJECT_SUBCATEGORY", "aggregate=y")</f>
        <v>#NAME?</v>
      </c>
    </row>
    <row r="1635" spans="1:20" x14ac:dyDescent="0.25">
      <c r="A1635" t="e">
        <f ca="1">BDP("67919PWN Muni","ID_CUSIP")</f>
        <v>#NAME?</v>
      </c>
      <c r="B1635" t="e">
        <f ca="1">BDP("67919PWN Muni","STATE_CODE")</f>
        <v>#NAME?</v>
      </c>
      <c r="C1635" t="s">
        <v>97</v>
      </c>
      <c r="D1635" t="e">
        <f ca="1">BDP("67919PWN Muni","YIELD_ON_ISSUE_DATE")</f>
        <v>#NAME?</v>
      </c>
      <c r="E1635">
        <v>5115000</v>
      </c>
      <c r="F1635" t="e">
        <f ca="1">BDP("67919PWN Muni","ISSUE_DT")</f>
        <v>#NAME?</v>
      </c>
      <c r="G1635" t="e">
        <f ca="1">BDP("67919PWN Muni","MATURITY")</f>
        <v>#NAME?</v>
      </c>
      <c r="H1635" t="e">
        <f ca="1">BDP("67919PWN Muni","MUNI_TAX_PROV")</f>
        <v>#NAME?</v>
      </c>
      <c r="I1635" t="e">
        <f ca="1">BDP("67919PWN Muni","FINANCING_TYPE")</f>
        <v>#NAME?</v>
      </c>
      <c r="J1635" t="e">
        <f ca="1">BDP("67919PWN Muni","BICS_LEVEL_2_INDUSTRY_GROUP_NAME")</f>
        <v>#NAME?</v>
      </c>
      <c r="K1635" t="e">
        <f ca="1">BDP("67919PWN Muni","SELF_REPRTD_GREEN_INSTR_INDCTR")</f>
        <v>#NAME?</v>
      </c>
      <c r="L1635" t="e">
        <f ca="1">BDP("67919PWN Muni","GB_MANAGEMENT_PROCEEDS")</f>
        <v>#NAME?</v>
      </c>
      <c r="M1635" t="e">
        <f ca="1">BDP("67919PWN Muni","GB_REPORTING")</f>
        <v>#NAME?</v>
      </c>
      <c r="N1635" t="e">
        <f ca="1">BDP("67919PWN Muni","GB_ASSURANCE_PROVIDERS")</f>
        <v>#NAME?</v>
      </c>
      <c r="O1635" t="e">
        <f ca="1">BDP("67919PWN Muni","GB_PROJECT_SELECTION_PROCESS")</f>
        <v>#NAME?</v>
      </c>
      <c r="P1635" t="e">
        <f ca="1">BDP("67919PWN Muni","ESG_FRAMEWORK_INDICATOR")</f>
        <v>#NAME?</v>
      </c>
      <c r="Q1635" t="e">
        <f ca="1">BDP("67919PWN Muni","BLOOMBERG_SECTOR_CODE")</f>
        <v>#NAME?</v>
      </c>
      <c r="R1635" t="e">
        <f ca="1">BDP("67919PWN Muni","ISSUER_TYPE")</f>
        <v>#NAME?</v>
      </c>
      <c r="S1635" t="e">
        <f ca="1">BDS("67919PWN Muni","ESG_PROJECT_CATEGORY", "aggregate=y")</f>
        <v>#NAME?</v>
      </c>
      <c r="T1635" t="e">
        <f ca="1">BDS("67919PWN Muni","ESG_PROJECT_SUBCATEGORY", "aggregate=y")</f>
        <v>#NAME?</v>
      </c>
    </row>
    <row r="1636" spans="1:20" x14ac:dyDescent="0.25">
      <c r="A1636" t="e">
        <f ca="1">BDP("88035R4P Muni","ID_CUSIP")</f>
        <v>#NAME?</v>
      </c>
      <c r="B1636" t="e">
        <f ca="1">BDP("88035R4P Muni","STATE_CODE")</f>
        <v>#NAME?</v>
      </c>
      <c r="C1636" t="s">
        <v>25</v>
      </c>
      <c r="D1636" t="e">
        <f ca="1">BDP("88035R4P Muni","YIELD_ON_ISSUE_DATE")</f>
        <v>#NAME?</v>
      </c>
      <c r="E1636">
        <v>1000000</v>
      </c>
      <c r="F1636" t="e">
        <f ca="1">BDP("88035R4P Muni","ISSUE_DT")</f>
        <v>#NAME?</v>
      </c>
      <c r="G1636" t="e">
        <f ca="1">BDP("88035R4P Muni","MATURITY")</f>
        <v>#NAME?</v>
      </c>
      <c r="H1636" t="e">
        <f ca="1">BDP("88035R4P Muni","MUNI_TAX_PROV")</f>
        <v>#NAME?</v>
      </c>
      <c r="I1636" t="e">
        <f ca="1">BDP("88035R4P Muni","FINANCING_TYPE")</f>
        <v>#NAME?</v>
      </c>
      <c r="J1636" t="e">
        <f ca="1">BDP("88035R4P Muni","BICS_LEVEL_2_INDUSTRY_GROUP_NAME")</f>
        <v>#NAME?</v>
      </c>
      <c r="K1636" t="e">
        <f ca="1">BDP("88035R4P Muni","SELF_REPRTD_GREEN_INSTR_INDCTR")</f>
        <v>#NAME?</v>
      </c>
      <c r="L1636" t="e">
        <f ca="1">BDP("88035R4P Muni","GB_MANAGEMENT_PROCEEDS")</f>
        <v>#NAME?</v>
      </c>
      <c r="M1636" t="e">
        <f ca="1">BDP("88035R4P Muni","GB_REPORTING")</f>
        <v>#NAME?</v>
      </c>
      <c r="N1636" t="e">
        <f ca="1">BDP("88035R4P Muni","GB_ASSURANCE_PROVIDERS")</f>
        <v>#NAME?</v>
      </c>
      <c r="O1636" t="e">
        <f ca="1">BDP("88035R4P Muni","GB_PROJECT_SELECTION_PROCESS")</f>
        <v>#NAME?</v>
      </c>
      <c r="P1636" t="e">
        <f ca="1">BDP("88035R4P Muni","ESG_FRAMEWORK_INDICATOR")</f>
        <v>#NAME?</v>
      </c>
      <c r="Q1636" t="e">
        <f ca="1">BDP("88035R4P Muni","BLOOMBERG_SECTOR_CODE")</f>
        <v>#NAME?</v>
      </c>
      <c r="R1636" t="e">
        <f ca="1">BDP("88035R4P Muni","ISSUER_TYPE")</f>
        <v>#NAME?</v>
      </c>
      <c r="S1636" t="e">
        <f ca="1">BDS("88035R4P Muni","ESG_PROJECT_CATEGORY", "aggregate=y")</f>
        <v>#NAME?</v>
      </c>
      <c r="T1636" t="e">
        <f ca="1">BDS("88035R4P Muni","ESG_PROJECT_SUBCATEGORY", "aggregate=y")</f>
        <v>#NAME?</v>
      </c>
    </row>
    <row r="1637" spans="1:20" x14ac:dyDescent="0.25">
      <c r="A1637" t="e">
        <f ca="1">BDP("88035RPV Muni","ID_CUSIP")</f>
        <v>#NAME?</v>
      </c>
      <c r="B1637" t="e">
        <f ca="1">BDP("88035RPV Muni","STATE_CODE")</f>
        <v>#NAME?</v>
      </c>
      <c r="C1637" t="s">
        <v>25</v>
      </c>
      <c r="D1637" t="e">
        <f ca="1">BDP("88035RPV Muni","YIELD_ON_ISSUE_DATE")</f>
        <v>#NAME?</v>
      </c>
      <c r="E1637">
        <v>1450000</v>
      </c>
      <c r="F1637" t="e">
        <f ca="1">BDP("88035RPV Muni","ISSUE_DT")</f>
        <v>#NAME?</v>
      </c>
      <c r="G1637" t="e">
        <f ca="1">BDP("88035RPV Muni","MATURITY")</f>
        <v>#NAME?</v>
      </c>
      <c r="H1637" t="e">
        <f ca="1">BDP("88035RPV Muni","MUNI_TAX_PROV")</f>
        <v>#NAME?</v>
      </c>
      <c r="I1637" t="e">
        <f ca="1">BDP("88035RPV Muni","FINANCING_TYPE")</f>
        <v>#NAME?</v>
      </c>
      <c r="J1637" t="e">
        <f ca="1">BDP("88035RPV Muni","BICS_LEVEL_2_INDUSTRY_GROUP_NAME")</f>
        <v>#NAME?</v>
      </c>
      <c r="K1637" t="e">
        <f ca="1">BDP("88035RPV Muni","SELF_REPRTD_GREEN_INSTR_INDCTR")</f>
        <v>#NAME?</v>
      </c>
      <c r="L1637" t="e">
        <f ca="1">BDP("88035RPV Muni","GB_MANAGEMENT_PROCEEDS")</f>
        <v>#NAME?</v>
      </c>
      <c r="M1637" t="e">
        <f ca="1">BDP("88035RPV Muni","GB_REPORTING")</f>
        <v>#NAME?</v>
      </c>
      <c r="N1637" t="e">
        <f ca="1">BDP("88035RPV Muni","GB_ASSURANCE_PROVIDERS")</f>
        <v>#NAME?</v>
      </c>
      <c r="O1637" t="e">
        <f ca="1">BDP("88035RPV Muni","GB_PROJECT_SELECTION_PROCESS")</f>
        <v>#NAME?</v>
      </c>
      <c r="P1637" t="e">
        <f ca="1">BDP("88035RPV Muni","ESG_FRAMEWORK_INDICATOR")</f>
        <v>#NAME?</v>
      </c>
      <c r="Q1637" t="e">
        <f ca="1">BDP("88035RPV Muni","BLOOMBERG_SECTOR_CODE")</f>
        <v>#NAME?</v>
      </c>
      <c r="R1637" t="e">
        <f ca="1">BDP("88035RPV Muni","ISSUER_TYPE")</f>
        <v>#NAME?</v>
      </c>
      <c r="S1637" t="e">
        <f ca="1">BDS("88035RPV Muni","ESG_PROJECT_CATEGORY", "aggregate=y")</f>
        <v>#NAME?</v>
      </c>
      <c r="T1637" t="e">
        <f ca="1">BDS("88035RPV Muni","ESG_PROJECT_SUBCATEGORY", "aggregate=y")</f>
        <v>#NAME?</v>
      </c>
    </row>
    <row r="1638" spans="1:20" x14ac:dyDescent="0.25">
      <c r="A1638" t="e">
        <f ca="1">BDP("88035ML2 Muni","ID_CUSIP")</f>
        <v>#NAME?</v>
      </c>
      <c r="B1638" t="e">
        <f ca="1">BDP("88035ML2 Muni","STATE_CODE")</f>
        <v>#NAME?</v>
      </c>
      <c r="C1638" t="s">
        <v>25</v>
      </c>
      <c r="D1638" t="e">
        <f ca="1">BDP("88035ML2 Muni","YIELD_ON_ISSUE_DATE")</f>
        <v>#NAME?</v>
      </c>
      <c r="E1638">
        <v>9480000</v>
      </c>
      <c r="F1638" t="e">
        <f ca="1">BDP("88035ML2 Muni","ISSUE_DT")</f>
        <v>#NAME?</v>
      </c>
      <c r="G1638" t="e">
        <f ca="1">BDP("88035ML2 Muni","MATURITY")</f>
        <v>#NAME?</v>
      </c>
      <c r="H1638" t="e">
        <f ca="1">BDP("88035ML2 Muni","MUNI_TAX_PROV")</f>
        <v>#NAME?</v>
      </c>
      <c r="I1638" t="e">
        <f ca="1">BDP("88035ML2 Muni","FINANCING_TYPE")</f>
        <v>#NAME?</v>
      </c>
      <c r="J1638" t="e">
        <f ca="1">BDP("88035ML2 Muni","BICS_LEVEL_2_INDUSTRY_GROUP_NAME")</f>
        <v>#NAME?</v>
      </c>
      <c r="K1638" t="e">
        <f ca="1">BDP("88035ML2 Muni","SELF_REPRTD_GREEN_INSTR_INDCTR")</f>
        <v>#NAME?</v>
      </c>
      <c r="L1638" t="e">
        <f ca="1">BDP("88035ML2 Muni","GB_MANAGEMENT_PROCEEDS")</f>
        <v>#NAME?</v>
      </c>
      <c r="M1638" t="e">
        <f ca="1">BDP("88035ML2 Muni","GB_REPORTING")</f>
        <v>#NAME?</v>
      </c>
      <c r="N1638" t="e">
        <f ca="1">BDP("88035ML2 Muni","GB_ASSURANCE_PROVIDERS")</f>
        <v>#NAME?</v>
      </c>
      <c r="O1638" t="e">
        <f ca="1">BDP("88035ML2 Muni","GB_PROJECT_SELECTION_PROCESS")</f>
        <v>#NAME?</v>
      </c>
      <c r="P1638" t="e">
        <f ca="1">BDP("88035ML2 Muni","ESG_FRAMEWORK_INDICATOR")</f>
        <v>#NAME?</v>
      </c>
      <c r="Q1638" t="e">
        <f ca="1">BDP("88035ML2 Muni","BLOOMBERG_SECTOR_CODE")</f>
        <v>#NAME?</v>
      </c>
      <c r="R1638" t="e">
        <f ca="1">BDP("88035ML2 Muni","ISSUER_TYPE")</f>
        <v>#NAME?</v>
      </c>
      <c r="S1638" t="e">
        <f ca="1">BDS("88035ML2 Muni","ESG_PROJECT_CATEGORY", "aggregate=y")</f>
        <v>#NAME?</v>
      </c>
      <c r="T1638" t="e">
        <f ca="1">BDS("88035ML2 Muni","ESG_PROJECT_SUBCATEGORY", "aggregate=y")</f>
        <v>#NAME?</v>
      </c>
    </row>
    <row r="1639" spans="1:20" x14ac:dyDescent="0.25">
      <c r="A1639" t="e">
        <f ca="1">BDP("88035MV6 Muni","ID_CUSIP")</f>
        <v>#NAME?</v>
      </c>
      <c r="B1639" t="e">
        <f ca="1">BDP("88035MV6 Muni","STATE_CODE")</f>
        <v>#NAME?</v>
      </c>
      <c r="C1639" t="s">
        <v>25</v>
      </c>
      <c r="D1639" t="e">
        <f ca="1">BDP("88035MV6 Muni","YIELD_ON_ISSUE_DATE")</f>
        <v>#NAME?</v>
      </c>
      <c r="E1639">
        <v>8485000</v>
      </c>
      <c r="F1639" t="e">
        <f ca="1">BDP("88035MV6 Muni","ISSUE_DT")</f>
        <v>#NAME?</v>
      </c>
      <c r="G1639" t="e">
        <f ca="1">BDP("88035MV6 Muni","MATURITY")</f>
        <v>#NAME?</v>
      </c>
      <c r="H1639" t="e">
        <f ca="1">BDP("88035MV6 Muni","MUNI_TAX_PROV")</f>
        <v>#NAME?</v>
      </c>
      <c r="I1639" t="e">
        <f ca="1">BDP("88035MV6 Muni","FINANCING_TYPE")</f>
        <v>#NAME?</v>
      </c>
      <c r="J1639" t="e">
        <f ca="1">BDP("88035MV6 Muni","BICS_LEVEL_2_INDUSTRY_GROUP_NAME")</f>
        <v>#NAME?</v>
      </c>
      <c r="K1639" t="e">
        <f ca="1">BDP("88035MV6 Muni","SELF_REPRTD_GREEN_INSTR_INDCTR")</f>
        <v>#NAME?</v>
      </c>
      <c r="L1639" t="e">
        <f ca="1">BDP("88035MV6 Muni","GB_MANAGEMENT_PROCEEDS")</f>
        <v>#NAME?</v>
      </c>
      <c r="M1639" t="e">
        <f ca="1">BDP("88035MV6 Muni","GB_REPORTING")</f>
        <v>#NAME?</v>
      </c>
      <c r="N1639" t="e">
        <f ca="1">BDP("88035MV6 Muni","GB_ASSURANCE_PROVIDERS")</f>
        <v>#NAME?</v>
      </c>
      <c r="O1639" t="e">
        <f ca="1">BDP("88035MV6 Muni","GB_PROJECT_SELECTION_PROCESS")</f>
        <v>#NAME?</v>
      </c>
      <c r="P1639" t="e">
        <f ca="1">BDP("88035MV6 Muni","ESG_FRAMEWORK_INDICATOR")</f>
        <v>#NAME?</v>
      </c>
      <c r="Q1639" t="e">
        <f ca="1">BDP("88035MV6 Muni","BLOOMBERG_SECTOR_CODE")</f>
        <v>#NAME?</v>
      </c>
      <c r="R1639" t="e">
        <f ca="1">BDP("88035MV6 Muni","ISSUER_TYPE")</f>
        <v>#NAME?</v>
      </c>
      <c r="S1639" t="e">
        <f ca="1">BDS("88035MV6 Muni","ESG_PROJECT_CATEGORY", "aggregate=y")</f>
        <v>#NAME?</v>
      </c>
      <c r="T1639" t="e">
        <f ca="1">BDS("88035MV6 Muni","ESG_PROJECT_SUBCATEGORY", "aggregate=y")</f>
        <v>#NAME?</v>
      </c>
    </row>
    <row r="1640" spans="1:20" x14ac:dyDescent="0.25">
      <c r="A1640" t="e">
        <f ca="1">BDP("88035MV7 Muni","ID_CUSIP")</f>
        <v>#NAME?</v>
      </c>
      <c r="B1640" t="e">
        <f ca="1">BDP("88035MV7 Muni","STATE_CODE")</f>
        <v>#NAME?</v>
      </c>
      <c r="C1640" t="s">
        <v>25</v>
      </c>
      <c r="D1640" t="e">
        <f ca="1">BDP("88035MV7 Muni","YIELD_ON_ISSUE_DATE")</f>
        <v>#NAME?</v>
      </c>
      <c r="E1640">
        <v>2120000</v>
      </c>
      <c r="F1640" t="e">
        <f ca="1">BDP("88035MV7 Muni","ISSUE_DT")</f>
        <v>#NAME?</v>
      </c>
      <c r="G1640" t="e">
        <f ca="1">BDP("88035MV7 Muni","MATURITY")</f>
        <v>#NAME?</v>
      </c>
      <c r="H1640" t="e">
        <f ca="1">BDP("88035MV7 Muni","MUNI_TAX_PROV")</f>
        <v>#NAME?</v>
      </c>
      <c r="I1640" t="e">
        <f ca="1">BDP("88035MV7 Muni","FINANCING_TYPE")</f>
        <v>#NAME?</v>
      </c>
      <c r="J1640" t="e">
        <f ca="1">BDP("88035MV7 Muni","BICS_LEVEL_2_INDUSTRY_GROUP_NAME")</f>
        <v>#NAME?</v>
      </c>
      <c r="K1640" t="e">
        <f ca="1">BDP("88035MV7 Muni","SELF_REPRTD_GREEN_INSTR_INDCTR")</f>
        <v>#NAME?</v>
      </c>
      <c r="L1640" t="e">
        <f ca="1">BDP("88035MV7 Muni","GB_MANAGEMENT_PROCEEDS")</f>
        <v>#NAME?</v>
      </c>
      <c r="M1640" t="e">
        <f ca="1">BDP("88035MV7 Muni","GB_REPORTING")</f>
        <v>#NAME?</v>
      </c>
      <c r="N1640" t="e">
        <f ca="1">BDP("88035MV7 Muni","GB_ASSURANCE_PROVIDERS")</f>
        <v>#NAME?</v>
      </c>
      <c r="O1640" t="e">
        <f ca="1">BDP("88035MV7 Muni","GB_PROJECT_SELECTION_PROCESS")</f>
        <v>#NAME?</v>
      </c>
      <c r="P1640" t="e">
        <f ca="1">BDP("88035MV7 Muni","ESG_FRAMEWORK_INDICATOR")</f>
        <v>#NAME?</v>
      </c>
      <c r="Q1640" t="e">
        <f ca="1">BDP("88035MV7 Muni","BLOOMBERG_SECTOR_CODE")</f>
        <v>#NAME?</v>
      </c>
      <c r="R1640" t="e">
        <f ca="1">BDP("88035MV7 Muni","ISSUER_TYPE")</f>
        <v>#NAME?</v>
      </c>
      <c r="S1640" t="e">
        <f ca="1">BDS("88035MV7 Muni","ESG_PROJECT_CATEGORY", "aggregate=y")</f>
        <v>#NAME?</v>
      </c>
      <c r="T1640" t="e">
        <f ca="1">BDS("88035MV7 Muni","ESG_PROJECT_SUBCATEGORY", "aggregate=y")</f>
        <v>#NAME?</v>
      </c>
    </row>
    <row r="1641" spans="1:20" x14ac:dyDescent="0.25">
      <c r="A1641" t="e">
        <f ca="1">BDP("88035MYD Muni","ID_CUSIP")</f>
        <v>#NAME?</v>
      </c>
      <c r="B1641" t="e">
        <f ca="1">BDP("88035MYD Muni","STATE_CODE")</f>
        <v>#NAME?</v>
      </c>
      <c r="C1641" t="s">
        <v>25</v>
      </c>
      <c r="D1641" t="e">
        <f ca="1">BDP("88035MYD Muni","YIELD_ON_ISSUE_DATE")</f>
        <v>#NAME?</v>
      </c>
      <c r="E1641">
        <v>11910000</v>
      </c>
      <c r="F1641" t="e">
        <f ca="1">BDP("88035MYD Muni","ISSUE_DT")</f>
        <v>#NAME?</v>
      </c>
      <c r="G1641" t="e">
        <f ca="1">BDP("88035MYD Muni","MATURITY")</f>
        <v>#NAME?</v>
      </c>
      <c r="H1641" t="e">
        <f ca="1">BDP("88035MYD Muni","MUNI_TAX_PROV")</f>
        <v>#NAME?</v>
      </c>
      <c r="I1641" t="e">
        <f ca="1">BDP("88035MYD Muni","FINANCING_TYPE")</f>
        <v>#NAME?</v>
      </c>
      <c r="J1641" t="e">
        <f ca="1">BDP("88035MYD Muni","BICS_LEVEL_2_INDUSTRY_GROUP_NAME")</f>
        <v>#NAME?</v>
      </c>
      <c r="K1641" t="e">
        <f ca="1">BDP("88035MYD Muni","SELF_REPRTD_GREEN_INSTR_INDCTR")</f>
        <v>#NAME?</v>
      </c>
      <c r="L1641" t="e">
        <f ca="1">BDP("88035MYD Muni","GB_MANAGEMENT_PROCEEDS")</f>
        <v>#NAME?</v>
      </c>
      <c r="M1641" t="e">
        <f ca="1">BDP("88035MYD Muni","GB_REPORTING")</f>
        <v>#NAME?</v>
      </c>
      <c r="N1641" t="e">
        <f ca="1">BDP("88035MYD Muni","GB_ASSURANCE_PROVIDERS")</f>
        <v>#NAME?</v>
      </c>
      <c r="O1641" t="e">
        <f ca="1">BDP("88035MYD Muni","GB_PROJECT_SELECTION_PROCESS")</f>
        <v>#NAME?</v>
      </c>
      <c r="P1641" t="e">
        <f ca="1">BDP("88035MYD Muni","ESG_FRAMEWORK_INDICATOR")</f>
        <v>#NAME?</v>
      </c>
      <c r="Q1641" t="e">
        <f ca="1">BDP("88035MYD Muni","BLOOMBERG_SECTOR_CODE")</f>
        <v>#NAME?</v>
      </c>
      <c r="R1641" t="e">
        <f ca="1">BDP("88035MYD Muni","ISSUER_TYPE")</f>
        <v>#NAME?</v>
      </c>
      <c r="S1641" t="e">
        <f ca="1">BDS("88035MYD Muni","ESG_PROJECT_CATEGORY", "aggregate=y")</f>
        <v>#NAME?</v>
      </c>
      <c r="T1641" t="e">
        <f ca="1">BDS("88035MYD Muni","ESG_PROJECT_SUBCATEGORY", "aggregate=y")</f>
        <v>#NAME?</v>
      </c>
    </row>
    <row r="1642" spans="1:20" x14ac:dyDescent="0.25">
      <c r="A1642" t="e">
        <f ca="1">BDP("88035MYE Muni","ID_CUSIP")</f>
        <v>#NAME?</v>
      </c>
      <c r="B1642" t="e">
        <f ca="1">BDP("88035MYE Muni","STATE_CODE")</f>
        <v>#NAME?</v>
      </c>
      <c r="C1642" t="s">
        <v>25</v>
      </c>
      <c r="D1642" t="e">
        <f ca="1">BDP("88035MYE Muni","YIELD_ON_ISSUE_DATE")</f>
        <v>#NAME?</v>
      </c>
      <c r="E1642">
        <v>3970000</v>
      </c>
      <c r="F1642" t="e">
        <f ca="1">BDP("88035MYE Muni","ISSUE_DT")</f>
        <v>#NAME?</v>
      </c>
      <c r="G1642" t="e">
        <f ca="1">BDP("88035MYE Muni","MATURITY")</f>
        <v>#NAME?</v>
      </c>
      <c r="H1642" t="e">
        <f ca="1">BDP("88035MYE Muni","MUNI_TAX_PROV")</f>
        <v>#NAME?</v>
      </c>
      <c r="I1642" t="e">
        <f ca="1">BDP("88035MYE Muni","FINANCING_TYPE")</f>
        <v>#NAME?</v>
      </c>
      <c r="J1642" t="e">
        <f ca="1">BDP("88035MYE Muni","BICS_LEVEL_2_INDUSTRY_GROUP_NAME")</f>
        <v>#NAME?</v>
      </c>
      <c r="K1642" t="e">
        <f ca="1">BDP("88035MYE Muni","SELF_REPRTD_GREEN_INSTR_INDCTR")</f>
        <v>#NAME?</v>
      </c>
      <c r="L1642" t="e">
        <f ca="1">BDP("88035MYE Muni","GB_MANAGEMENT_PROCEEDS")</f>
        <v>#NAME?</v>
      </c>
      <c r="M1642" t="e">
        <f ca="1">BDP("88035MYE Muni","GB_REPORTING")</f>
        <v>#NAME?</v>
      </c>
      <c r="N1642" t="e">
        <f ca="1">BDP("88035MYE Muni","GB_ASSURANCE_PROVIDERS")</f>
        <v>#NAME?</v>
      </c>
      <c r="O1642" t="e">
        <f ca="1">BDP("88035MYE Muni","GB_PROJECT_SELECTION_PROCESS")</f>
        <v>#NAME?</v>
      </c>
      <c r="P1642" t="e">
        <f ca="1">BDP("88035MYE Muni","ESG_FRAMEWORK_INDICATOR")</f>
        <v>#NAME?</v>
      </c>
      <c r="Q1642" t="e">
        <f ca="1">BDP("88035MYE Muni","BLOOMBERG_SECTOR_CODE")</f>
        <v>#NAME?</v>
      </c>
      <c r="R1642" t="e">
        <f ca="1">BDP("88035MYE Muni","ISSUER_TYPE")</f>
        <v>#NAME?</v>
      </c>
      <c r="S1642" t="e">
        <f ca="1">BDS("88035MYE Muni","ESG_PROJECT_CATEGORY", "aggregate=y")</f>
        <v>#NAME?</v>
      </c>
      <c r="T1642" t="e">
        <f ca="1">BDS("88035MYE Muni","ESG_PROJECT_SUBCATEGORY", "aggregate=y")</f>
        <v>#NAME?</v>
      </c>
    </row>
    <row r="1643" spans="1:20" x14ac:dyDescent="0.25">
      <c r="A1643" t="e">
        <f ca="1">BDP("88035PJ3 Muni","ID_CUSIP")</f>
        <v>#NAME?</v>
      </c>
      <c r="B1643" t="e">
        <f ca="1">BDP("88035PJ3 Muni","STATE_CODE")</f>
        <v>#NAME?</v>
      </c>
      <c r="C1643" t="s">
        <v>25</v>
      </c>
      <c r="D1643" t="e">
        <f ca="1">BDP("88035PJ3 Muni","YIELD_ON_ISSUE_DATE")</f>
        <v>#NAME?</v>
      </c>
      <c r="E1643">
        <v>28500000</v>
      </c>
      <c r="F1643" t="e">
        <f ca="1">BDP("88035PJ3 Muni","ISSUE_DT")</f>
        <v>#NAME?</v>
      </c>
      <c r="G1643" t="e">
        <f ca="1">BDP("88035PJ3 Muni","MATURITY")</f>
        <v>#NAME?</v>
      </c>
      <c r="H1643" t="e">
        <f ca="1">BDP("88035PJ3 Muni","MUNI_TAX_PROV")</f>
        <v>#NAME?</v>
      </c>
      <c r="I1643" t="e">
        <f ca="1">BDP("88035PJ3 Muni","FINANCING_TYPE")</f>
        <v>#NAME?</v>
      </c>
      <c r="J1643" t="e">
        <f ca="1">BDP("88035PJ3 Muni","BICS_LEVEL_2_INDUSTRY_GROUP_NAME")</f>
        <v>#NAME?</v>
      </c>
      <c r="K1643" t="e">
        <f ca="1">BDP("88035PJ3 Muni","SELF_REPRTD_GREEN_INSTR_INDCTR")</f>
        <v>#NAME?</v>
      </c>
      <c r="L1643" t="e">
        <f ca="1">BDP("88035PJ3 Muni","GB_MANAGEMENT_PROCEEDS")</f>
        <v>#NAME?</v>
      </c>
      <c r="M1643" t="e">
        <f ca="1">BDP("88035PJ3 Muni","GB_REPORTING")</f>
        <v>#NAME?</v>
      </c>
      <c r="N1643" t="e">
        <f ca="1">BDP("88035PJ3 Muni","GB_ASSURANCE_PROVIDERS")</f>
        <v>#NAME?</v>
      </c>
      <c r="O1643" t="e">
        <f ca="1">BDP("88035PJ3 Muni","GB_PROJECT_SELECTION_PROCESS")</f>
        <v>#NAME?</v>
      </c>
      <c r="P1643" t="e">
        <f ca="1">BDP("88035PJ3 Muni","ESG_FRAMEWORK_INDICATOR")</f>
        <v>#NAME?</v>
      </c>
      <c r="Q1643" t="e">
        <f ca="1">BDP("88035PJ3 Muni","BLOOMBERG_SECTOR_CODE")</f>
        <v>#NAME?</v>
      </c>
      <c r="R1643" t="e">
        <f ca="1">BDP("88035PJ3 Muni","ISSUER_TYPE")</f>
        <v>#NAME?</v>
      </c>
      <c r="S1643" t="e">
        <f ca="1">BDS("88035PJ3 Muni","ESG_PROJECT_CATEGORY", "aggregate=y")</f>
        <v>#NAME?</v>
      </c>
      <c r="T1643" t="e">
        <f ca="1">BDS("88035PJ3 Muni","ESG_PROJECT_SUBCATEGORY", "aggregate=y")</f>
        <v>#NAME?</v>
      </c>
    </row>
    <row r="1644" spans="1:20" x14ac:dyDescent="0.25">
      <c r="A1644" t="e">
        <f ca="1">BDP("88035PJ4 Muni","ID_CUSIP")</f>
        <v>#NAME?</v>
      </c>
      <c r="B1644" t="e">
        <f ca="1">BDP("88035PJ4 Muni","STATE_CODE")</f>
        <v>#NAME?</v>
      </c>
      <c r="C1644" t="s">
        <v>25</v>
      </c>
      <c r="D1644" t="e">
        <f ca="1">BDP("88035PJ4 Muni","YIELD_ON_ISSUE_DATE")</f>
        <v>#NAME?</v>
      </c>
      <c r="E1644">
        <v>1500000</v>
      </c>
      <c r="F1644" t="e">
        <f ca="1">BDP("88035PJ4 Muni","ISSUE_DT")</f>
        <v>#NAME?</v>
      </c>
      <c r="G1644" t="e">
        <f ca="1">BDP("88035PJ4 Muni","MATURITY")</f>
        <v>#NAME?</v>
      </c>
      <c r="H1644" t="e">
        <f ca="1">BDP("88035PJ4 Muni","MUNI_TAX_PROV")</f>
        <v>#NAME?</v>
      </c>
      <c r="I1644" t="e">
        <f ca="1">BDP("88035PJ4 Muni","FINANCING_TYPE")</f>
        <v>#NAME?</v>
      </c>
      <c r="J1644" t="e">
        <f ca="1">BDP("88035PJ4 Muni","BICS_LEVEL_2_INDUSTRY_GROUP_NAME")</f>
        <v>#NAME?</v>
      </c>
      <c r="K1644" t="e">
        <f ca="1">BDP("88035PJ4 Muni","SELF_REPRTD_GREEN_INSTR_INDCTR")</f>
        <v>#NAME?</v>
      </c>
      <c r="L1644" t="e">
        <f ca="1">BDP("88035PJ4 Muni","GB_MANAGEMENT_PROCEEDS")</f>
        <v>#NAME?</v>
      </c>
      <c r="M1644" t="e">
        <f ca="1">BDP("88035PJ4 Muni","GB_REPORTING")</f>
        <v>#NAME?</v>
      </c>
      <c r="N1644" t="e">
        <f ca="1">BDP("88035PJ4 Muni","GB_ASSURANCE_PROVIDERS")</f>
        <v>#NAME?</v>
      </c>
      <c r="O1644" t="e">
        <f ca="1">BDP("88035PJ4 Muni","GB_PROJECT_SELECTION_PROCESS")</f>
        <v>#NAME?</v>
      </c>
      <c r="P1644" t="e">
        <f ca="1">BDP("88035PJ4 Muni","ESG_FRAMEWORK_INDICATOR")</f>
        <v>#NAME?</v>
      </c>
      <c r="Q1644" t="e">
        <f ca="1">BDP("88035PJ4 Muni","BLOOMBERG_SECTOR_CODE")</f>
        <v>#NAME?</v>
      </c>
      <c r="R1644" t="e">
        <f ca="1">BDP("88035PJ4 Muni","ISSUER_TYPE")</f>
        <v>#NAME?</v>
      </c>
      <c r="S1644" t="e">
        <f ca="1">BDS("88035PJ4 Muni","ESG_PROJECT_CATEGORY", "aggregate=y")</f>
        <v>#NAME?</v>
      </c>
      <c r="T1644" t="e">
        <f ca="1">BDS("88035PJ4 Muni","ESG_PROJECT_SUBCATEGORY", "aggregate=y")</f>
        <v>#NAME?</v>
      </c>
    </row>
    <row r="1645" spans="1:20" x14ac:dyDescent="0.25">
      <c r="A1645" t="e">
        <f ca="1">BDP("88035PPJ Muni","ID_CUSIP")</f>
        <v>#NAME?</v>
      </c>
      <c r="B1645" t="e">
        <f ca="1">BDP("88035PPJ Muni","STATE_CODE")</f>
        <v>#NAME?</v>
      </c>
      <c r="C1645" t="s">
        <v>25</v>
      </c>
      <c r="D1645" t="e">
        <f ca="1">BDP("88035PPJ Muni","YIELD_ON_ISSUE_DATE")</f>
        <v>#NAME?</v>
      </c>
      <c r="E1645">
        <v>11910000</v>
      </c>
      <c r="F1645" t="e">
        <f ca="1">BDP("88035PPJ Muni","ISSUE_DT")</f>
        <v>#NAME?</v>
      </c>
      <c r="G1645" t="e">
        <f ca="1">BDP("88035PPJ Muni","MATURITY")</f>
        <v>#NAME?</v>
      </c>
      <c r="H1645" t="e">
        <f ca="1">BDP("88035PPJ Muni","MUNI_TAX_PROV")</f>
        <v>#NAME?</v>
      </c>
      <c r="I1645" t="e">
        <f ca="1">BDP("88035PPJ Muni","FINANCING_TYPE")</f>
        <v>#NAME?</v>
      </c>
      <c r="J1645" t="e">
        <f ca="1">BDP("88035PPJ Muni","BICS_LEVEL_2_INDUSTRY_GROUP_NAME")</f>
        <v>#NAME?</v>
      </c>
      <c r="K1645" t="e">
        <f ca="1">BDP("88035PPJ Muni","SELF_REPRTD_GREEN_INSTR_INDCTR")</f>
        <v>#NAME?</v>
      </c>
      <c r="L1645" t="e">
        <f ca="1">BDP("88035PPJ Muni","GB_MANAGEMENT_PROCEEDS")</f>
        <v>#NAME?</v>
      </c>
      <c r="M1645" t="e">
        <f ca="1">BDP("88035PPJ Muni","GB_REPORTING")</f>
        <v>#NAME?</v>
      </c>
      <c r="N1645" t="e">
        <f ca="1">BDP("88035PPJ Muni","GB_ASSURANCE_PROVIDERS")</f>
        <v>#NAME?</v>
      </c>
      <c r="O1645" t="e">
        <f ca="1">BDP("88035PPJ Muni","GB_PROJECT_SELECTION_PROCESS")</f>
        <v>#NAME?</v>
      </c>
      <c r="P1645" t="e">
        <f ca="1">BDP("88035PPJ Muni","ESG_FRAMEWORK_INDICATOR")</f>
        <v>#NAME?</v>
      </c>
      <c r="Q1645" t="e">
        <f ca="1">BDP("88035PPJ Muni","BLOOMBERG_SECTOR_CODE")</f>
        <v>#NAME?</v>
      </c>
      <c r="R1645" t="e">
        <f ca="1">BDP("88035PPJ Muni","ISSUER_TYPE")</f>
        <v>#NAME?</v>
      </c>
      <c r="S1645" t="e">
        <f ca="1">BDS("88035PPJ Muni","ESG_PROJECT_CATEGORY", "aggregate=y")</f>
        <v>#NAME?</v>
      </c>
      <c r="T1645" t="e">
        <f ca="1">BDS("88035PPJ Muni","ESG_PROJECT_SUBCATEGORY", "aggregate=y")</f>
        <v>#NAME?</v>
      </c>
    </row>
    <row r="1646" spans="1:20" x14ac:dyDescent="0.25">
      <c r="A1646" t="e">
        <f ca="1">BDP("88035PPK Muni","ID_CUSIP")</f>
        <v>#NAME?</v>
      </c>
      <c r="B1646" t="e">
        <f ca="1">BDP("88035PPK Muni","STATE_CODE")</f>
        <v>#NAME?</v>
      </c>
      <c r="C1646" t="s">
        <v>25</v>
      </c>
      <c r="D1646" t="e">
        <f ca="1">BDP("88035PPK Muni","YIELD_ON_ISSUE_DATE")</f>
        <v>#NAME?</v>
      </c>
      <c r="E1646">
        <v>3970000</v>
      </c>
      <c r="F1646" t="e">
        <f ca="1">BDP("88035PPK Muni","ISSUE_DT")</f>
        <v>#NAME?</v>
      </c>
      <c r="G1646" t="e">
        <f ca="1">BDP("88035PPK Muni","MATURITY")</f>
        <v>#NAME?</v>
      </c>
      <c r="H1646" t="e">
        <f ca="1">BDP("88035PPK Muni","MUNI_TAX_PROV")</f>
        <v>#NAME?</v>
      </c>
      <c r="I1646" t="e">
        <f ca="1">BDP("88035PPK Muni","FINANCING_TYPE")</f>
        <v>#NAME?</v>
      </c>
      <c r="J1646" t="e">
        <f ca="1">BDP("88035PPK Muni","BICS_LEVEL_2_INDUSTRY_GROUP_NAME")</f>
        <v>#NAME?</v>
      </c>
      <c r="K1646" t="e">
        <f ca="1">BDP("88035PPK Muni","SELF_REPRTD_GREEN_INSTR_INDCTR")</f>
        <v>#NAME?</v>
      </c>
      <c r="L1646" t="e">
        <f ca="1">BDP("88035PPK Muni","GB_MANAGEMENT_PROCEEDS")</f>
        <v>#NAME?</v>
      </c>
      <c r="M1646" t="e">
        <f ca="1">BDP("88035PPK Muni","GB_REPORTING")</f>
        <v>#NAME?</v>
      </c>
      <c r="N1646" t="e">
        <f ca="1">BDP("88035PPK Muni","GB_ASSURANCE_PROVIDERS")</f>
        <v>#NAME?</v>
      </c>
      <c r="O1646" t="e">
        <f ca="1">BDP("88035PPK Muni","GB_PROJECT_SELECTION_PROCESS")</f>
        <v>#NAME?</v>
      </c>
      <c r="P1646" t="e">
        <f ca="1">BDP("88035PPK Muni","ESG_FRAMEWORK_INDICATOR")</f>
        <v>#NAME?</v>
      </c>
      <c r="Q1646" t="e">
        <f ca="1">BDP("88035PPK Muni","BLOOMBERG_SECTOR_CODE")</f>
        <v>#NAME?</v>
      </c>
      <c r="R1646" t="e">
        <f ca="1">BDP("88035PPK Muni","ISSUER_TYPE")</f>
        <v>#NAME?</v>
      </c>
      <c r="S1646" t="e">
        <f ca="1">BDS("88035PPK Muni","ESG_PROJECT_CATEGORY", "aggregate=y")</f>
        <v>#NAME?</v>
      </c>
      <c r="T1646" t="e">
        <f ca="1">BDS("88035PPK Muni","ESG_PROJECT_SUBCATEGORY", "aggregate=y")</f>
        <v>#NAME?</v>
      </c>
    </row>
    <row r="1647" spans="1:20" x14ac:dyDescent="0.25">
      <c r="A1647" t="e">
        <f ca="1">BDP("88035PWV Muni","ID_CUSIP")</f>
        <v>#NAME?</v>
      </c>
      <c r="B1647" t="e">
        <f ca="1">BDP("88035PWV Muni","STATE_CODE")</f>
        <v>#NAME?</v>
      </c>
      <c r="C1647" t="s">
        <v>25</v>
      </c>
      <c r="D1647" t="e">
        <f ca="1">BDP("88035PWV Muni","YIELD_ON_ISSUE_DATE")</f>
        <v>#NAME?</v>
      </c>
      <c r="E1647">
        <v>4380000</v>
      </c>
      <c r="F1647" t="e">
        <f ca="1">BDP("88035PWV Muni","ISSUE_DT")</f>
        <v>#NAME?</v>
      </c>
      <c r="G1647" t="e">
        <f ca="1">BDP("88035PWV Muni","MATURITY")</f>
        <v>#NAME?</v>
      </c>
      <c r="H1647" t="e">
        <f ca="1">BDP("88035PWV Muni","MUNI_TAX_PROV")</f>
        <v>#NAME?</v>
      </c>
      <c r="I1647" t="e">
        <f ca="1">BDP("88035PWV Muni","FINANCING_TYPE")</f>
        <v>#NAME?</v>
      </c>
      <c r="J1647" t="e">
        <f ca="1">BDP("88035PWV Muni","BICS_LEVEL_2_INDUSTRY_GROUP_NAME")</f>
        <v>#NAME?</v>
      </c>
      <c r="K1647" t="e">
        <f ca="1">BDP("88035PWV Muni","SELF_REPRTD_GREEN_INSTR_INDCTR")</f>
        <v>#NAME?</v>
      </c>
      <c r="L1647" t="e">
        <f ca="1">BDP("88035PWV Muni","GB_MANAGEMENT_PROCEEDS")</f>
        <v>#NAME?</v>
      </c>
      <c r="M1647" t="e">
        <f ca="1">BDP("88035PWV Muni","GB_REPORTING")</f>
        <v>#NAME?</v>
      </c>
      <c r="N1647" t="e">
        <f ca="1">BDP("88035PWV Muni","GB_ASSURANCE_PROVIDERS")</f>
        <v>#NAME?</v>
      </c>
      <c r="O1647" t="e">
        <f ca="1">BDP("88035PWV Muni","GB_PROJECT_SELECTION_PROCESS")</f>
        <v>#NAME?</v>
      </c>
      <c r="P1647" t="e">
        <f ca="1">BDP("88035PWV Muni","ESG_FRAMEWORK_INDICATOR")</f>
        <v>#NAME?</v>
      </c>
      <c r="Q1647" t="e">
        <f ca="1">BDP("88035PWV Muni","BLOOMBERG_SECTOR_CODE")</f>
        <v>#NAME?</v>
      </c>
      <c r="R1647" t="e">
        <f ca="1">BDP("88035PWV Muni","ISSUER_TYPE")</f>
        <v>#NAME?</v>
      </c>
      <c r="S1647" t="e">
        <f ca="1">BDS("88035PWV Muni","ESG_PROJECT_CATEGORY", "aggregate=y")</f>
        <v>#NAME?</v>
      </c>
      <c r="T1647" t="e">
        <f ca="1">BDS("88035PWV Muni","ESG_PROJECT_SUBCATEGORY", "aggregate=y")</f>
        <v>#NAME?</v>
      </c>
    </row>
    <row r="1648" spans="1:20" x14ac:dyDescent="0.25">
      <c r="A1648" t="e">
        <f ca="1">BDP("88035RWM Muni","ID_CUSIP")</f>
        <v>#NAME?</v>
      </c>
      <c r="B1648" t="e">
        <f ca="1">BDP("88035RWM Muni","STATE_CODE")</f>
        <v>#NAME?</v>
      </c>
      <c r="C1648" t="s">
        <v>25</v>
      </c>
      <c r="D1648" t="e">
        <f ca="1">BDP("88035RWM Muni","YIELD_ON_ISSUE_DATE")</f>
        <v>#NAME?</v>
      </c>
      <c r="E1648">
        <v>9480000</v>
      </c>
      <c r="F1648" t="e">
        <f ca="1">BDP("88035RWM Muni","ISSUE_DT")</f>
        <v>#NAME?</v>
      </c>
      <c r="G1648" t="e">
        <f ca="1">BDP("88035RWM Muni","MATURITY")</f>
        <v>#NAME?</v>
      </c>
      <c r="H1648" t="e">
        <f ca="1">BDP("88035RWM Muni","MUNI_TAX_PROV")</f>
        <v>#NAME?</v>
      </c>
      <c r="I1648" t="e">
        <f ca="1">BDP("88035RWM Muni","FINANCING_TYPE")</f>
        <v>#NAME?</v>
      </c>
      <c r="J1648" t="e">
        <f ca="1">BDP("88035RWM Muni","BICS_LEVEL_2_INDUSTRY_GROUP_NAME")</f>
        <v>#NAME?</v>
      </c>
      <c r="K1648" t="e">
        <f ca="1">BDP("88035RWM Muni","SELF_REPRTD_GREEN_INSTR_INDCTR")</f>
        <v>#NAME?</v>
      </c>
      <c r="L1648" t="e">
        <f ca="1">BDP("88035RWM Muni","GB_MANAGEMENT_PROCEEDS")</f>
        <v>#NAME?</v>
      </c>
      <c r="M1648" t="e">
        <f ca="1">BDP("88035RWM Muni","GB_REPORTING")</f>
        <v>#NAME?</v>
      </c>
      <c r="N1648" t="e">
        <f ca="1">BDP("88035RWM Muni","GB_ASSURANCE_PROVIDERS")</f>
        <v>#NAME?</v>
      </c>
      <c r="O1648" t="e">
        <f ca="1">BDP("88035RWM Muni","GB_PROJECT_SELECTION_PROCESS")</f>
        <v>#NAME?</v>
      </c>
      <c r="P1648" t="e">
        <f ca="1">BDP("88035RWM Muni","ESG_FRAMEWORK_INDICATOR")</f>
        <v>#NAME?</v>
      </c>
      <c r="Q1648" t="e">
        <f ca="1">BDP("88035RWM Muni","BLOOMBERG_SECTOR_CODE")</f>
        <v>#NAME?</v>
      </c>
      <c r="R1648" t="e">
        <f ca="1">BDP("88035RWM Muni","ISSUER_TYPE")</f>
        <v>#NAME?</v>
      </c>
      <c r="S1648" t="e">
        <f ca="1">BDS("88035RWM Muni","ESG_PROJECT_CATEGORY", "aggregate=y")</f>
        <v>#NAME?</v>
      </c>
      <c r="T1648" t="e">
        <f ca="1">BDS("88035RWM Muni","ESG_PROJECT_SUBCATEGORY", "aggregate=y")</f>
        <v>#NAME?</v>
      </c>
    </row>
    <row r="1649" spans="1:20" x14ac:dyDescent="0.25">
      <c r="A1649" t="e">
        <f ca="1">BDP("88035RWN Muni","ID_CUSIP")</f>
        <v>#NAME?</v>
      </c>
      <c r="B1649" t="e">
        <f ca="1">BDP("88035RWN Muni","STATE_CODE")</f>
        <v>#NAME?</v>
      </c>
      <c r="C1649" t="s">
        <v>25</v>
      </c>
      <c r="D1649" t="e">
        <f ca="1">BDP("88035RWN Muni","YIELD_ON_ISSUE_DATE")</f>
        <v>#NAME?</v>
      </c>
      <c r="E1649">
        <v>2370000</v>
      </c>
      <c r="F1649" t="e">
        <f ca="1">BDP("88035RWN Muni","ISSUE_DT")</f>
        <v>#NAME?</v>
      </c>
      <c r="G1649" t="e">
        <f ca="1">BDP("88035RWN Muni","MATURITY")</f>
        <v>#NAME?</v>
      </c>
      <c r="H1649" t="e">
        <f ca="1">BDP("88035RWN Muni","MUNI_TAX_PROV")</f>
        <v>#NAME?</v>
      </c>
      <c r="I1649" t="e">
        <f ca="1">BDP("88035RWN Muni","FINANCING_TYPE")</f>
        <v>#NAME?</v>
      </c>
      <c r="J1649" t="e">
        <f ca="1">BDP("88035RWN Muni","BICS_LEVEL_2_INDUSTRY_GROUP_NAME")</f>
        <v>#NAME?</v>
      </c>
      <c r="K1649" t="e">
        <f ca="1">BDP("88035RWN Muni","SELF_REPRTD_GREEN_INSTR_INDCTR")</f>
        <v>#NAME?</v>
      </c>
      <c r="L1649" t="e">
        <f ca="1">BDP("88035RWN Muni","GB_MANAGEMENT_PROCEEDS")</f>
        <v>#NAME?</v>
      </c>
      <c r="M1649" t="e">
        <f ca="1">BDP("88035RWN Muni","GB_REPORTING")</f>
        <v>#NAME?</v>
      </c>
      <c r="N1649" t="e">
        <f ca="1">BDP("88035RWN Muni","GB_ASSURANCE_PROVIDERS")</f>
        <v>#NAME?</v>
      </c>
      <c r="O1649" t="e">
        <f ca="1">BDP("88035RWN Muni","GB_PROJECT_SELECTION_PROCESS")</f>
        <v>#NAME?</v>
      </c>
      <c r="P1649" t="e">
        <f ca="1">BDP("88035RWN Muni","ESG_FRAMEWORK_INDICATOR")</f>
        <v>#NAME?</v>
      </c>
      <c r="Q1649" t="e">
        <f ca="1">BDP("88035RWN Muni","BLOOMBERG_SECTOR_CODE")</f>
        <v>#NAME?</v>
      </c>
      <c r="R1649" t="e">
        <f ca="1">BDP("88035RWN Muni","ISSUER_TYPE")</f>
        <v>#NAME?</v>
      </c>
      <c r="S1649" t="e">
        <f ca="1">BDS("88035RWN Muni","ESG_PROJECT_CATEGORY", "aggregate=y")</f>
        <v>#NAME?</v>
      </c>
      <c r="T1649" t="e">
        <f ca="1">BDS("88035RWN Muni","ESG_PROJECT_SUBCATEGORY", "aggregate=y")</f>
        <v>#NAME?</v>
      </c>
    </row>
    <row r="1650" spans="1:20" x14ac:dyDescent="0.25">
      <c r="A1650" t="e">
        <f ca="1">BDP("68609UQN Muni","ID_CUSIP")</f>
        <v>#NAME?</v>
      </c>
      <c r="B1650" t="e">
        <f ca="1">BDP("68609UQN Muni","STATE_CODE")</f>
        <v>#NAME?</v>
      </c>
      <c r="C1650" t="s">
        <v>98</v>
      </c>
      <c r="D1650" t="e">
        <f ca="1">BDP("68609UQN Muni","YIELD_ON_ISSUE_DATE")</f>
        <v>#NAME?</v>
      </c>
      <c r="E1650">
        <v>430000</v>
      </c>
      <c r="F1650" t="e">
        <f ca="1">BDP("68609UQN Muni","ISSUE_DT")</f>
        <v>#NAME?</v>
      </c>
      <c r="G1650" t="e">
        <f ca="1">BDP("68609UQN Muni","MATURITY")</f>
        <v>#NAME?</v>
      </c>
      <c r="H1650" t="e">
        <f ca="1">BDP("68609UQN Muni","MUNI_TAX_PROV")</f>
        <v>#NAME?</v>
      </c>
      <c r="I1650" t="e">
        <f ca="1">BDP("68609UQN Muni","FINANCING_TYPE")</f>
        <v>#NAME?</v>
      </c>
      <c r="J1650" t="e">
        <f ca="1">BDP("68609UQN Muni","BICS_LEVEL_2_INDUSTRY_GROUP_NAME")</f>
        <v>#NAME?</v>
      </c>
      <c r="K1650" t="e">
        <f ca="1">BDP("68609UQN Muni","SELF_REPRTD_GREEN_INSTR_INDCTR")</f>
        <v>#NAME?</v>
      </c>
      <c r="L1650" t="e">
        <f ca="1">BDP("68609UQN Muni","GB_MANAGEMENT_PROCEEDS")</f>
        <v>#NAME?</v>
      </c>
      <c r="M1650" t="e">
        <f ca="1">BDP("68609UQN Muni","GB_REPORTING")</f>
        <v>#NAME?</v>
      </c>
      <c r="N1650" t="e">
        <f ca="1">BDP("68609UQN Muni","GB_ASSURANCE_PROVIDERS")</f>
        <v>#NAME?</v>
      </c>
      <c r="O1650" t="e">
        <f ca="1">BDP("68609UQN Muni","GB_PROJECT_SELECTION_PROCESS")</f>
        <v>#NAME?</v>
      </c>
      <c r="P1650" t="e">
        <f ca="1">BDP("68609UQN Muni","ESG_FRAMEWORK_INDICATOR")</f>
        <v>#NAME?</v>
      </c>
      <c r="Q1650" t="e">
        <f ca="1">BDP("68609UQN Muni","BLOOMBERG_SECTOR_CODE")</f>
        <v>#NAME?</v>
      </c>
      <c r="R1650" t="e">
        <f ca="1">BDP("68609UQN Muni","ISSUER_TYPE")</f>
        <v>#NAME?</v>
      </c>
      <c r="S1650" t="e">
        <f ca="1">BDS("68609UQN Muni","ESG_PROJECT_CATEGORY", "aggregate=y")</f>
        <v>#NAME?</v>
      </c>
      <c r="T1650" t="e">
        <f ca="1">BDS("68609UQN Muni","ESG_PROJECT_SUBCATEGORY", "aggregate=y")</f>
        <v>#NAME?</v>
      </c>
    </row>
    <row r="1651" spans="1:20" x14ac:dyDescent="0.25">
      <c r="A1651" t="e">
        <f ca="1">BDP("68609UQP Muni","ID_CUSIP")</f>
        <v>#NAME?</v>
      </c>
      <c r="B1651" t="e">
        <f ca="1">BDP("68609UQP Muni","STATE_CODE")</f>
        <v>#NAME?</v>
      </c>
      <c r="C1651" t="s">
        <v>98</v>
      </c>
      <c r="D1651" t="e">
        <f ca="1">BDP("68609UQP Muni","YIELD_ON_ISSUE_DATE")</f>
        <v>#NAME?</v>
      </c>
      <c r="E1651">
        <v>455000</v>
      </c>
      <c r="F1651" t="e">
        <f ca="1">BDP("68609UQP Muni","ISSUE_DT")</f>
        <v>#NAME?</v>
      </c>
      <c r="G1651" t="e">
        <f ca="1">BDP("68609UQP Muni","MATURITY")</f>
        <v>#NAME?</v>
      </c>
      <c r="H1651" t="e">
        <f ca="1">BDP("68609UQP Muni","MUNI_TAX_PROV")</f>
        <v>#NAME?</v>
      </c>
      <c r="I1651" t="e">
        <f ca="1">BDP("68609UQP Muni","FINANCING_TYPE")</f>
        <v>#NAME?</v>
      </c>
      <c r="J1651" t="e">
        <f ca="1">BDP("68609UQP Muni","BICS_LEVEL_2_INDUSTRY_GROUP_NAME")</f>
        <v>#NAME?</v>
      </c>
      <c r="K1651" t="e">
        <f ca="1">BDP("68609UQP Muni","SELF_REPRTD_GREEN_INSTR_INDCTR")</f>
        <v>#NAME?</v>
      </c>
      <c r="L1651" t="e">
        <f ca="1">BDP("68609UQP Muni","GB_MANAGEMENT_PROCEEDS")</f>
        <v>#NAME?</v>
      </c>
      <c r="M1651" t="e">
        <f ca="1">BDP("68609UQP Muni","GB_REPORTING")</f>
        <v>#NAME?</v>
      </c>
      <c r="N1651" t="e">
        <f ca="1">BDP("68609UQP Muni","GB_ASSURANCE_PROVIDERS")</f>
        <v>#NAME?</v>
      </c>
      <c r="O1651" t="e">
        <f ca="1">BDP("68609UQP Muni","GB_PROJECT_SELECTION_PROCESS")</f>
        <v>#NAME?</v>
      </c>
      <c r="P1651" t="e">
        <f ca="1">BDP("68609UQP Muni","ESG_FRAMEWORK_INDICATOR")</f>
        <v>#NAME?</v>
      </c>
      <c r="Q1651" t="e">
        <f ca="1">BDP("68609UQP Muni","BLOOMBERG_SECTOR_CODE")</f>
        <v>#NAME?</v>
      </c>
      <c r="R1651" t="e">
        <f ca="1">BDP("68609UQP Muni","ISSUER_TYPE")</f>
        <v>#NAME?</v>
      </c>
      <c r="S1651" t="e">
        <f ca="1">BDS("68609UQP Muni","ESG_PROJECT_CATEGORY", "aggregate=y")</f>
        <v>#NAME?</v>
      </c>
      <c r="T1651" t="e">
        <f ca="1">BDS("68609UQP Muni","ESG_PROJECT_SUBCATEGORY", "aggregate=y")</f>
        <v>#NAME?</v>
      </c>
    </row>
    <row r="1652" spans="1:20" x14ac:dyDescent="0.25">
      <c r="A1652" t="e">
        <f ca="1">BDP("68609UQQ Muni","ID_CUSIP")</f>
        <v>#NAME?</v>
      </c>
      <c r="B1652" t="e">
        <f ca="1">BDP("68609UQQ Muni","STATE_CODE")</f>
        <v>#NAME?</v>
      </c>
      <c r="C1652" t="s">
        <v>98</v>
      </c>
      <c r="D1652" t="e">
        <f ca="1">BDP("68609UQQ Muni","YIELD_ON_ISSUE_DATE")</f>
        <v>#NAME?</v>
      </c>
      <c r="E1652">
        <v>480000</v>
      </c>
      <c r="F1652" t="e">
        <f ca="1">BDP("68609UQQ Muni","ISSUE_DT")</f>
        <v>#NAME?</v>
      </c>
      <c r="G1652" t="e">
        <f ca="1">BDP("68609UQQ Muni","MATURITY")</f>
        <v>#NAME?</v>
      </c>
      <c r="H1652" t="e">
        <f ca="1">BDP("68609UQQ Muni","MUNI_TAX_PROV")</f>
        <v>#NAME?</v>
      </c>
      <c r="I1652" t="e">
        <f ca="1">BDP("68609UQQ Muni","FINANCING_TYPE")</f>
        <v>#NAME?</v>
      </c>
      <c r="J1652" t="e">
        <f ca="1">BDP("68609UQQ Muni","BICS_LEVEL_2_INDUSTRY_GROUP_NAME")</f>
        <v>#NAME?</v>
      </c>
      <c r="K1652" t="e">
        <f ca="1">BDP("68609UQQ Muni","SELF_REPRTD_GREEN_INSTR_INDCTR")</f>
        <v>#NAME?</v>
      </c>
      <c r="L1652" t="e">
        <f ca="1">BDP("68609UQQ Muni","GB_MANAGEMENT_PROCEEDS")</f>
        <v>#NAME?</v>
      </c>
      <c r="M1652" t="e">
        <f ca="1">BDP("68609UQQ Muni","GB_REPORTING")</f>
        <v>#NAME?</v>
      </c>
      <c r="N1652" t="e">
        <f ca="1">BDP("68609UQQ Muni","GB_ASSURANCE_PROVIDERS")</f>
        <v>#NAME?</v>
      </c>
      <c r="O1652" t="e">
        <f ca="1">BDP("68609UQQ Muni","GB_PROJECT_SELECTION_PROCESS")</f>
        <v>#NAME?</v>
      </c>
      <c r="P1652" t="e">
        <f ca="1">BDP("68609UQQ Muni","ESG_FRAMEWORK_INDICATOR")</f>
        <v>#NAME?</v>
      </c>
      <c r="Q1652" t="e">
        <f ca="1">BDP("68609UQQ Muni","BLOOMBERG_SECTOR_CODE")</f>
        <v>#NAME?</v>
      </c>
      <c r="R1652" t="e">
        <f ca="1">BDP("68609UQQ Muni","ISSUER_TYPE")</f>
        <v>#NAME?</v>
      </c>
      <c r="S1652" t="e">
        <f ca="1">BDS("68609UQQ Muni","ESG_PROJECT_CATEGORY", "aggregate=y")</f>
        <v>#NAME?</v>
      </c>
      <c r="T1652" t="e">
        <f ca="1">BDS("68609UQQ Muni","ESG_PROJECT_SUBCATEGORY", "aggregate=y")</f>
        <v>#NAME?</v>
      </c>
    </row>
    <row r="1653" spans="1:20" x14ac:dyDescent="0.25">
      <c r="A1653" t="e">
        <f ca="1">BDP("68609UQR Muni","ID_CUSIP")</f>
        <v>#NAME?</v>
      </c>
      <c r="B1653" t="e">
        <f ca="1">BDP("68609UQR Muni","STATE_CODE")</f>
        <v>#NAME?</v>
      </c>
      <c r="C1653" t="s">
        <v>98</v>
      </c>
      <c r="D1653" t="e">
        <f ca="1">BDP("68609UQR Muni","YIELD_ON_ISSUE_DATE")</f>
        <v>#NAME?</v>
      </c>
      <c r="E1653">
        <v>500000</v>
      </c>
      <c r="F1653" t="e">
        <f ca="1">BDP("68609UQR Muni","ISSUE_DT")</f>
        <v>#NAME?</v>
      </c>
      <c r="G1653" t="e">
        <f ca="1">BDP("68609UQR Muni","MATURITY")</f>
        <v>#NAME?</v>
      </c>
      <c r="H1653" t="e">
        <f ca="1">BDP("68609UQR Muni","MUNI_TAX_PROV")</f>
        <v>#NAME?</v>
      </c>
      <c r="I1653" t="e">
        <f ca="1">BDP("68609UQR Muni","FINANCING_TYPE")</f>
        <v>#NAME?</v>
      </c>
      <c r="J1653" t="e">
        <f ca="1">BDP("68609UQR Muni","BICS_LEVEL_2_INDUSTRY_GROUP_NAME")</f>
        <v>#NAME?</v>
      </c>
      <c r="K1653" t="e">
        <f ca="1">BDP("68609UQR Muni","SELF_REPRTD_GREEN_INSTR_INDCTR")</f>
        <v>#NAME?</v>
      </c>
      <c r="L1653" t="e">
        <f ca="1">BDP("68609UQR Muni","GB_MANAGEMENT_PROCEEDS")</f>
        <v>#NAME?</v>
      </c>
      <c r="M1653" t="e">
        <f ca="1">BDP("68609UQR Muni","GB_REPORTING")</f>
        <v>#NAME?</v>
      </c>
      <c r="N1653" t="e">
        <f ca="1">BDP("68609UQR Muni","GB_ASSURANCE_PROVIDERS")</f>
        <v>#NAME?</v>
      </c>
      <c r="O1653" t="e">
        <f ca="1">BDP("68609UQR Muni","GB_PROJECT_SELECTION_PROCESS")</f>
        <v>#NAME?</v>
      </c>
      <c r="P1653" t="e">
        <f ca="1">BDP("68609UQR Muni","ESG_FRAMEWORK_INDICATOR")</f>
        <v>#NAME?</v>
      </c>
      <c r="Q1653" t="e">
        <f ca="1">BDP("68609UQR Muni","BLOOMBERG_SECTOR_CODE")</f>
        <v>#NAME?</v>
      </c>
      <c r="R1653" t="e">
        <f ca="1">BDP("68609UQR Muni","ISSUER_TYPE")</f>
        <v>#NAME?</v>
      </c>
      <c r="S1653" t="e">
        <f ca="1">BDS("68609UQR Muni","ESG_PROJECT_CATEGORY", "aggregate=y")</f>
        <v>#NAME?</v>
      </c>
      <c r="T1653" t="e">
        <f ca="1">BDS("68609UQR Muni","ESG_PROJECT_SUBCATEGORY", "aggregate=y")</f>
        <v>#NAME?</v>
      </c>
    </row>
    <row r="1654" spans="1:20" x14ac:dyDescent="0.25">
      <c r="A1654" t="e">
        <f ca="1">BDP("68609UQS Muni","ID_CUSIP")</f>
        <v>#NAME?</v>
      </c>
      <c r="B1654" t="e">
        <f ca="1">BDP("68609UQS Muni","STATE_CODE")</f>
        <v>#NAME?</v>
      </c>
      <c r="C1654" t="s">
        <v>98</v>
      </c>
      <c r="D1654" t="e">
        <f ca="1">BDP("68609UQS Muni","YIELD_ON_ISSUE_DATE")</f>
        <v>#NAME?</v>
      </c>
      <c r="E1654">
        <v>525000</v>
      </c>
      <c r="F1654" t="e">
        <f ca="1">BDP("68609UQS Muni","ISSUE_DT")</f>
        <v>#NAME?</v>
      </c>
      <c r="G1654" t="e">
        <f ca="1">BDP("68609UQS Muni","MATURITY")</f>
        <v>#NAME?</v>
      </c>
      <c r="H1654" t="e">
        <f ca="1">BDP("68609UQS Muni","MUNI_TAX_PROV")</f>
        <v>#NAME?</v>
      </c>
      <c r="I1654" t="e">
        <f ca="1">BDP("68609UQS Muni","FINANCING_TYPE")</f>
        <v>#NAME?</v>
      </c>
      <c r="J1654" t="e">
        <f ca="1">BDP("68609UQS Muni","BICS_LEVEL_2_INDUSTRY_GROUP_NAME")</f>
        <v>#NAME?</v>
      </c>
      <c r="K1654" t="e">
        <f ca="1">BDP("68609UQS Muni","SELF_REPRTD_GREEN_INSTR_INDCTR")</f>
        <v>#NAME?</v>
      </c>
      <c r="L1654" t="e">
        <f ca="1">BDP("68609UQS Muni","GB_MANAGEMENT_PROCEEDS")</f>
        <v>#NAME?</v>
      </c>
      <c r="M1654" t="e">
        <f ca="1">BDP("68609UQS Muni","GB_REPORTING")</f>
        <v>#NAME?</v>
      </c>
      <c r="N1654" t="e">
        <f ca="1">BDP("68609UQS Muni","GB_ASSURANCE_PROVIDERS")</f>
        <v>#NAME?</v>
      </c>
      <c r="O1654" t="e">
        <f ca="1">BDP("68609UQS Muni","GB_PROJECT_SELECTION_PROCESS")</f>
        <v>#NAME?</v>
      </c>
      <c r="P1654" t="e">
        <f ca="1">BDP("68609UQS Muni","ESG_FRAMEWORK_INDICATOR")</f>
        <v>#NAME?</v>
      </c>
      <c r="Q1654" t="e">
        <f ca="1">BDP("68609UQS Muni","BLOOMBERG_SECTOR_CODE")</f>
        <v>#NAME?</v>
      </c>
      <c r="R1654" t="e">
        <f ca="1">BDP("68609UQS Muni","ISSUER_TYPE")</f>
        <v>#NAME?</v>
      </c>
      <c r="S1654" t="e">
        <f ca="1">BDS("68609UQS Muni","ESG_PROJECT_CATEGORY", "aggregate=y")</f>
        <v>#NAME?</v>
      </c>
      <c r="T1654" t="e">
        <f ca="1">BDS("68609UQS Muni","ESG_PROJECT_SUBCATEGORY", "aggregate=y")</f>
        <v>#NAME?</v>
      </c>
    </row>
    <row r="1655" spans="1:20" x14ac:dyDescent="0.25">
      <c r="A1655" t="e">
        <f ca="1">BDP("68609UQT Muni","ID_CUSIP")</f>
        <v>#NAME?</v>
      </c>
      <c r="B1655" t="e">
        <f ca="1">BDP("68609UQT Muni","STATE_CODE")</f>
        <v>#NAME?</v>
      </c>
      <c r="C1655" t="s">
        <v>98</v>
      </c>
      <c r="D1655" t="e">
        <f ca="1">BDP("68609UQT Muni","YIELD_ON_ISSUE_DATE")</f>
        <v>#NAME?</v>
      </c>
      <c r="E1655">
        <v>555000</v>
      </c>
      <c r="F1655" t="e">
        <f ca="1">BDP("68609UQT Muni","ISSUE_DT")</f>
        <v>#NAME?</v>
      </c>
      <c r="G1655" t="e">
        <f ca="1">BDP("68609UQT Muni","MATURITY")</f>
        <v>#NAME?</v>
      </c>
      <c r="H1655" t="e">
        <f ca="1">BDP("68609UQT Muni","MUNI_TAX_PROV")</f>
        <v>#NAME?</v>
      </c>
      <c r="I1655" t="e">
        <f ca="1">BDP("68609UQT Muni","FINANCING_TYPE")</f>
        <v>#NAME?</v>
      </c>
      <c r="J1655" t="e">
        <f ca="1">BDP("68609UQT Muni","BICS_LEVEL_2_INDUSTRY_GROUP_NAME")</f>
        <v>#NAME?</v>
      </c>
      <c r="K1655" t="e">
        <f ca="1">BDP("68609UQT Muni","SELF_REPRTD_GREEN_INSTR_INDCTR")</f>
        <v>#NAME?</v>
      </c>
      <c r="L1655" t="e">
        <f ca="1">BDP("68609UQT Muni","GB_MANAGEMENT_PROCEEDS")</f>
        <v>#NAME?</v>
      </c>
      <c r="M1655" t="e">
        <f ca="1">BDP("68609UQT Muni","GB_REPORTING")</f>
        <v>#NAME?</v>
      </c>
      <c r="N1655" t="e">
        <f ca="1">BDP("68609UQT Muni","GB_ASSURANCE_PROVIDERS")</f>
        <v>#NAME?</v>
      </c>
      <c r="O1655" t="e">
        <f ca="1">BDP("68609UQT Muni","GB_PROJECT_SELECTION_PROCESS")</f>
        <v>#NAME?</v>
      </c>
      <c r="P1655" t="e">
        <f ca="1">BDP("68609UQT Muni","ESG_FRAMEWORK_INDICATOR")</f>
        <v>#NAME?</v>
      </c>
      <c r="Q1655" t="e">
        <f ca="1">BDP("68609UQT Muni","BLOOMBERG_SECTOR_CODE")</f>
        <v>#NAME?</v>
      </c>
      <c r="R1655" t="e">
        <f ca="1">BDP("68609UQT Muni","ISSUER_TYPE")</f>
        <v>#NAME?</v>
      </c>
      <c r="S1655" t="e">
        <f ca="1">BDS("68609UQT Muni","ESG_PROJECT_CATEGORY", "aggregate=y")</f>
        <v>#NAME?</v>
      </c>
      <c r="T1655" t="e">
        <f ca="1">BDS("68609UQT Muni","ESG_PROJECT_SUBCATEGORY", "aggregate=y")</f>
        <v>#NAME?</v>
      </c>
    </row>
    <row r="1656" spans="1:20" x14ac:dyDescent="0.25">
      <c r="A1656" t="e">
        <f ca="1">BDP("68609UQV Muni","ID_CUSIP")</f>
        <v>#NAME?</v>
      </c>
      <c r="B1656" t="e">
        <f ca="1">BDP("68609UQV Muni","STATE_CODE")</f>
        <v>#NAME?</v>
      </c>
      <c r="C1656" t="s">
        <v>98</v>
      </c>
      <c r="D1656" t="e">
        <f ca="1">BDP("68609UQV Muni","YIELD_ON_ISSUE_DATE")</f>
        <v>#NAME?</v>
      </c>
      <c r="E1656">
        <v>610000</v>
      </c>
      <c r="F1656" t="e">
        <f ca="1">BDP("68609UQV Muni","ISSUE_DT")</f>
        <v>#NAME?</v>
      </c>
      <c r="G1656" t="e">
        <f ca="1">BDP("68609UQV Muni","MATURITY")</f>
        <v>#NAME?</v>
      </c>
      <c r="H1656" t="e">
        <f ca="1">BDP("68609UQV Muni","MUNI_TAX_PROV")</f>
        <v>#NAME?</v>
      </c>
      <c r="I1656" t="e">
        <f ca="1">BDP("68609UQV Muni","FINANCING_TYPE")</f>
        <v>#NAME?</v>
      </c>
      <c r="J1656" t="e">
        <f ca="1">BDP("68609UQV Muni","BICS_LEVEL_2_INDUSTRY_GROUP_NAME")</f>
        <v>#NAME?</v>
      </c>
      <c r="K1656" t="e">
        <f ca="1">BDP("68609UQV Muni","SELF_REPRTD_GREEN_INSTR_INDCTR")</f>
        <v>#NAME?</v>
      </c>
      <c r="L1656" t="e">
        <f ca="1">BDP("68609UQV Muni","GB_MANAGEMENT_PROCEEDS")</f>
        <v>#NAME?</v>
      </c>
      <c r="M1656" t="e">
        <f ca="1">BDP("68609UQV Muni","GB_REPORTING")</f>
        <v>#NAME?</v>
      </c>
      <c r="N1656" t="e">
        <f ca="1">BDP("68609UQV Muni","GB_ASSURANCE_PROVIDERS")</f>
        <v>#NAME?</v>
      </c>
      <c r="O1656" t="e">
        <f ca="1">BDP("68609UQV Muni","GB_PROJECT_SELECTION_PROCESS")</f>
        <v>#NAME?</v>
      </c>
      <c r="P1656" t="e">
        <f ca="1">BDP("68609UQV Muni","ESG_FRAMEWORK_INDICATOR")</f>
        <v>#NAME?</v>
      </c>
      <c r="Q1656" t="e">
        <f ca="1">BDP("68609UQV Muni","BLOOMBERG_SECTOR_CODE")</f>
        <v>#NAME?</v>
      </c>
      <c r="R1656" t="e">
        <f ca="1">BDP("68609UQV Muni","ISSUER_TYPE")</f>
        <v>#NAME?</v>
      </c>
      <c r="S1656" t="e">
        <f ca="1">BDS("68609UQV Muni","ESG_PROJECT_CATEGORY", "aggregate=y")</f>
        <v>#NAME?</v>
      </c>
      <c r="T1656" t="e">
        <f ca="1">BDS("68609UQV Muni","ESG_PROJECT_SUBCATEGORY", "aggregate=y")</f>
        <v>#NAME?</v>
      </c>
    </row>
    <row r="1657" spans="1:20" x14ac:dyDescent="0.25">
      <c r="A1657" t="e">
        <f ca="1">BDP("68609UQW Muni","ID_CUSIP")</f>
        <v>#NAME?</v>
      </c>
      <c r="B1657" t="e">
        <f ca="1">BDP("68609UQW Muni","STATE_CODE")</f>
        <v>#NAME?</v>
      </c>
      <c r="C1657" t="s">
        <v>98</v>
      </c>
      <c r="D1657" t="e">
        <f ca="1">BDP("68609UQW Muni","YIELD_ON_ISSUE_DATE")</f>
        <v>#NAME?</v>
      </c>
      <c r="E1657">
        <v>640000</v>
      </c>
      <c r="F1657" t="e">
        <f ca="1">BDP("68609UQW Muni","ISSUE_DT")</f>
        <v>#NAME?</v>
      </c>
      <c r="G1657" t="e">
        <f ca="1">BDP("68609UQW Muni","MATURITY")</f>
        <v>#NAME?</v>
      </c>
      <c r="H1657" t="e">
        <f ca="1">BDP("68609UQW Muni","MUNI_TAX_PROV")</f>
        <v>#NAME?</v>
      </c>
      <c r="I1657" t="e">
        <f ca="1">BDP("68609UQW Muni","FINANCING_TYPE")</f>
        <v>#NAME?</v>
      </c>
      <c r="J1657" t="e">
        <f ca="1">BDP("68609UQW Muni","BICS_LEVEL_2_INDUSTRY_GROUP_NAME")</f>
        <v>#NAME?</v>
      </c>
      <c r="K1657" t="e">
        <f ca="1">BDP("68609UQW Muni","SELF_REPRTD_GREEN_INSTR_INDCTR")</f>
        <v>#NAME?</v>
      </c>
      <c r="L1657" t="e">
        <f ca="1">BDP("68609UQW Muni","GB_MANAGEMENT_PROCEEDS")</f>
        <v>#NAME?</v>
      </c>
      <c r="M1657" t="e">
        <f ca="1">BDP("68609UQW Muni","GB_REPORTING")</f>
        <v>#NAME?</v>
      </c>
      <c r="N1657" t="e">
        <f ca="1">BDP("68609UQW Muni","GB_ASSURANCE_PROVIDERS")</f>
        <v>#NAME?</v>
      </c>
      <c r="O1657" t="e">
        <f ca="1">BDP("68609UQW Muni","GB_PROJECT_SELECTION_PROCESS")</f>
        <v>#NAME?</v>
      </c>
      <c r="P1657" t="e">
        <f ca="1">BDP("68609UQW Muni","ESG_FRAMEWORK_INDICATOR")</f>
        <v>#NAME?</v>
      </c>
      <c r="Q1657" t="e">
        <f ca="1">BDP("68609UQW Muni","BLOOMBERG_SECTOR_CODE")</f>
        <v>#NAME?</v>
      </c>
      <c r="R1657" t="e">
        <f ca="1">BDP("68609UQW Muni","ISSUER_TYPE")</f>
        <v>#NAME?</v>
      </c>
      <c r="S1657" t="e">
        <f ca="1">BDS("68609UQW Muni","ESG_PROJECT_CATEGORY", "aggregate=y")</f>
        <v>#NAME?</v>
      </c>
      <c r="T1657" t="e">
        <f ca="1">BDS("68609UQW Muni","ESG_PROJECT_SUBCATEGORY", "aggregate=y")</f>
        <v>#NAME?</v>
      </c>
    </row>
    <row r="1658" spans="1:20" x14ac:dyDescent="0.25">
      <c r="A1658" t="e">
        <f ca="1">BDP("68609UQX Muni","ID_CUSIP")</f>
        <v>#NAME?</v>
      </c>
      <c r="B1658" t="e">
        <f ca="1">BDP("68609UQX Muni","STATE_CODE")</f>
        <v>#NAME?</v>
      </c>
      <c r="C1658" t="s">
        <v>98</v>
      </c>
      <c r="D1658" t="e">
        <f ca="1">BDP("68609UQX Muni","YIELD_ON_ISSUE_DATE")</f>
        <v>#NAME?</v>
      </c>
      <c r="E1658">
        <v>670000</v>
      </c>
      <c r="F1658" t="e">
        <f ca="1">BDP("68609UQX Muni","ISSUE_DT")</f>
        <v>#NAME?</v>
      </c>
      <c r="G1658" t="e">
        <f ca="1">BDP("68609UQX Muni","MATURITY")</f>
        <v>#NAME?</v>
      </c>
      <c r="H1658" t="e">
        <f ca="1">BDP("68609UQX Muni","MUNI_TAX_PROV")</f>
        <v>#NAME?</v>
      </c>
      <c r="I1658" t="e">
        <f ca="1">BDP("68609UQX Muni","FINANCING_TYPE")</f>
        <v>#NAME?</v>
      </c>
      <c r="J1658" t="e">
        <f ca="1">BDP("68609UQX Muni","BICS_LEVEL_2_INDUSTRY_GROUP_NAME")</f>
        <v>#NAME?</v>
      </c>
      <c r="K1658" t="e">
        <f ca="1">BDP("68609UQX Muni","SELF_REPRTD_GREEN_INSTR_INDCTR")</f>
        <v>#NAME?</v>
      </c>
      <c r="L1658" t="e">
        <f ca="1">BDP("68609UQX Muni","GB_MANAGEMENT_PROCEEDS")</f>
        <v>#NAME?</v>
      </c>
      <c r="M1658" t="e">
        <f ca="1">BDP("68609UQX Muni","GB_REPORTING")</f>
        <v>#NAME?</v>
      </c>
      <c r="N1658" t="e">
        <f ca="1">BDP("68609UQX Muni","GB_ASSURANCE_PROVIDERS")</f>
        <v>#NAME?</v>
      </c>
      <c r="O1658" t="e">
        <f ca="1">BDP("68609UQX Muni","GB_PROJECT_SELECTION_PROCESS")</f>
        <v>#NAME?</v>
      </c>
      <c r="P1658" t="e">
        <f ca="1">BDP("68609UQX Muni","ESG_FRAMEWORK_INDICATOR")</f>
        <v>#NAME?</v>
      </c>
      <c r="Q1658" t="e">
        <f ca="1">BDP("68609UQX Muni","BLOOMBERG_SECTOR_CODE")</f>
        <v>#NAME?</v>
      </c>
      <c r="R1658" t="e">
        <f ca="1">BDP("68609UQX Muni","ISSUER_TYPE")</f>
        <v>#NAME?</v>
      </c>
      <c r="S1658" t="e">
        <f ca="1">BDS("68609UQX Muni","ESG_PROJECT_CATEGORY", "aggregate=y")</f>
        <v>#NAME?</v>
      </c>
      <c r="T1658" t="e">
        <f ca="1">BDS("68609UQX Muni","ESG_PROJECT_SUBCATEGORY", "aggregate=y")</f>
        <v>#NAME?</v>
      </c>
    </row>
    <row r="1659" spans="1:20" x14ac:dyDescent="0.25">
      <c r="A1659" t="e">
        <f ca="1">BDP("68609UQY Muni","ID_CUSIP")</f>
        <v>#NAME?</v>
      </c>
      <c r="B1659" t="e">
        <f ca="1">BDP("68609UQY Muni","STATE_CODE")</f>
        <v>#NAME?</v>
      </c>
      <c r="C1659" t="s">
        <v>98</v>
      </c>
      <c r="D1659" t="e">
        <f ca="1">BDP("68609UQY Muni","YIELD_ON_ISSUE_DATE")</f>
        <v>#NAME?</v>
      </c>
      <c r="E1659">
        <v>705000</v>
      </c>
      <c r="F1659" t="e">
        <f ca="1">BDP("68609UQY Muni","ISSUE_DT")</f>
        <v>#NAME?</v>
      </c>
      <c r="G1659" t="e">
        <f ca="1">BDP("68609UQY Muni","MATURITY")</f>
        <v>#NAME?</v>
      </c>
      <c r="H1659" t="e">
        <f ca="1">BDP("68609UQY Muni","MUNI_TAX_PROV")</f>
        <v>#NAME?</v>
      </c>
      <c r="I1659" t="e">
        <f ca="1">BDP("68609UQY Muni","FINANCING_TYPE")</f>
        <v>#NAME?</v>
      </c>
      <c r="J1659" t="e">
        <f ca="1">BDP("68609UQY Muni","BICS_LEVEL_2_INDUSTRY_GROUP_NAME")</f>
        <v>#NAME?</v>
      </c>
      <c r="K1659" t="e">
        <f ca="1">BDP("68609UQY Muni","SELF_REPRTD_GREEN_INSTR_INDCTR")</f>
        <v>#NAME?</v>
      </c>
      <c r="L1659" t="e">
        <f ca="1">BDP("68609UQY Muni","GB_MANAGEMENT_PROCEEDS")</f>
        <v>#NAME?</v>
      </c>
      <c r="M1659" t="e">
        <f ca="1">BDP("68609UQY Muni","GB_REPORTING")</f>
        <v>#NAME?</v>
      </c>
      <c r="N1659" t="e">
        <f ca="1">BDP("68609UQY Muni","GB_ASSURANCE_PROVIDERS")</f>
        <v>#NAME?</v>
      </c>
      <c r="O1659" t="e">
        <f ca="1">BDP("68609UQY Muni","GB_PROJECT_SELECTION_PROCESS")</f>
        <v>#NAME?</v>
      </c>
      <c r="P1659" t="e">
        <f ca="1">BDP("68609UQY Muni","ESG_FRAMEWORK_INDICATOR")</f>
        <v>#NAME?</v>
      </c>
      <c r="Q1659" t="e">
        <f ca="1">BDP("68609UQY Muni","BLOOMBERG_SECTOR_CODE")</f>
        <v>#NAME?</v>
      </c>
      <c r="R1659" t="e">
        <f ca="1">BDP("68609UQY Muni","ISSUER_TYPE")</f>
        <v>#NAME?</v>
      </c>
      <c r="S1659" t="e">
        <f ca="1">BDS("68609UQY Muni","ESG_PROJECT_CATEGORY", "aggregate=y")</f>
        <v>#NAME?</v>
      </c>
      <c r="T1659" t="e">
        <f ca="1">BDS("68609UQY Muni","ESG_PROJECT_SUBCATEGORY", "aggregate=y")</f>
        <v>#NAME?</v>
      </c>
    </row>
    <row r="1660" spans="1:20" x14ac:dyDescent="0.25">
      <c r="A1660" t="e">
        <f ca="1">BDP("68609URB Muni","ID_CUSIP")</f>
        <v>#NAME?</v>
      </c>
      <c r="B1660" t="e">
        <f ca="1">BDP("68609URB Muni","STATE_CODE")</f>
        <v>#NAME?</v>
      </c>
      <c r="C1660" t="s">
        <v>98</v>
      </c>
      <c r="D1660" t="e">
        <f ca="1">BDP("68609URB Muni","YIELD_ON_ISSUE_DATE")</f>
        <v>#NAME?</v>
      </c>
      <c r="E1660">
        <v>815000</v>
      </c>
      <c r="F1660" t="e">
        <f ca="1">BDP("68609URB Muni","ISSUE_DT")</f>
        <v>#NAME?</v>
      </c>
      <c r="G1660" t="e">
        <f ca="1">BDP("68609URB Muni","MATURITY")</f>
        <v>#NAME?</v>
      </c>
      <c r="H1660" t="e">
        <f ca="1">BDP("68609URB Muni","MUNI_TAX_PROV")</f>
        <v>#NAME?</v>
      </c>
      <c r="I1660" t="e">
        <f ca="1">BDP("68609URB Muni","FINANCING_TYPE")</f>
        <v>#NAME?</v>
      </c>
      <c r="J1660" t="e">
        <f ca="1">BDP("68609URB Muni","BICS_LEVEL_2_INDUSTRY_GROUP_NAME")</f>
        <v>#NAME?</v>
      </c>
      <c r="K1660" t="e">
        <f ca="1">BDP("68609URB Muni","SELF_REPRTD_GREEN_INSTR_INDCTR")</f>
        <v>#NAME?</v>
      </c>
      <c r="L1660" t="e">
        <f ca="1">BDP("68609URB Muni","GB_MANAGEMENT_PROCEEDS")</f>
        <v>#NAME?</v>
      </c>
      <c r="M1660" t="e">
        <f ca="1">BDP("68609URB Muni","GB_REPORTING")</f>
        <v>#NAME?</v>
      </c>
      <c r="N1660" t="e">
        <f ca="1">BDP("68609URB Muni","GB_ASSURANCE_PROVIDERS")</f>
        <v>#NAME?</v>
      </c>
      <c r="O1660" t="e">
        <f ca="1">BDP("68609URB Muni","GB_PROJECT_SELECTION_PROCESS")</f>
        <v>#NAME?</v>
      </c>
      <c r="P1660" t="e">
        <f ca="1">BDP("68609URB Muni","ESG_FRAMEWORK_INDICATOR")</f>
        <v>#NAME?</v>
      </c>
      <c r="Q1660" t="e">
        <f ca="1">BDP("68609URB Muni","BLOOMBERG_SECTOR_CODE")</f>
        <v>#NAME?</v>
      </c>
      <c r="R1660" t="e">
        <f ca="1">BDP("68609URB Muni","ISSUER_TYPE")</f>
        <v>#NAME?</v>
      </c>
      <c r="S1660" t="e">
        <f ca="1">BDS("68609URB Muni","ESG_PROJECT_CATEGORY", "aggregate=y")</f>
        <v>#NAME?</v>
      </c>
      <c r="T1660" t="e">
        <f ca="1">BDS("68609URB Muni","ESG_PROJECT_SUBCATEGORY", "aggregate=y")</f>
        <v>#NAME?</v>
      </c>
    </row>
    <row r="1661" spans="1:20" x14ac:dyDescent="0.25">
      <c r="A1661" t="e">
        <f ca="1">BDP("68609URC Muni","ID_CUSIP")</f>
        <v>#NAME?</v>
      </c>
      <c r="B1661" t="e">
        <f ca="1">BDP("68609URC Muni","STATE_CODE")</f>
        <v>#NAME?</v>
      </c>
      <c r="C1661" t="s">
        <v>98</v>
      </c>
      <c r="D1661" t="e">
        <f ca="1">BDP("68609URC Muni","YIELD_ON_ISSUE_DATE")</f>
        <v>#NAME?</v>
      </c>
      <c r="E1661">
        <v>860000</v>
      </c>
      <c r="F1661" t="e">
        <f ca="1">BDP("68609URC Muni","ISSUE_DT")</f>
        <v>#NAME?</v>
      </c>
      <c r="G1661" t="e">
        <f ca="1">BDP("68609URC Muni","MATURITY")</f>
        <v>#NAME?</v>
      </c>
      <c r="H1661" t="e">
        <f ca="1">BDP("68609URC Muni","MUNI_TAX_PROV")</f>
        <v>#NAME?</v>
      </c>
      <c r="I1661" t="e">
        <f ca="1">BDP("68609URC Muni","FINANCING_TYPE")</f>
        <v>#NAME?</v>
      </c>
      <c r="J1661" t="e">
        <f ca="1">BDP("68609URC Muni","BICS_LEVEL_2_INDUSTRY_GROUP_NAME")</f>
        <v>#NAME?</v>
      </c>
      <c r="K1661" t="e">
        <f ca="1">BDP("68609URC Muni","SELF_REPRTD_GREEN_INSTR_INDCTR")</f>
        <v>#NAME?</v>
      </c>
      <c r="L1661" t="e">
        <f ca="1">BDP("68609URC Muni","GB_MANAGEMENT_PROCEEDS")</f>
        <v>#NAME?</v>
      </c>
      <c r="M1661" t="e">
        <f ca="1">BDP("68609URC Muni","GB_REPORTING")</f>
        <v>#NAME?</v>
      </c>
      <c r="N1661" t="e">
        <f ca="1">BDP("68609URC Muni","GB_ASSURANCE_PROVIDERS")</f>
        <v>#NAME?</v>
      </c>
      <c r="O1661" t="e">
        <f ca="1">BDP("68609URC Muni","GB_PROJECT_SELECTION_PROCESS")</f>
        <v>#NAME?</v>
      </c>
      <c r="P1661" t="e">
        <f ca="1">BDP("68609URC Muni","ESG_FRAMEWORK_INDICATOR")</f>
        <v>#NAME?</v>
      </c>
      <c r="Q1661" t="e">
        <f ca="1">BDP("68609URC Muni","BLOOMBERG_SECTOR_CODE")</f>
        <v>#NAME?</v>
      </c>
      <c r="R1661" t="e">
        <f ca="1">BDP("68609URC Muni","ISSUER_TYPE")</f>
        <v>#NAME?</v>
      </c>
      <c r="S1661" t="e">
        <f ca="1">BDS("68609URC Muni","ESG_PROJECT_CATEGORY", "aggregate=y")</f>
        <v>#NAME?</v>
      </c>
      <c r="T1661" t="e">
        <f ca="1">BDS("68609URC Muni","ESG_PROJECT_SUBCATEGORY", "aggregate=y")</f>
        <v>#NAME?</v>
      </c>
    </row>
    <row r="1662" spans="1:20" x14ac:dyDescent="0.25">
      <c r="A1662" t="e">
        <f ca="1">BDP("88035ML3 Muni","ID_CUSIP")</f>
        <v>#NAME?</v>
      </c>
      <c r="B1662" t="e">
        <f ca="1">BDP("88035ML3 Muni","STATE_CODE")</f>
        <v>#NAME?</v>
      </c>
      <c r="C1662" t="s">
        <v>25</v>
      </c>
      <c r="D1662" t="e">
        <f ca="1">BDP("88035ML3 Muni","YIELD_ON_ISSUE_DATE")</f>
        <v>#NAME?</v>
      </c>
      <c r="E1662">
        <v>2370000</v>
      </c>
      <c r="F1662" t="e">
        <f ca="1">BDP("88035ML3 Muni","ISSUE_DT")</f>
        <v>#NAME?</v>
      </c>
      <c r="G1662" t="e">
        <f ca="1">BDP("88035ML3 Muni","MATURITY")</f>
        <v>#NAME?</v>
      </c>
      <c r="H1662" t="e">
        <f ca="1">BDP("88035ML3 Muni","MUNI_TAX_PROV")</f>
        <v>#NAME?</v>
      </c>
      <c r="I1662" t="e">
        <f ca="1">BDP("88035ML3 Muni","FINANCING_TYPE")</f>
        <v>#NAME?</v>
      </c>
      <c r="J1662" t="e">
        <f ca="1">BDP("88035ML3 Muni","BICS_LEVEL_2_INDUSTRY_GROUP_NAME")</f>
        <v>#NAME?</v>
      </c>
      <c r="K1662" t="e">
        <f ca="1">BDP("88035ML3 Muni","SELF_REPRTD_GREEN_INSTR_INDCTR")</f>
        <v>#NAME?</v>
      </c>
      <c r="L1662" t="e">
        <f ca="1">BDP("88035ML3 Muni","GB_MANAGEMENT_PROCEEDS")</f>
        <v>#NAME?</v>
      </c>
      <c r="M1662" t="e">
        <f ca="1">BDP("88035ML3 Muni","GB_REPORTING")</f>
        <v>#NAME?</v>
      </c>
      <c r="N1662" t="e">
        <f ca="1">BDP("88035ML3 Muni","GB_ASSURANCE_PROVIDERS")</f>
        <v>#NAME?</v>
      </c>
      <c r="O1662" t="e">
        <f ca="1">BDP("88035ML3 Muni","GB_PROJECT_SELECTION_PROCESS")</f>
        <v>#NAME?</v>
      </c>
      <c r="P1662" t="e">
        <f ca="1">BDP("88035ML3 Muni","ESG_FRAMEWORK_INDICATOR")</f>
        <v>#NAME?</v>
      </c>
      <c r="Q1662" t="e">
        <f ca="1">BDP("88035ML3 Muni","BLOOMBERG_SECTOR_CODE")</f>
        <v>#NAME?</v>
      </c>
      <c r="R1662" t="e">
        <f ca="1">BDP("88035ML3 Muni","ISSUER_TYPE")</f>
        <v>#NAME?</v>
      </c>
      <c r="S1662" t="e">
        <f ca="1">BDS("88035ML3 Muni","ESG_PROJECT_CATEGORY", "aggregate=y")</f>
        <v>#NAME?</v>
      </c>
      <c r="T1662" t="e">
        <f ca="1">BDS("88035ML3 Muni","ESG_PROJECT_SUBCATEGORY", "aggregate=y")</f>
        <v>#NAME?</v>
      </c>
    </row>
    <row r="1663" spans="1:20" x14ac:dyDescent="0.25">
      <c r="A1663" t="e">
        <f ca="1">BDP("68609UQU Muni","ID_CUSIP")</f>
        <v>#NAME?</v>
      </c>
      <c r="B1663" t="e">
        <f ca="1">BDP("68609UQU Muni","STATE_CODE")</f>
        <v>#NAME?</v>
      </c>
      <c r="C1663" t="s">
        <v>98</v>
      </c>
      <c r="D1663" t="e">
        <f ca="1">BDP("68609UQU Muni","YIELD_ON_ISSUE_DATE")</f>
        <v>#NAME?</v>
      </c>
      <c r="E1663">
        <v>580000</v>
      </c>
      <c r="F1663" t="e">
        <f ca="1">BDP("68609UQU Muni","ISSUE_DT")</f>
        <v>#NAME?</v>
      </c>
      <c r="G1663" t="e">
        <f ca="1">BDP("68609UQU Muni","MATURITY")</f>
        <v>#NAME?</v>
      </c>
      <c r="H1663" t="e">
        <f ca="1">BDP("68609UQU Muni","MUNI_TAX_PROV")</f>
        <v>#NAME?</v>
      </c>
      <c r="I1663" t="e">
        <f ca="1">BDP("68609UQU Muni","FINANCING_TYPE")</f>
        <v>#NAME?</v>
      </c>
      <c r="J1663" t="e">
        <f ca="1">BDP("68609UQU Muni","BICS_LEVEL_2_INDUSTRY_GROUP_NAME")</f>
        <v>#NAME?</v>
      </c>
      <c r="K1663" t="e">
        <f ca="1">BDP("68609UQU Muni","SELF_REPRTD_GREEN_INSTR_INDCTR")</f>
        <v>#NAME?</v>
      </c>
      <c r="L1663" t="e">
        <f ca="1">BDP("68609UQU Muni","GB_MANAGEMENT_PROCEEDS")</f>
        <v>#NAME?</v>
      </c>
      <c r="M1663" t="e">
        <f ca="1">BDP("68609UQU Muni","GB_REPORTING")</f>
        <v>#NAME?</v>
      </c>
      <c r="N1663" t="e">
        <f ca="1">BDP("68609UQU Muni","GB_ASSURANCE_PROVIDERS")</f>
        <v>#NAME?</v>
      </c>
      <c r="O1663" t="e">
        <f ca="1">BDP("68609UQU Muni","GB_PROJECT_SELECTION_PROCESS")</f>
        <v>#NAME?</v>
      </c>
      <c r="P1663" t="e">
        <f ca="1">BDP("68609UQU Muni","ESG_FRAMEWORK_INDICATOR")</f>
        <v>#NAME?</v>
      </c>
      <c r="Q1663" t="e">
        <f ca="1">BDP("68609UQU Muni","BLOOMBERG_SECTOR_CODE")</f>
        <v>#NAME?</v>
      </c>
      <c r="R1663" t="e">
        <f ca="1">BDP("68609UQU Muni","ISSUER_TYPE")</f>
        <v>#NAME?</v>
      </c>
      <c r="S1663" t="e">
        <f ca="1">BDS("68609UQU Muni","ESG_PROJECT_CATEGORY", "aggregate=y")</f>
        <v>#NAME?</v>
      </c>
      <c r="T1663" t="e">
        <f ca="1">BDS("68609UQU Muni","ESG_PROJECT_SUBCATEGORY", "aggregate=y")</f>
        <v>#NAME?</v>
      </c>
    </row>
    <row r="1664" spans="1:20" x14ac:dyDescent="0.25">
      <c r="A1664" t="e">
        <f ca="1">BDP("68609UQZ Muni","ID_CUSIP")</f>
        <v>#NAME?</v>
      </c>
      <c r="B1664" t="e">
        <f ca="1">BDP("68609UQZ Muni","STATE_CODE")</f>
        <v>#NAME?</v>
      </c>
      <c r="C1664" t="s">
        <v>98</v>
      </c>
      <c r="D1664" t="e">
        <f ca="1">BDP("68609UQZ Muni","YIELD_ON_ISSUE_DATE")</f>
        <v>#NAME?</v>
      </c>
      <c r="E1664">
        <v>740000</v>
      </c>
      <c r="F1664" t="e">
        <f ca="1">BDP("68609UQZ Muni","ISSUE_DT")</f>
        <v>#NAME?</v>
      </c>
      <c r="G1664" t="e">
        <f ca="1">BDP("68609UQZ Muni","MATURITY")</f>
        <v>#NAME?</v>
      </c>
      <c r="H1664" t="e">
        <f ca="1">BDP("68609UQZ Muni","MUNI_TAX_PROV")</f>
        <v>#NAME?</v>
      </c>
      <c r="I1664" t="e">
        <f ca="1">BDP("68609UQZ Muni","FINANCING_TYPE")</f>
        <v>#NAME?</v>
      </c>
      <c r="J1664" t="e">
        <f ca="1">BDP("68609UQZ Muni","BICS_LEVEL_2_INDUSTRY_GROUP_NAME")</f>
        <v>#NAME?</v>
      </c>
      <c r="K1664" t="e">
        <f ca="1">BDP("68609UQZ Muni","SELF_REPRTD_GREEN_INSTR_INDCTR")</f>
        <v>#NAME?</v>
      </c>
      <c r="L1664" t="e">
        <f ca="1">BDP("68609UQZ Muni","GB_MANAGEMENT_PROCEEDS")</f>
        <v>#NAME?</v>
      </c>
      <c r="M1664" t="e">
        <f ca="1">BDP("68609UQZ Muni","GB_REPORTING")</f>
        <v>#NAME?</v>
      </c>
      <c r="N1664" t="e">
        <f ca="1">BDP("68609UQZ Muni","GB_ASSURANCE_PROVIDERS")</f>
        <v>#NAME?</v>
      </c>
      <c r="O1664" t="e">
        <f ca="1">BDP("68609UQZ Muni","GB_PROJECT_SELECTION_PROCESS")</f>
        <v>#NAME?</v>
      </c>
      <c r="P1664" t="e">
        <f ca="1">BDP("68609UQZ Muni","ESG_FRAMEWORK_INDICATOR")</f>
        <v>#NAME?</v>
      </c>
      <c r="Q1664" t="e">
        <f ca="1">BDP("68609UQZ Muni","BLOOMBERG_SECTOR_CODE")</f>
        <v>#NAME?</v>
      </c>
      <c r="R1664" t="e">
        <f ca="1">BDP("68609UQZ Muni","ISSUER_TYPE")</f>
        <v>#NAME?</v>
      </c>
      <c r="S1664" t="e">
        <f ca="1">BDS("68609UQZ Muni","ESG_PROJECT_CATEGORY", "aggregate=y")</f>
        <v>#NAME?</v>
      </c>
      <c r="T1664" t="e">
        <f ca="1">BDS("68609UQZ Muni","ESG_PROJECT_SUBCATEGORY", "aggregate=y")</f>
        <v>#NAME?</v>
      </c>
    </row>
    <row r="1665" spans="1:20" x14ac:dyDescent="0.25">
      <c r="A1665" t="e">
        <f ca="1">BDP("68609URA Muni","ID_CUSIP")</f>
        <v>#NAME?</v>
      </c>
      <c r="B1665" t="e">
        <f ca="1">BDP("68609URA Muni","STATE_CODE")</f>
        <v>#NAME?</v>
      </c>
      <c r="C1665" t="s">
        <v>98</v>
      </c>
      <c r="D1665" t="e">
        <f ca="1">BDP("68609URA Muni","YIELD_ON_ISSUE_DATE")</f>
        <v>#NAME?</v>
      </c>
      <c r="E1665">
        <v>780000</v>
      </c>
      <c r="F1665" t="e">
        <f ca="1">BDP("68609URA Muni","ISSUE_DT")</f>
        <v>#NAME?</v>
      </c>
      <c r="G1665" t="e">
        <f ca="1">BDP("68609URA Muni","MATURITY")</f>
        <v>#NAME?</v>
      </c>
      <c r="H1665" t="e">
        <f ca="1">BDP("68609URA Muni","MUNI_TAX_PROV")</f>
        <v>#NAME?</v>
      </c>
      <c r="I1665" t="e">
        <f ca="1">BDP("68609URA Muni","FINANCING_TYPE")</f>
        <v>#NAME?</v>
      </c>
      <c r="J1665" t="e">
        <f ca="1">BDP("68609URA Muni","BICS_LEVEL_2_INDUSTRY_GROUP_NAME")</f>
        <v>#NAME?</v>
      </c>
      <c r="K1665" t="e">
        <f ca="1">BDP("68609URA Muni","SELF_REPRTD_GREEN_INSTR_INDCTR")</f>
        <v>#NAME?</v>
      </c>
      <c r="L1665" t="e">
        <f ca="1">BDP("68609URA Muni","GB_MANAGEMENT_PROCEEDS")</f>
        <v>#NAME?</v>
      </c>
      <c r="M1665" t="e">
        <f ca="1">BDP("68609URA Muni","GB_REPORTING")</f>
        <v>#NAME?</v>
      </c>
      <c r="N1665" t="e">
        <f ca="1">BDP("68609URA Muni","GB_ASSURANCE_PROVIDERS")</f>
        <v>#NAME?</v>
      </c>
      <c r="O1665" t="e">
        <f ca="1">BDP("68609URA Muni","GB_PROJECT_SELECTION_PROCESS")</f>
        <v>#NAME?</v>
      </c>
      <c r="P1665" t="e">
        <f ca="1">BDP("68609URA Muni","ESG_FRAMEWORK_INDICATOR")</f>
        <v>#NAME?</v>
      </c>
      <c r="Q1665" t="e">
        <f ca="1">BDP("68609URA Muni","BLOOMBERG_SECTOR_CODE")</f>
        <v>#NAME?</v>
      </c>
      <c r="R1665" t="e">
        <f ca="1">BDP("68609URA Muni","ISSUER_TYPE")</f>
        <v>#NAME?</v>
      </c>
      <c r="S1665" t="e">
        <f ca="1">BDS("68609URA Muni","ESG_PROJECT_CATEGORY", "aggregate=y")</f>
        <v>#NAME?</v>
      </c>
      <c r="T1665" t="e">
        <f ca="1">BDS("68609URA Muni","ESG_PROJECT_SUBCATEGORY", "aggregate=y")</f>
        <v>#NAME?</v>
      </c>
    </row>
    <row r="1666" spans="1:20" x14ac:dyDescent="0.25">
      <c r="A1666" t="e">
        <f ca="1">BDP("27915RES Muni","ID_CUSIP")</f>
        <v>#NAME?</v>
      </c>
      <c r="B1666" t="e">
        <f ca="1">BDP("27915RES Muni","STATE_CODE")</f>
        <v>#NAME?</v>
      </c>
      <c r="C1666" t="s">
        <v>99</v>
      </c>
      <c r="D1666" t="e">
        <f ca="1">BDP("27915RES Muni","YIELD_ON_ISSUE_DATE")</f>
        <v>#NAME?</v>
      </c>
      <c r="E1666">
        <v>2400000</v>
      </c>
      <c r="F1666" t="e">
        <f ca="1">BDP("27915RES Muni","ISSUE_DT")</f>
        <v>#NAME?</v>
      </c>
      <c r="G1666" t="e">
        <f ca="1">BDP("27915RES Muni","MATURITY")</f>
        <v>#NAME?</v>
      </c>
      <c r="H1666" t="e">
        <f ca="1">BDP("27915RES Muni","MUNI_TAX_PROV")</f>
        <v>#NAME?</v>
      </c>
      <c r="I1666" t="e">
        <f ca="1">BDP("27915RES Muni","FINANCING_TYPE")</f>
        <v>#NAME?</v>
      </c>
      <c r="J1666" t="e">
        <f ca="1">BDP("27915RES Muni","BICS_LEVEL_2_INDUSTRY_GROUP_NAME")</f>
        <v>#NAME?</v>
      </c>
      <c r="K1666" t="e">
        <f ca="1">BDP("27915RES Muni","SELF_REPRTD_GREEN_INSTR_INDCTR")</f>
        <v>#NAME?</v>
      </c>
      <c r="L1666" t="e">
        <f ca="1">BDP("27915RES Muni","GB_MANAGEMENT_PROCEEDS")</f>
        <v>#NAME?</v>
      </c>
      <c r="M1666" t="e">
        <f ca="1">BDP("27915RES Muni","GB_REPORTING")</f>
        <v>#NAME?</v>
      </c>
      <c r="N1666" t="e">
        <f ca="1">BDP("27915RES Muni","GB_ASSURANCE_PROVIDERS")</f>
        <v>#NAME?</v>
      </c>
      <c r="O1666" t="e">
        <f ca="1">BDP("27915RES Muni","GB_PROJECT_SELECTION_PROCESS")</f>
        <v>#NAME?</v>
      </c>
      <c r="P1666" t="e">
        <f ca="1">BDP("27915RES Muni","ESG_FRAMEWORK_INDICATOR")</f>
        <v>#NAME?</v>
      </c>
      <c r="Q1666" t="e">
        <f ca="1">BDP("27915RES Muni","BLOOMBERG_SECTOR_CODE")</f>
        <v>#NAME?</v>
      </c>
      <c r="R1666" t="e">
        <f ca="1">BDP("27915RES Muni","ISSUER_TYPE")</f>
        <v>#NAME?</v>
      </c>
      <c r="S1666" t="e">
        <f ca="1">BDS("27915RES Muni","ESG_PROJECT_CATEGORY", "aggregate=y")</f>
        <v>#NAME?</v>
      </c>
      <c r="T1666" t="e">
        <f ca="1">BDS("27915RES Muni","ESG_PROJECT_SUBCATEGORY", "aggregate=y")</f>
        <v>#NAME?</v>
      </c>
    </row>
    <row r="1667" spans="1:20" x14ac:dyDescent="0.25">
      <c r="A1667" t="e">
        <f ca="1">BDP("914054NX Muni","ID_CUSIP")</f>
        <v>#NAME?</v>
      </c>
      <c r="B1667" t="e">
        <f ca="1">BDP("914054NX Muni","STATE_CODE")</f>
        <v>#NAME?</v>
      </c>
      <c r="C1667" t="s">
        <v>100</v>
      </c>
      <c r="D1667" t="e">
        <f ca="1">BDP("914054NX Muni","YIELD_ON_ISSUE_DATE")</f>
        <v>#NAME?</v>
      </c>
      <c r="E1667">
        <v>16120000</v>
      </c>
      <c r="F1667" t="e">
        <f ca="1">BDP("914054NX Muni","ISSUE_DT")</f>
        <v>#NAME?</v>
      </c>
      <c r="G1667" t="e">
        <f ca="1">BDP("914054NX Muni","MATURITY")</f>
        <v>#NAME?</v>
      </c>
      <c r="H1667" t="e">
        <f ca="1">BDP("914054NX Muni","MUNI_TAX_PROV")</f>
        <v>#NAME?</v>
      </c>
      <c r="I1667" t="e">
        <f ca="1">BDP("914054NX Muni","FINANCING_TYPE")</f>
        <v>#NAME?</v>
      </c>
      <c r="J1667" t="e">
        <f ca="1">BDP("914054NX Muni","BICS_LEVEL_2_INDUSTRY_GROUP_NAME")</f>
        <v>#NAME?</v>
      </c>
      <c r="K1667" t="e">
        <f ca="1">BDP("914054NX Muni","SELF_REPRTD_GREEN_INSTR_INDCTR")</f>
        <v>#NAME?</v>
      </c>
      <c r="L1667" t="e">
        <f ca="1">BDP("914054NX Muni","GB_MANAGEMENT_PROCEEDS")</f>
        <v>#NAME?</v>
      </c>
      <c r="M1667" t="e">
        <f ca="1">BDP("914054NX Muni","GB_REPORTING")</f>
        <v>#NAME?</v>
      </c>
      <c r="N1667" t="e">
        <f ca="1">BDP("914054NX Muni","GB_ASSURANCE_PROVIDERS")</f>
        <v>#NAME?</v>
      </c>
      <c r="O1667" t="e">
        <f ca="1">BDP("914054NX Muni","GB_PROJECT_SELECTION_PROCESS")</f>
        <v>#NAME?</v>
      </c>
      <c r="P1667" t="e">
        <f ca="1">BDP("914054NX Muni","ESG_FRAMEWORK_INDICATOR")</f>
        <v>#NAME?</v>
      </c>
      <c r="Q1667" t="e">
        <f ca="1">BDP("914054NX Muni","BLOOMBERG_SECTOR_CODE")</f>
        <v>#NAME?</v>
      </c>
      <c r="R1667" t="e">
        <f ca="1">BDP("914054NX Muni","ISSUER_TYPE")</f>
        <v>#NAME?</v>
      </c>
      <c r="S1667" t="e">
        <f ca="1">BDS("914054NX Muni","ESG_PROJECT_CATEGORY", "aggregate=y")</f>
        <v>#NAME?</v>
      </c>
      <c r="T1667" t="e">
        <f ca="1">BDS("914054NX Muni","ESG_PROJECT_SUBCATEGORY", "aggregate=y")</f>
        <v>#NAME?</v>
      </c>
    </row>
    <row r="1668" spans="1:20" x14ac:dyDescent="0.25">
      <c r="A1668" t="e">
        <f ca="1">BDP("914054NV Muni","ID_CUSIP")</f>
        <v>#NAME?</v>
      </c>
      <c r="B1668" t="e">
        <f ca="1">BDP("914054NV Muni","STATE_CODE")</f>
        <v>#NAME?</v>
      </c>
      <c r="C1668" t="s">
        <v>100</v>
      </c>
      <c r="D1668" t="e">
        <f ca="1">BDP("914054NV Muni","YIELD_ON_ISSUE_DATE")</f>
        <v>#NAME?</v>
      </c>
      <c r="E1668">
        <v>28340000</v>
      </c>
      <c r="F1668" t="e">
        <f ca="1">BDP("914054NV Muni","ISSUE_DT")</f>
        <v>#NAME?</v>
      </c>
      <c r="G1668" t="e">
        <f ca="1">BDP("914054NV Muni","MATURITY")</f>
        <v>#NAME?</v>
      </c>
      <c r="H1668" t="e">
        <f ca="1">BDP("914054NV Muni","MUNI_TAX_PROV")</f>
        <v>#NAME?</v>
      </c>
      <c r="I1668" t="e">
        <f ca="1">BDP("914054NV Muni","FINANCING_TYPE")</f>
        <v>#NAME?</v>
      </c>
      <c r="J1668" t="e">
        <f ca="1">BDP("914054NV Muni","BICS_LEVEL_2_INDUSTRY_GROUP_NAME")</f>
        <v>#NAME?</v>
      </c>
      <c r="K1668" t="e">
        <f ca="1">BDP("914054NV Muni","SELF_REPRTD_GREEN_INSTR_INDCTR")</f>
        <v>#NAME?</v>
      </c>
      <c r="L1668" t="e">
        <f ca="1">BDP("914054NV Muni","GB_MANAGEMENT_PROCEEDS")</f>
        <v>#NAME?</v>
      </c>
      <c r="M1668" t="e">
        <f ca="1">BDP("914054NV Muni","GB_REPORTING")</f>
        <v>#NAME?</v>
      </c>
      <c r="N1668" t="e">
        <f ca="1">BDP("914054NV Muni","GB_ASSURANCE_PROVIDERS")</f>
        <v>#NAME?</v>
      </c>
      <c r="O1668" t="e">
        <f ca="1">BDP("914054NV Muni","GB_PROJECT_SELECTION_PROCESS")</f>
        <v>#NAME?</v>
      </c>
      <c r="P1668" t="e">
        <f ca="1">BDP("914054NV Muni","ESG_FRAMEWORK_INDICATOR")</f>
        <v>#NAME?</v>
      </c>
      <c r="Q1668" t="e">
        <f ca="1">BDP("914054NV Muni","BLOOMBERG_SECTOR_CODE")</f>
        <v>#NAME?</v>
      </c>
      <c r="R1668" t="e">
        <f ca="1">BDP("914054NV Muni","ISSUER_TYPE")</f>
        <v>#NAME?</v>
      </c>
      <c r="S1668" t="e">
        <f ca="1">BDS("914054NV Muni","ESG_PROJECT_CATEGORY", "aggregate=y")</f>
        <v>#NAME?</v>
      </c>
      <c r="T1668" t="e">
        <f ca="1">BDS("914054NV Muni","ESG_PROJECT_SUBCATEGORY", "aggregate=y")</f>
        <v>#NAME?</v>
      </c>
    </row>
    <row r="1669" spans="1:20" x14ac:dyDescent="0.25">
      <c r="A1669" t="e">
        <f ca="1">BDP("914054NW Muni","ID_CUSIP")</f>
        <v>#NAME?</v>
      </c>
      <c r="B1669" t="e">
        <f ca="1">BDP("914054NW Muni","STATE_CODE")</f>
        <v>#NAME?</v>
      </c>
      <c r="C1669" t="s">
        <v>100</v>
      </c>
      <c r="D1669" t="e">
        <f ca="1">BDP("914054NW Muni","YIELD_ON_ISSUE_DATE")</f>
        <v>#NAME?</v>
      </c>
      <c r="E1669">
        <v>3630000</v>
      </c>
      <c r="F1669" t="e">
        <f ca="1">BDP("914054NW Muni","ISSUE_DT")</f>
        <v>#NAME?</v>
      </c>
      <c r="G1669" t="e">
        <f ca="1">BDP("914054NW Muni","MATURITY")</f>
        <v>#NAME?</v>
      </c>
      <c r="H1669" t="e">
        <f ca="1">BDP("914054NW Muni","MUNI_TAX_PROV")</f>
        <v>#NAME?</v>
      </c>
      <c r="I1669" t="e">
        <f ca="1">BDP("914054NW Muni","FINANCING_TYPE")</f>
        <v>#NAME?</v>
      </c>
      <c r="J1669" t="e">
        <f ca="1">BDP("914054NW Muni","BICS_LEVEL_2_INDUSTRY_GROUP_NAME")</f>
        <v>#NAME?</v>
      </c>
      <c r="K1669" t="e">
        <f ca="1">BDP("914054NW Muni","SELF_REPRTD_GREEN_INSTR_INDCTR")</f>
        <v>#NAME?</v>
      </c>
      <c r="L1669" t="e">
        <f ca="1">BDP("914054NW Muni","GB_MANAGEMENT_PROCEEDS")</f>
        <v>#NAME?</v>
      </c>
      <c r="M1669" t="e">
        <f ca="1">BDP("914054NW Muni","GB_REPORTING")</f>
        <v>#NAME?</v>
      </c>
      <c r="N1669" t="e">
        <f ca="1">BDP("914054NW Muni","GB_ASSURANCE_PROVIDERS")</f>
        <v>#NAME?</v>
      </c>
      <c r="O1669" t="e">
        <f ca="1">BDP("914054NW Muni","GB_PROJECT_SELECTION_PROCESS")</f>
        <v>#NAME?</v>
      </c>
      <c r="P1669" t="e">
        <f ca="1">BDP("914054NW Muni","ESG_FRAMEWORK_INDICATOR")</f>
        <v>#NAME?</v>
      </c>
      <c r="Q1669" t="e">
        <f ca="1">BDP("914054NW Muni","BLOOMBERG_SECTOR_CODE")</f>
        <v>#NAME?</v>
      </c>
      <c r="R1669" t="e">
        <f ca="1">BDP("914054NW Muni","ISSUER_TYPE")</f>
        <v>#NAME?</v>
      </c>
      <c r="S1669" t="e">
        <f ca="1">BDS("914054NW Muni","ESG_PROJECT_CATEGORY", "aggregate=y")</f>
        <v>#NAME?</v>
      </c>
      <c r="T1669" t="e">
        <f ca="1">BDS("914054NW Muni","ESG_PROJECT_SUBCATEGORY", "aggregate=y")</f>
        <v>#NAME?</v>
      </c>
    </row>
    <row r="1670" spans="1:20" x14ac:dyDescent="0.25">
      <c r="A1670" t="e">
        <f ca="1">BDP("76223MCL Muni","ID_CUSIP")</f>
        <v>#NAME?</v>
      </c>
      <c r="B1670" t="e">
        <f ca="1">BDP("76223MCL Muni","STATE_CODE")</f>
        <v>#NAME?</v>
      </c>
      <c r="C1670" t="s">
        <v>101</v>
      </c>
      <c r="D1670" t="e">
        <f ca="1">BDP("76223MCL Muni","YIELD_ON_ISSUE_DATE")</f>
        <v>#NAME?</v>
      </c>
      <c r="E1670">
        <v>2545000</v>
      </c>
      <c r="F1670" t="e">
        <f ca="1">BDP("76223MCL Muni","ISSUE_DT")</f>
        <v>#NAME?</v>
      </c>
      <c r="G1670" t="e">
        <f ca="1">BDP("76223MCL Muni","MATURITY")</f>
        <v>#NAME?</v>
      </c>
      <c r="H1670" t="e">
        <f ca="1">BDP("76223MCL Muni","MUNI_TAX_PROV")</f>
        <v>#NAME?</v>
      </c>
      <c r="I1670" t="e">
        <f ca="1">BDP("76223MCL Muni","FINANCING_TYPE")</f>
        <v>#NAME?</v>
      </c>
      <c r="J1670" t="e">
        <f ca="1">BDP("76223MCL Muni","BICS_LEVEL_2_INDUSTRY_GROUP_NAME")</f>
        <v>#NAME?</v>
      </c>
      <c r="K1670" t="e">
        <f ca="1">BDP("76223MCL Muni","SELF_REPRTD_GREEN_INSTR_INDCTR")</f>
        <v>#NAME?</v>
      </c>
      <c r="L1670" t="e">
        <f ca="1">BDP("76223MCL Muni","GB_MANAGEMENT_PROCEEDS")</f>
        <v>#NAME?</v>
      </c>
      <c r="M1670" t="e">
        <f ca="1">BDP("76223MCL Muni","GB_REPORTING")</f>
        <v>#NAME?</v>
      </c>
      <c r="N1670" t="e">
        <f ca="1">BDP("76223MCL Muni","GB_ASSURANCE_PROVIDERS")</f>
        <v>#NAME?</v>
      </c>
      <c r="O1670" t="e">
        <f ca="1">BDP("76223MCL Muni","GB_PROJECT_SELECTION_PROCESS")</f>
        <v>#NAME?</v>
      </c>
      <c r="P1670" t="e">
        <f ca="1">BDP("76223MCL Muni","ESG_FRAMEWORK_INDICATOR")</f>
        <v>#NAME?</v>
      </c>
      <c r="Q1670" t="e">
        <f ca="1">BDP("76223MCL Muni","BLOOMBERG_SECTOR_CODE")</f>
        <v>#NAME?</v>
      </c>
      <c r="R1670" t="e">
        <f ca="1">BDP("76223MCL Muni","ISSUER_TYPE")</f>
        <v>#NAME?</v>
      </c>
      <c r="S1670" t="e">
        <f ca="1">BDS("76223MCL Muni","ESG_PROJECT_CATEGORY", "aggregate=y")</f>
        <v>#NAME?</v>
      </c>
      <c r="T1670" t="e">
        <f ca="1">BDS("76223MCL Muni","ESG_PROJECT_SUBCATEGORY", "aggregate=y")</f>
        <v>#NAME?</v>
      </c>
    </row>
    <row r="1671" spans="1:20" x14ac:dyDescent="0.25">
      <c r="A1671" t="e">
        <f ca="1">BDP("76223MCM Muni","ID_CUSIP")</f>
        <v>#NAME?</v>
      </c>
      <c r="B1671" t="e">
        <f ca="1">BDP("76223MCM Muni","STATE_CODE")</f>
        <v>#NAME?</v>
      </c>
      <c r="C1671" t="s">
        <v>101</v>
      </c>
      <c r="D1671" t="e">
        <f ca="1">BDP("76223MCM Muni","YIELD_ON_ISSUE_DATE")</f>
        <v>#NAME?</v>
      </c>
      <c r="E1671">
        <v>1755000</v>
      </c>
      <c r="F1671" t="e">
        <f ca="1">BDP("76223MCM Muni","ISSUE_DT")</f>
        <v>#NAME?</v>
      </c>
      <c r="G1671" t="e">
        <f ca="1">BDP("76223MCM Muni","MATURITY")</f>
        <v>#NAME?</v>
      </c>
      <c r="H1671" t="e">
        <f ca="1">BDP("76223MCM Muni","MUNI_TAX_PROV")</f>
        <v>#NAME?</v>
      </c>
      <c r="I1671" t="e">
        <f ca="1">BDP("76223MCM Muni","FINANCING_TYPE")</f>
        <v>#NAME?</v>
      </c>
      <c r="J1671" t="e">
        <f ca="1">BDP("76223MCM Muni","BICS_LEVEL_2_INDUSTRY_GROUP_NAME")</f>
        <v>#NAME?</v>
      </c>
      <c r="K1671" t="e">
        <f ca="1">BDP("76223MCM Muni","SELF_REPRTD_GREEN_INSTR_INDCTR")</f>
        <v>#NAME?</v>
      </c>
      <c r="L1671" t="e">
        <f ca="1">BDP("76223MCM Muni","GB_MANAGEMENT_PROCEEDS")</f>
        <v>#NAME?</v>
      </c>
      <c r="M1671" t="e">
        <f ca="1">BDP("76223MCM Muni","GB_REPORTING")</f>
        <v>#NAME?</v>
      </c>
      <c r="N1671" t="e">
        <f ca="1">BDP("76223MCM Muni","GB_ASSURANCE_PROVIDERS")</f>
        <v>#NAME?</v>
      </c>
      <c r="O1671" t="e">
        <f ca="1">BDP("76223MCM Muni","GB_PROJECT_SELECTION_PROCESS")</f>
        <v>#NAME?</v>
      </c>
      <c r="P1671" t="e">
        <f ca="1">BDP("76223MCM Muni","ESG_FRAMEWORK_INDICATOR")</f>
        <v>#NAME?</v>
      </c>
      <c r="Q1671" t="e">
        <f ca="1">BDP("76223MCM Muni","BLOOMBERG_SECTOR_CODE")</f>
        <v>#NAME?</v>
      </c>
      <c r="R1671" t="e">
        <f ca="1">BDP("76223MCM Muni","ISSUER_TYPE")</f>
        <v>#NAME?</v>
      </c>
      <c r="S1671" t="e">
        <f ca="1">BDS("76223MCM Muni","ESG_PROJECT_CATEGORY", "aggregate=y")</f>
        <v>#NAME?</v>
      </c>
      <c r="T1671" t="e">
        <f ca="1">BDS("76223MCM Muni","ESG_PROJECT_SUBCATEGORY", "aggregate=y")</f>
        <v>#NAME?</v>
      </c>
    </row>
    <row r="1672" spans="1:20" x14ac:dyDescent="0.25">
      <c r="A1672" t="e">
        <f ca="1">BDP("76223MCN Muni","ID_CUSIP")</f>
        <v>#NAME?</v>
      </c>
      <c r="B1672" t="e">
        <f ca="1">BDP("76223MCN Muni","STATE_CODE")</f>
        <v>#NAME?</v>
      </c>
      <c r="C1672" t="s">
        <v>101</v>
      </c>
      <c r="D1672" t="e">
        <f ca="1">BDP("76223MCN Muni","YIELD_ON_ISSUE_DATE")</f>
        <v>#NAME?</v>
      </c>
      <c r="E1672">
        <v>2745000</v>
      </c>
      <c r="F1672" t="e">
        <f ca="1">BDP("76223MCN Muni","ISSUE_DT")</f>
        <v>#NAME?</v>
      </c>
      <c r="G1672" t="e">
        <f ca="1">BDP("76223MCN Muni","MATURITY")</f>
        <v>#NAME?</v>
      </c>
      <c r="H1672" t="e">
        <f ca="1">BDP("76223MCN Muni","MUNI_TAX_PROV")</f>
        <v>#NAME?</v>
      </c>
      <c r="I1672" t="e">
        <f ca="1">BDP("76223MCN Muni","FINANCING_TYPE")</f>
        <v>#NAME?</v>
      </c>
      <c r="J1672" t="e">
        <f ca="1">BDP("76223MCN Muni","BICS_LEVEL_2_INDUSTRY_GROUP_NAME")</f>
        <v>#NAME?</v>
      </c>
      <c r="K1672" t="e">
        <f ca="1">BDP("76223MCN Muni","SELF_REPRTD_GREEN_INSTR_INDCTR")</f>
        <v>#NAME?</v>
      </c>
      <c r="L1672" t="e">
        <f ca="1">BDP("76223MCN Muni","GB_MANAGEMENT_PROCEEDS")</f>
        <v>#NAME?</v>
      </c>
      <c r="M1672" t="e">
        <f ca="1">BDP("76223MCN Muni","GB_REPORTING")</f>
        <v>#NAME?</v>
      </c>
      <c r="N1672" t="e">
        <f ca="1">BDP("76223MCN Muni","GB_ASSURANCE_PROVIDERS")</f>
        <v>#NAME?</v>
      </c>
      <c r="O1672" t="e">
        <f ca="1">BDP("76223MCN Muni","GB_PROJECT_SELECTION_PROCESS")</f>
        <v>#NAME?</v>
      </c>
      <c r="P1672" t="e">
        <f ca="1">BDP("76223MCN Muni","ESG_FRAMEWORK_INDICATOR")</f>
        <v>#NAME?</v>
      </c>
      <c r="Q1672" t="e">
        <f ca="1">BDP("76223MCN Muni","BLOOMBERG_SECTOR_CODE")</f>
        <v>#NAME?</v>
      </c>
      <c r="R1672" t="e">
        <f ca="1">BDP("76223MCN Muni","ISSUER_TYPE")</f>
        <v>#NAME?</v>
      </c>
      <c r="S1672" t="e">
        <f ca="1">BDS("76223MCN Muni","ESG_PROJECT_CATEGORY", "aggregate=y")</f>
        <v>#NAME?</v>
      </c>
      <c r="T1672" t="e">
        <f ca="1">BDS("76223MCN Muni","ESG_PROJECT_SUBCATEGORY", "aggregate=y")</f>
        <v>#NAME?</v>
      </c>
    </row>
    <row r="1673" spans="1:20" x14ac:dyDescent="0.25">
      <c r="A1673" t="e">
        <f ca="1">BDP("76223MCP Muni","ID_CUSIP")</f>
        <v>#NAME?</v>
      </c>
      <c r="B1673" t="e">
        <f ca="1">BDP("76223MCP Muni","STATE_CODE")</f>
        <v>#NAME?</v>
      </c>
      <c r="C1673" t="s">
        <v>101</v>
      </c>
      <c r="D1673" t="e">
        <f ca="1">BDP("76223MCP Muni","YIELD_ON_ISSUE_DATE")</f>
        <v>#NAME?</v>
      </c>
      <c r="E1673">
        <v>2625000</v>
      </c>
      <c r="F1673" t="e">
        <f ca="1">BDP("76223MCP Muni","ISSUE_DT")</f>
        <v>#NAME?</v>
      </c>
      <c r="G1673" t="e">
        <f ca="1">BDP("76223MCP Muni","MATURITY")</f>
        <v>#NAME?</v>
      </c>
      <c r="H1673" t="e">
        <f ca="1">BDP("76223MCP Muni","MUNI_TAX_PROV")</f>
        <v>#NAME?</v>
      </c>
      <c r="I1673" t="e">
        <f ca="1">BDP("76223MCP Muni","FINANCING_TYPE")</f>
        <v>#NAME?</v>
      </c>
      <c r="J1673" t="e">
        <f ca="1">BDP("76223MCP Muni","BICS_LEVEL_2_INDUSTRY_GROUP_NAME")</f>
        <v>#NAME?</v>
      </c>
      <c r="K1673" t="e">
        <f ca="1">BDP("76223MCP Muni","SELF_REPRTD_GREEN_INSTR_INDCTR")</f>
        <v>#NAME?</v>
      </c>
      <c r="L1673" t="e">
        <f ca="1">BDP("76223MCP Muni","GB_MANAGEMENT_PROCEEDS")</f>
        <v>#NAME?</v>
      </c>
      <c r="M1673" t="e">
        <f ca="1">BDP("76223MCP Muni","GB_REPORTING")</f>
        <v>#NAME?</v>
      </c>
      <c r="N1673" t="e">
        <f ca="1">BDP("76223MCP Muni","GB_ASSURANCE_PROVIDERS")</f>
        <v>#NAME?</v>
      </c>
      <c r="O1673" t="e">
        <f ca="1">BDP("76223MCP Muni","GB_PROJECT_SELECTION_PROCESS")</f>
        <v>#NAME?</v>
      </c>
      <c r="P1673" t="e">
        <f ca="1">BDP("76223MCP Muni","ESG_FRAMEWORK_INDICATOR")</f>
        <v>#NAME?</v>
      </c>
      <c r="Q1673" t="e">
        <f ca="1">BDP("76223MCP Muni","BLOOMBERG_SECTOR_CODE")</f>
        <v>#NAME?</v>
      </c>
      <c r="R1673" t="e">
        <f ca="1">BDP("76223MCP Muni","ISSUER_TYPE")</f>
        <v>#NAME?</v>
      </c>
      <c r="S1673" t="e">
        <f ca="1">BDS("76223MCP Muni","ESG_PROJECT_CATEGORY", "aggregate=y")</f>
        <v>#NAME?</v>
      </c>
      <c r="T1673" t="e">
        <f ca="1">BDS("76223MCP Muni","ESG_PROJECT_SUBCATEGORY", "aggregate=y")</f>
        <v>#NAME?</v>
      </c>
    </row>
    <row r="1674" spans="1:20" x14ac:dyDescent="0.25">
      <c r="A1674" t="e">
        <f ca="1">BDP("76223MCQ Muni","ID_CUSIP")</f>
        <v>#NAME?</v>
      </c>
      <c r="B1674" t="e">
        <f ca="1">BDP("76223MCQ Muni","STATE_CODE")</f>
        <v>#NAME?</v>
      </c>
      <c r="C1674" t="s">
        <v>101</v>
      </c>
      <c r="D1674" t="e">
        <f ca="1">BDP("76223MCQ Muni","YIELD_ON_ISSUE_DATE")</f>
        <v>#NAME?</v>
      </c>
      <c r="E1674">
        <v>2400000</v>
      </c>
      <c r="F1674" t="e">
        <f ca="1">BDP("76223MCQ Muni","ISSUE_DT")</f>
        <v>#NAME?</v>
      </c>
      <c r="G1674" t="e">
        <f ca="1">BDP("76223MCQ Muni","MATURITY")</f>
        <v>#NAME?</v>
      </c>
      <c r="H1674" t="e">
        <f ca="1">BDP("76223MCQ Muni","MUNI_TAX_PROV")</f>
        <v>#NAME?</v>
      </c>
      <c r="I1674" t="e">
        <f ca="1">BDP("76223MCQ Muni","FINANCING_TYPE")</f>
        <v>#NAME?</v>
      </c>
      <c r="J1674" t="e">
        <f ca="1">BDP("76223MCQ Muni","BICS_LEVEL_2_INDUSTRY_GROUP_NAME")</f>
        <v>#NAME?</v>
      </c>
      <c r="K1674" t="e">
        <f ca="1">BDP("76223MCQ Muni","SELF_REPRTD_GREEN_INSTR_INDCTR")</f>
        <v>#NAME?</v>
      </c>
      <c r="L1674" t="e">
        <f ca="1">BDP("76223MCQ Muni","GB_MANAGEMENT_PROCEEDS")</f>
        <v>#NAME?</v>
      </c>
      <c r="M1674" t="e">
        <f ca="1">BDP("76223MCQ Muni","GB_REPORTING")</f>
        <v>#NAME?</v>
      </c>
      <c r="N1674" t="e">
        <f ca="1">BDP("76223MCQ Muni","GB_ASSURANCE_PROVIDERS")</f>
        <v>#NAME?</v>
      </c>
      <c r="O1674" t="e">
        <f ca="1">BDP("76223MCQ Muni","GB_PROJECT_SELECTION_PROCESS")</f>
        <v>#NAME?</v>
      </c>
      <c r="P1674" t="e">
        <f ca="1">BDP("76223MCQ Muni","ESG_FRAMEWORK_INDICATOR")</f>
        <v>#NAME?</v>
      </c>
      <c r="Q1674" t="e">
        <f ca="1">BDP("76223MCQ Muni","BLOOMBERG_SECTOR_CODE")</f>
        <v>#NAME?</v>
      </c>
      <c r="R1674" t="e">
        <f ca="1">BDP("76223MCQ Muni","ISSUER_TYPE")</f>
        <v>#NAME?</v>
      </c>
      <c r="S1674" t="e">
        <f ca="1">BDS("76223MCQ Muni","ESG_PROJECT_CATEGORY", "aggregate=y")</f>
        <v>#NAME?</v>
      </c>
      <c r="T1674" t="e">
        <f ca="1">BDS("76223MCQ Muni","ESG_PROJECT_SUBCATEGORY", "aggregate=y")</f>
        <v>#NAME?</v>
      </c>
    </row>
    <row r="1675" spans="1:20" x14ac:dyDescent="0.25">
      <c r="A1675" t="e">
        <f ca="1">BDP("76223MCR Muni","ID_CUSIP")</f>
        <v>#NAME?</v>
      </c>
      <c r="B1675" t="e">
        <f ca="1">BDP("76223MCR Muni","STATE_CODE")</f>
        <v>#NAME?</v>
      </c>
      <c r="C1675" t="s">
        <v>101</v>
      </c>
      <c r="D1675" t="e">
        <f ca="1">BDP("76223MCR Muni","YIELD_ON_ISSUE_DATE")</f>
        <v>#NAME?</v>
      </c>
      <c r="E1675">
        <v>2610000</v>
      </c>
      <c r="F1675" t="e">
        <f ca="1">BDP("76223MCR Muni","ISSUE_DT")</f>
        <v>#NAME?</v>
      </c>
      <c r="G1675" t="e">
        <f ca="1">BDP("76223MCR Muni","MATURITY")</f>
        <v>#NAME?</v>
      </c>
      <c r="H1675" t="e">
        <f ca="1">BDP("76223MCR Muni","MUNI_TAX_PROV")</f>
        <v>#NAME?</v>
      </c>
      <c r="I1675" t="e">
        <f ca="1">BDP("76223MCR Muni","FINANCING_TYPE")</f>
        <v>#NAME?</v>
      </c>
      <c r="J1675" t="e">
        <f ca="1">BDP("76223MCR Muni","BICS_LEVEL_2_INDUSTRY_GROUP_NAME")</f>
        <v>#NAME?</v>
      </c>
      <c r="K1675" t="e">
        <f ca="1">BDP("76223MCR Muni","SELF_REPRTD_GREEN_INSTR_INDCTR")</f>
        <v>#NAME?</v>
      </c>
      <c r="L1675" t="e">
        <f ca="1">BDP("76223MCR Muni","GB_MANAGEMENT_PROCEEDS")</f>
        <v>#NAME?</v>
      </c>
      <c r="M1675" t="e">
        <f ca="1">BDP("76223MCR Muni","GB_REPORTING")</f>
        <v>#NAME?</v>
      </c>
      <c r="N1675" t="e">
        <f ca="1">BDP("76223MCR Muni","GB_ASSURANCE_PROVIDERS")</f>
        <v>#NAME?</v>
      </c>
      <c r="O1675" t="e">
        <f ca="1">BDP("76223MCR Muni","GB_PROJECT_SELECTION_PROCESS")</f>
        <v>#NAME?</v>
      </c>
      <c r="P1675" t="e">
        <f ca="1">BDP("76223MCR Muni","ESG_FRAMEWORK_INDICATOR")</f>
        <v>#NAME?</v>
      </c>
      <c r="Q1675" t="e">
        <f ca="1">BDP("76223MCR Muni","BLOOMBERG_SECTOR_CODE")</f>
        <v>#NAME?</v>
      </c>
      <c r="R1675" t="e">
        <f ca="1">BDP("76223MCR Muni","ISSUER_TYPE")</f>
        <v>#NAME?</v>
      </c>
      <c r="S1675" t="e">
        <f ca="1">BDS("76223MCR Muni","ESG_PROJECT_CATEGORY", "aggregate=y")</f>
        <v>#NAME?</v>
      </c>
      <c r="T1675" t="e">
        <f ca="1">BDS("76223MCR Muni","ESG_PROJECT_SUBCATEGORY", "aggregate=y")</f>
        <v>#NAME?</v>
      </c>
    </row>
    <row r="1676" spans="1:20" x14ac:dyDescent="0.25">
      <c r="A1676" t="e">
        <f ca="1">BDP("76223MCS Muni","ID_CUSIP")</f>
        <v>#NAME?</v>
      </c>
      <c r="B1676" t="e">
        <f ca="1">BDP("76223MCS Muni","STATE_CODE")</f>
        <v>#NAME?</v>
      </c>
      <c r="C1676" t="s">
        <v>101</v>
      </c>
      <c r="D1676" t="e">
        <f ca="1">BDP("76223MCS Muni","YIELD_ON_ISSUE_DATE")</f>
        <v>#NAME?</v>
      </c>
      <c r="E1676">
        <v>1685000</v>
      </c>
      <c r="F1676" t="e">
        <f ca="1">BDP("76223MCS Muni","ISSUE_DT")</f>
        <v>#NAME?</v>
      </c>
      <c r="G1676" t="e">
        <f ca="1">BDP("76223MCS Muni","MATURITY")</f>
        <v>#NAME?</v>
      </c>
      <c r="H1676" t="e">
        <f ca="1">BDP("76223MCS Muni","MUNI_TAX_PROV")</f>
        <v>#NAME?</v>
      </c>
      <c r="I1676" t="e">
        <f ca="1">BDP("76223MCS Muni","FINANCING_TYPE")</f>
        <v>#NAME?</v>
      </c>
      <c r="J1676" t="e">
        <f ca="1">BDP("76223MCS Muni","BICS_LEVEL_2_INDUSTRY_GROUP_NAME")</f>
        <v>#NAME?</v>
      </c>
      <c r="K1676" t="e">
        <f ca="1">BDP("76223MCS Muni","SELF_REPRTD_GREEN_INSTR_INDCTR")</f>
        <v>#NAME?</v>
      </c>
      <c r="L1676" t="e">
        <f ca="1">BDP("76223MCS Muni","GB_MANAGEMENT_PROCEEDS")</f>
        <v>#NAME?</v>
      </c>
      <c r="M1676" t="e">
        <f ca="1">BDP("76223MCS Muni","GB_REPORTING")</f>
        <v>#NAME?</v>
      </c>
      <c r="N1676" t="e">
        <f ca="1">BDP("76223MCS Muni","GB_ASSURANCE_PROVIDERS")</f>
        <v>#NAME?</v>
      </c>
      <c r="O1676" t="e">
        <f ca="1">BDP("76223MCS Muni","GB_PROJECT_SELECTION_PROCESS")</f>
        <v>#NAME?</v>
      </c>
      <c r="P1676" t="e">
        <f ca="1">BDP("76223MCS Muni","ESG_FRAMEWORK_INDICATOR")</f>
        <v>#NAME?</v>
      </c>
      <c r="Q1676" t="e">
        <f ca="1">BDP("76223MCS Muni","BLOOMBERG_SECTOR_CODE")</f>
        <v>#NAME?</v>
      </c>
      <c r="R1676" t="e">
        <f ca="1">BDP("76223MCS Muni","ISSUER_TYPE")</f>
        <v>#NAME?</v>
      </c>
      <c r="S1676" t="e">
        <f ca="1">BDS("76223MCS Muni","ESG_PROJECT_CATEGORY", "aggregate=y")</f>
        <v>#NAME?</v>
      </c>
      <c r="T1676" t="e">
        <f ca="1">BDS("76223MCS Muni","ESG_PROJECT_SUBCATEGORY", "aggregate=y")</f>
        <v>#NAME?</v>
      </c>
    </row>
    <row r="1677" spans="1:20" x14ac:dyDescent="0.25">
      <c r="A1677" t="e">
        <f ca="1">BDP("76223MCT Muni","ID_CUSIP")</f>
        <v>#NAME?</v>
      </c>
      <c r="B1677" t="e">
        <f ca="1">BDP("76223MCT Muni","STATE_CODE")</f>
        <v>#NAME?</v>
      </c>
      <c r="C1677" t="s">
        <v>101</v>
      </c>
      <c r="D1677" t="e">
        <f ca="1">BDP("76223MCT Muni","YIELD_ON_ISSUE_DATE")</f>
        <v>#NAME?</v>
      </c>
      <c r="E1677">
        <v>2990000</v>
      </c>
      <c r="F1677" t="e">
        <f ca="1">BDP("76223MCT Muni","ISSUE_DT")</f>
        <v>#NAME?</v>
      </c>
      <c r="G1677" t="e">
        <f ca="1">BDP("76223MCT Muni","MATURITY")</f>
        <v>#NAME?</v>
      </c>
      <c r="H1677" t="e">
        <f ca="1">BDP("76223MCT Muni","MUNI_TAX_PROV")</f>
        <v>#NAME?</v>
      </c>
      <c r="I1677" t="e">
        <f ca="1">BDP("76223MCT Muni","FINANCING_TYPE")</f>
        <v>#NAME?</v>
      </c>
      <c r="J1677" t="e">
        <f ca="1">BDP("76223MCT Muni","BICS_LEVEL_2_INDUSTRY_GROUP_NAME")</f>
        <v>#NAME?</v>
      </c>
      <c r="K1677" t="e">
        <f ca="1">BDP("76223MCT Muni","SELF_REPRTD_GREEN_INSTR_INDCTR")</f>
        <v>#NAME?</v>
      </c>
      <c r="L1677" t="e">
        <f ca="1">BDP("76223MCT Muni","GB_MANAGEMENT_PROCEEDS")</f>
        <v>#NAME?</v>
      </c>
      <c r="M1677" t="e">
        <f ca="1">BDP("76223MCT Muni","GB_REPORTING")</f>
        <v>#NAME?</v>
      </c>
      <c r="N1677" t="e">
        <f ca="1">BDP("76223MCT Muni","GB_ASSURANCE_PROVIDERS")</f>
        <v>#NAME?</v>
      </c>
      <c r="O1677" t="e">
        <f ca="1">BDP("76223MCT Muni","GB_PROJECT_SELECTION_PROCESS")</f>
        <v>#NAME?</v>
      </c>
      <c r="P1677" t="e">
        <f ca="1">BDP("76223MCT Muni","ESG_FRAMEWORK_INDICATOR")</f>
        <v>#NAME?</v>
      </c>
      <c r="Q1677" t="e">
        <f ca="1">BDP("76223MCT Muni","BLOOMBERG_SECTOR_CODE")</f>
        <v>#NAME?</v>
      </c>
      <c r="R1677" t="e">
        <f ca="1">BDP("76223MCT Muni","ISSUER_TYPE")</f>
        <v>#NAME?</v>
      </c>
      <c r="S1677" t="e">
        <f ca="1">BDS("76223MCT Muni","ESG_PROJECT_CATEGORY", "aggregate=y")</f>
        <v>#NAME?</v>
      </c>
      <c r="T1677" t="e">
        <f ca="1">BDS("76223MCT Muni","ESG_PROJECT_SUBCATEGORY", "aggregate=y")</f>
        <v>#NAME?</v>
      </c>
    </row>
    <row r="1678" spans="1:20" x14ac:dyDescent="0.25">
      <c r="A1678" t="e">
        <f ca="1">BDP("76223MCU Muni","ID_CUSIP")</f>
        <v>#NAME?</v>
      </c>
      <c r="B1678" t="e">
        <f ca="1">BDP("76223MCU Muni","STATE_CODE")</f>
        <v>#NAME?</v>
      </c>
      <c r="C1678" t="s">
        <v>101</v>
      </c>
      <c r="D1678" t="e">
        <f ca="1">BDP("76223MCU Muni","YIELD_ON_ISSUE_DATE")</f>
        <v>#NAME?</v>
      </c>
      <c r="E1678">
        <v>3110000</v>
      </c>
      <c r="F1678" t="e">
        <f ca="1">BDP("76223MCU Muni","ISSUE_DT")</f>
        <v>#NAME?</v>
      </c>
      <c r="G1678" t="e">
        <f ca="1">BDP("76223MCU Muni","MATURITY")</f>
        <v>#NAME?</v>
      </c>
      <c r="H1678" t="e">
        <f ca="1">BDP("76223MCU Muni","MUNI_TAX_PROV")</f>
        <v>#NAME?</v>
      </c>
      <c r="I1678" t="e">
        <f ca="1">BDP("76223MCU Muni","FINANCING_TYPE")</f>
        <v>#NAME?</v>
      </c>
      <c r="J1678" t="e">
        <f ca="1">BDP("76223MCU Muni","BICS_LEVEL_2_INDUSTRY_GROUP_NAME")</f>
        <v>#NAME?</v>
      </c>
      <c r="K1678" t="e">
        <f ca="1">BDP("76223MCU Muni","SELF_REPRTD_GREEN_INSTR_INDCTR")</f>
        <v>#NAME?</v>
      </c>
      <c r="L1678" t="e">
        <f ca="1">BDP("76223MCU Muni","GB_MANAGEMENT_PROCEEDS")</f>
        <v>#NAME?</v>
      </c>
      <c r="M1678" t="e">
        <f ca="1">BDP("76223MCU Muni","GB_REPORTING")</f>
        <v>#NAME?</v>
      </c>
      <c r="N1678" t="e">
        <f ca="1">BDP("76223MCU Muni","GB_ASSURANCE_PROVIDERS")</f>
        <v>#NAME?</v>
      </c>
      <c r="O1678" t="e">
        <f ca="1">BDP("76223MCU Muni","GB_PROJECT_SELECTION_PROCESS")</f>
        <v>#NAME?</v>
      </c>
      <c r="P1678" t="e">
        <f ca="1">BDP("76223MCU Muni","ESG_FRAMEWORK_INDICATOR")</f>
        <v>#NAME?</v>
      </c>
      <c r="Q1678" t="e">
        <f ca="1">BDP("76223MCU Muni","BLOOMBERG_SECTOR_CODE")</f>
        <v>#NAME?</v>
      </c>
      <c r="R1678" t="e">
        <f ca="1">BDP("76223MCU Muni","ISSUER_TYPE")</f>
        <v>#NAME?</v>
      </c>
      <c r="S1678" t="e">
        <f ca="1">BDS("76223MCU Muni","ESG_PROJECT_CATEGORY", "aggregate=y")</f>
        <v>#NAME?</v>
      </c>
      <c r="T1678" t="e">
        <f ca="1">BDS("76223MCU Muni","ESG_PROJECT_SUBCATEGORY", "aggregate=y")</f>
        <v>#NAME?</v>
      </c>
    </row>
    <row r="1679" spans="1:20" x14ac:dyDescent="0.25">
      <c r="A1679" t="e">
        <f ca="1">BDP("76223MCV Muni","ID_CUSIP")</f>
        <v>#NAME?</v>
      </c>
      <c r="B1679" t="e">
        <f ca="1">BDP("76223MCV Muni","STATE_CODE")</f>
        <v>#NAME?</v>
      </c>
      <c r="C1679" t="s">
        <v>101</v>
      </c>
      <c r="D1679" t="e">
        <f ca="1">BDP("76223MCV Muni","YIELD_ON_ISSUE_DATE")</f>
        <v>#NAME?</v>
      </c>
      <c r="E1679">
        <v>2960000</v>
      </c>
      <c r="F1679" t="e">
        <f ca="1">BDP("76223MCV Muni","ISSUE_DT")</f>
        <v>#NAME?</v>
      </c>
      <c r="G1679" t="e">
        <f ca="1">BDP("76223MCV Muni","MATURITY")</f>
        <v>#NAME?</v>
      </c>
      <c r="H1679" t="e">
        <f ca="1">BDP("76223MCV Muni","MUNI_TAX_PROV")</f>
        <v>#NAME?</v>
      </c>
      <c r="I1679" t="e">
        <f ca="1">BDP("76223MCV Muni","FINANCING_TYPE")</f>
        <v>#NAME?</v>
      </c>
      <c r="J1679" t="e">
        <f ca="1">BDP("76223MCV Muni","BICS_LEVEL_2_INDUSTRY_GROUP_NAME")</f>
        <v>#NAME?</v>
      </c>
      <c r="K1679" t="e">
        <f ca="1">BDP("76223MCV Muni","SELF_REPRTD_GREEN_INSTR_INDCTR")</f>
        <v>#NAME?</v>
      </c>
      <c r="L1679" t="e">
        <f ca="1">BDP("76223MCV Muni","GB_MANAGEMENT_PROCEEDS")</f>
        <v>#NAME?</v>
      </c>
      <c r="M1679" t="e">
        <f ca="1">BDP("76223MCV Muni","GB_REPORTING")</f>
        <v>#NAME?</v>
      </c>
      <c r="N1679" t="e">
        <f ca="1">BDP("76223MCV Muni","GB_ASSURANCE_PROVIDERS")</f>
        <v>#NAME?</v>
      </c>
      <c r="O1679" t="e">
        <f ca="1">BDP("76223MCV Muni","GB_PROJECT_SELECTION_PROCESS")</f>
        <v>#NAME?</v>
      </c>
      <c r="P1679" t="e">
        <f ca="1">BDP("76223MCV Muni","ESG_FRAMEWORK_INDICATOR")</f>
        <v>#NAME?</v>
      </c>
      <c r="Q1679" t="e">
        <f ca="1">BDP("76223MCV Muni","BLOOMBERG_SECTOR_CODE")</f>
        <v>#NAME?</v>
      </c>
      <c r="R1679" t="e">
        <f ca="1">BDP("76223MCV Muni","ISSUER_TYPE")</f>
        <v>#NAME?</v>
      </c>
      <c r="S1679" t="e">
        <f ca="1">BDS("76223MCV Muni","ESG_PROJECT_CATEGORY", "aggregate=y")</f>
        <v>#NAME?</v>
      </c>
      <c r="T1679" t="e">
        <f ca="1">BDS("76223MCV Muni","ESG_PROJECT_SUBCATEGORY", "aggregate=y")</f>
        <v>#NAME?</v>
      </c>
    </row>
    <row r="1680" spans="1:20" x14ac:dyDescent="0.25">
      <c r="A1680" t="e">
        <f ca="1">BDP("76223MCX Muni","ID_CUSIP")</f>
        <v>#NAME?</v>
      </c>
      <c r="B1680" t="e">
        <f ca="1">BDP("76223MCX Muni","STATE_CODE")</f>
        <v>#NAME?</v>
      </c>
      <c r="C1680" t="s">
        <v>101</v>
      </c>
      <c r="D1680" t="e">
        <f ca="1">BDP("76223MCX Muni","YIELD_ON_ISSUE_DATE")</f>
        <v>#NAME?</v>
      </c>
      <c r="E1680">
        <v>3685000</v>
      </c>
      <c r="F1680" t="e">
        <f ca="1">BDP("76223MCX Muni","ISSUE_DT")</f>
        <v>#NAME?</v>
      </c>
      <c r="G1680" t="e">
        <f ca="1">BDP("76223MCX Muni","MATURITY")</f>
        <v>#NAME?</v>
      </c>
      <c r="H1680" t="e">
        <f ca="1">BDP("76223MCX Muni","MUNI_TAX_PROV")</f>
        <v>#NAME?</v>
      </c>
      <c r="I1680" t="e">
        <f ca="1">BDP("76223MCX Muni","FINANCING_TYPE")</f>
        <v>#NAME?</v>
      </c>
      <c r="J1680" t="e">
        <f ca="1">BDP("76223MCX Muni","BICS_LEVEL_2_INDUSTRY_GROUP_NAME")</f>
        <v>#NAME?</v>
      </c>
      <c r="K1680" t="e">
        <f ca="1">BDP("76223MCX Muni","SELF_REPRTD_GREEN_INSTR_INDCTR")</f>
        <v>#NAME?</v>
      </c>
      <c r="L1680" t="e">
        <f ca="1">BDP("76223MCX Muni","GB_MANAGEMENT_PROCEEDS")</f>
        <v>#NAME?</v>
      </c>
      <c r="M1680" t="e">
        <f ca="1">BDP("76223MCX Muni","GB_REPORTING")</f>
        <v>#NAME?</v>
      </c>
      <c r="N1680" t="e">
        <f ca="1">BDP("76223MCX Muni","GB_ASSURANCE_PROVIDERS")</f>
        <v>#NAME?</v>
      </c>
      <c r="O1680" t="e">
        <f ca="1">BDP("76223MCX Muni","GB_PROJECT_SELECTION_PROCESS")</f>
        <v>#NAME?</v>
      </c>
      <c r="P1680" t="e">
        <f ca="1">BDP("76223MCX Muni","ESG_FRAMEWORK_INDICATOR")</f>
        <v>#NAME?</v>
      </c>
      <c r="Q1680" t="e">
        <f ca="1">BDP("76223MCX Muni","BLOOMBERG_SECTOR_CODE")</f>
        <v>#NAME?</v>
      </c>
      <c r="R1680" t="e">
        <f ca="1">BDP("76223MCX Muni","ISSUER_TYPE")</f>
        <v>#NAME?</v>
      </c>
      <c r="S1680" t="e">
        <f ca="1">BDS("76223MCX Muni","ESG_PROJECT_CATEGORY", "aggregate=y")</f>
        <v>#NAME?</v>
      </c>
      <c r="T1680" t="e">
        <f ca="1">BDS("76223MCX Muni","ESG_PROJECT_SUBCATEGORY", "aggregate=y")</f>
        <v>#NAME?</v>
      </c>
    </row>
    <row r="1681" spans="1:20" x14ac:dyDescent="0.25">
      <c r="A1681" t="e">
        <f ca="1">BDP("76223MCY Muni","ID_CUSIP")</f>
        <v>#NAME?</v>
      </c>
      <c r="B1681" t="e">
        <f ca="1">BDP("76223MCY Muni","STATE_CODE")</f>
        <v>#NAME?</v>
      </c>
      <c r="C1681" t="s">
        <v>101</v>
      </c>
      <c r="D1681" t="e">
        <f ca="1">BDP("76223MCY Muni","YIELD_ON_ISSUE_DATE")</f>
        <v>#NAME?</v>
      </c>
      <c r="E1681">
        <v>1515000</v>
      </c>
      <c r="F1681" t="e">
        <f ca="1">BDP("76223MCY Muni","ISSUE_DT")</f>
        <v>#NAME?</v>
      </c>
      <c r="G1681" t="e">
        <f ca="1">BDP("76223MCY Muni","MATURITY")</f>
        <v>#NAME?</v>
      </c>
      <c r="H1681" t="e">
        <f ca="1">BDP("76223MCY Muni","MUNI_TAX_PROV")</f>
        <v>#NAME?</v>
      </c>
      <c r="I1681" t="e">
        <f ca="1">BDP("76223MCY Muni","FINANCING_TYPE")</f>
        <v>#NAME?</v>
      </c>
      <c r="J1681" t="e">
        <f ca="1">BDP("76223MCY Muni","BICS_LEVEL_2_INDUSTRY_GROUP_NAME")</f>
        <v>#NAME?</v>
      </c>
      <c r="K1681" t="e">
        <f ca="1">BDP("76223MCY Muni","SELF_REPRTD_GREEN_INSTR_INDCTR")</f>
        <v>#NAME?</v>
      </c>
      <c r="L1681" t="e">
        <f ca="1">BDP("76223MCY Muni","GB_MANAGEMENT_PROCEEDS")</f>
        <v>#NAME?</v>
      </c>
      <c r="M1681" t="e">
        <f ca="1">BDP("76223MCY Muni","GB_REPORTING")</f>
        <v>#NAME?</v>
      </c>
      <c r="N1681" t="e">
        <f ca="1">BDP("76223MCY Muni","GB_ASSURANCE_PROVIDERS")</f>
        <v>#NAME?</v>
      </c>
      <c r="O1681" t="e">
        <f ca="1">BDP("76223MCY Muni","GB_PROJECT_SELECTION_PROCESS")</f>
        <v>#NAME?</v>
      </c>
      <c r="P1681" t="e">
        <f ca="1">BDP("76223MCY Muni","ESG_FRAMEWORK_INDICATOR")</f>
        <v>#NAME?</v>
      </c>
      <c r="Q1681" t="e">
        <f ca="1">BDP("76223MCY Muni","BLOOMBERG_SECTOR_CODE")</f>
        <v>#NAME?</v>
      </c>
      <c r="R1681" t="e">
        <f ca="1">BDP("76223MCY Muni","ISSUER_TYPE")</f>
        <v>#NAME?</v>
      </c>
      <c r="S1681" t="e">
        <f ca="1">BDS("76223MCY Muni","ESG_PROJECT_CATEGORY", "aggregate=y")</f>
        <v>#NAME?</v>
      </c>
      <c r="T1681" t="e">
        <f ca="1">BDS("76223MCY Muni","ESG_PROJECT_SUBCATEGORY", "aggregate=y")</f>
        <v>#NAME?</v>
      </c>
    </row>
    <row r="1682" spans="1:20" x14ac:dyDescent="0.25">
      <c r="A1682" t="e">
        <f ca="1">BDP("76223MCZ Muni","ID_CUSIP")</f>
        <v>#NAME?</v>
      </c>
      <c r="B1682" t="e">
        <f ca="1">BDP("76223MCZ Muni","STATE_CODE")</f>
        <v>#NAME?</v>
      </c>
      <c r="C1682" t="s">
        <v>101</v>
      </c>
      <c r="D1682" t="e">
        <f ca="1">BDP("76223MCZ Muni","YIELD_ON_ISSUE_DATE")</f>
        <v>#NAME?</v>
      </c>
      <c r="E1682">
        <v>1485000</v>
      </c>
      <c r="F1682" t="e">
        <f ca="1">BDP("76223MCZ Muni","ISSUE_DT")</f>
        <v>#NAME?</v>
      </c>
      <c r="G1682" t="e">
        <f ca="1">BDP("76223MCZ Muni","MATURITY")</f>
        <v>#NAME?</v>
      </c>
      <c r="H1682" t="e">
        <f ca="1">BDP("76223MCZ Muni","MUNI_TAX_PROV")</f>
        <v>#NAME?</v>
      </c>
      <c r="I1682" t="e">
        <f ca="1">BDP("76223MCZ Muni","FINANCING_TYPE")</f>
        <v>#NAME?</v>
      </c>
      <c r="J1682" t="e">
        <f ca="1">BDP("76223MCZ Muni","BICS_LEVEL_2_INDUSTRY_GROUP_NAME")</f>
        <v>#NAME?</v>
      </c>
      <c r="K1682" t="e">
        <f ca="1">BDP("76223MCZ Muni","SELF_REPRTD_GREEN_INSTR_INDCTR")</f>
        <v>#NAME?</v>
      </c>
      <c r="L1682" t="e">
        <f ca="1">BDP("76223MCZ Muni","GB_MANAGEMENT_PROCEEDS")</f>
        <v>#NAME?</v>
      </c>
      <c r="M1682" t="e">
        <f ca="1">BDP("76223MCZ Muni","GB_REPORTING")</f>
        <v>#NAME?</v>
      </c>
      <c r="N1682" t="e">
        <f ca="1">BDP("76223MCZ Muni","GB_ASSURANCE_PROVIDERS")</f>
        <v>#NAME?</v>
      </c>
      <c r="O1682" t="e">
        <f ca="1">BDP("76223MCZ Muni","GB_PROJECT_SELECTION_PROCESS")</f>
        <v>#NAME?</v>
      </c>
      <c r="P1682" t="e">
        <f ca="1">BDP("76223MCZ Muni","ESG_FRAMEWORK_INDICATOR")</f>
        <v>#NAME?</v>
      </c>
      <c r="Q1682" t="e">
        <f ca="1">BDP("76223MCZ Muni","BLOOMBERG_SECTOR_CODE")</f>
        <v>#NAME?</v>
      </c>
      <c r="R1682" t="e">
        <f ca="1">BDP("76223MCZ Muni","ISSUER_TYPE")</f>
        <v>#NAME?</v>
      </c>
      <c r="S1682" t="e">
        <f ca="1">BDS("76223MCZ Muni","ESG_PROJECT_CATEGORY", "aggregate=y")</f>
        <v>#NAME?</v>
      </c>
      <c r="T1682" t="e">
        <f ca="1">BDS("76223MCZ Muni","ESG_PROJECT_SUBCATEGORY", "aggregate=y")</f>
        <v>#NAME?</v>
      </c>
    </row>
    <row r="1683" spans="1:20" x14ac:dyDescent="0.25">
      <c r="A1683" t="e">
        <f ca="1">BDP("76223MDB Muni","ID_CUSIP")</f>
        <v>#NAME?</v>
      </c>
      <c r="B1683" t="e">
        <f ca="1">BDP("76223MDB Muni","STATE_CODE")</f>
        <v>#NAME?</v>
      </c>
      <c r="C1683" t="s">
        <v>101</v>
      </c>
      <c r="D1683" t="e">
        <f ca="1">BDP("76223MDB Muni","YIELD_ON_ISSUE_DATE")</f>
        <v>#NAME?</v>
      </c>
      <c r="E1683">
        <v>1630000</v>
      </c>
      <c r="F1683" t="e">
        <f ca="1">BDP("76223MDB Muni","ISSUE_DT")</f>
        <v>#NAME?</v>
      </c>
      <c r="G1683" t="e">
        <f ca="1">BDP("76223MDB Muni","MATURITY")</f>
        <v>#NAME?</v>
      </c>
      <c r="H1683" t="e">
        <f ca="1">BDP("76223MDB Muni","MUNI_TAX_PROV")</f>
        <v>#NAME?</v>
      </c>
      <c r="I1683" t="e">
        <f ca="1">BDP("76223MDB Muni","FINANCING_TYPE")</f>
        <v>#NAME?</v>
      </c>
      <c r="J1683" t="e">
        <f ca="1">BDP("76223MDB Muni","BICS_LEVEL_2_INDUSTRY_GROUP_NAME")</f>
        <v>#NAME?</v>
      </c>
      <c r="K1683" t="e">
        <f ca="1">BDP("76223MDB Muni","SELF_REPRTD_GREEN_INSTR_INDCTR")</f>
        <v>#NAME?</v>
      </c>
      <c r="L1683" t="e">
        <f ca="1">BDP("76223MDB Muni","GB_MANAGEMENT_PROCEEDS")</f>
        <v>#NAME?</v>
      </c>
      <c r="M1683" t="e">
        <f ca="1">BDP("76223MDB Muni","GB_REPORTING")</f>
        <v>#NAME?</v>
      </c>
      <c r="N1683" t="e">
        <f ca="1">BDP("76223MDB Muni","GB_ASSURANCE_PROVIDERS")</f>
        <v>#NAME?</v>
      </c>
      <c r="O1683" t="e">
        <f ca="1">BDP("76223MDB Muni","GB_PROJECT_SELECTION_PROCESS")</f>
        <v>#NAME?</v>
      </c>
      <c r="P1683" t="e">
        <f ca="1">BDP("76223MDB Muni","ESG_FRAMEWORK_INDICATOR")</f>
        <v>#NAME?</v>
      </c>
      <c r="Q1683" t="e">
        <f ca="1">BDP("76223MDB Muni","BLOOMBERG_SECTOR_CODE")</f>
        <v>#NAME?</v>
      </c>
      <c r="R1683" t="e">
        <f ca="1">BDP("76223MDB Muni","ISSUER_TYPE")</f>
        <v>#NAME?</v>
      </c>
      <c r="S1683" t="e">
        <f ca="1">BDS("76223MDB Muni","ESG_PROJECT_CATEGORY", "aggregate=y")</f>
        <v>#NAME?</v>
      </c>
      <c r="T1683" t="e">
        <f ca="1">BDS("76223MDB Muni","ESG_PROJECT_SUBCATEGORY", "aggregate=y")</f>
        <v>#NAME?</v>
      </c>
    </row>
    <row r="1684" spans="1:20" x14ac:dyDescent="0.25">
      <c r="A1684" t="e">
        <f ca="1">BDP("76223MDC Muni","ID_CUSIP")</f>
        <v>#NAME?</v>
      </c>
      <c r="B1684" t="e">
        <f ca="1">BDP("76223MDC Muni","STATE_CODE")</f>
        <v>#NAME?</v>
      </c>
      <c r="C1684" t="s">
        <v>101</v>
      </c>
      <c r="D1684" t="e">
        <f ca="1">BDP("76223MDC Muni","YIELD_ON_ISSUE_DATE")</f>
        <v>#NAME?</v>
      </c>
      <c r="E1684">
        <v>1150000</v>
      </c>
      <c r="F1684" t="e">
        <f ca="1">BDP("76223MDC Muni","ISSUE_DT")</f>
        <v>#NAME?</v>
      </c>
      <c r="G1684" t="e">
        <f ca="1">BDP("76223MDC Muni","MATURITY")</f>
        <v>#NAME?</v>
      </c>
      <c r="H1684" t="e">
        <f ca="1">BDP("76223MDC Muni","MUNI_TAX_PROV")</f>
        <v>#NAME?</v>
      </c>
      <c r="I1684" t="e">
        <f ca="1">BDP("76223MDC Muni","FINANCING_TYPE")</f>
        <v>#NAME?</v>
      </c>
      <c r="J1684" t="e">
        <f ca="1">BDP("76223MDC Muni","BICS_LEVEL_2_INDUSTRY_GROUP_NAME")</f>
        <v>#NAME?</v>
      </c>
      <c r="K1684" t="e">
        <f ca="1">BDP("76223MDC Muni","SELF_REPRTD_GREEN_INSTR_INDCTR")</f>
        <v>#NAME?</v>
      </c>
      <c r="L1684" t="e">
        <f ca="1">BDP("76223MDC Muni","GB_MANAGEMENT_PROCEEDS")</f>
        <v>#NAME?</v>
      </c>
      <c r="M1684" t="e">
        <f ca="1">BDP("76223MDC Muni","GB_REPORTING")</f>
        <v>#NAME?</v>
      </c>
      <c r="N1684" t="e">
        <f ca="1">BDP("76223MDC Muni","GB_ASSURANCE_PROVIDERS")</f>
        <v>#NAME?</v>
      </c>
      <c r="O1684" t="e">
        <f ca="1">BDP("76223MDC Muni","GB_PROJECT_SELECTION_PROCESS")</f>
        <v>#NAME?</v>
      </c>
      <c r="P1684" t="e">
        <f ca="1">BDP("76223MDC Muni","ESG_FRAMEWORK_INDICATOR")</f>
        <v>#NAME?</v>
      </c>
      <c r="Q1684" t="e">
        <f ca="1">BDP("76223MDC Muni","BLOOMBERG_SECTOR_CODE")</f>
        <v>#NAME?</v>
      </c>
      <c r="R1684" t="e">
        <f ca="1">BDP("76223MDC Muni","ISSUER_TYPE")</f>
        <v>#NAME?</v>
      </c>
      <c r="S1684" t="e">
        <f ca="1">BDS("76223MDC Muni","ESG_PROJECT_CATEGORY", "aggregate=y")</f>
        <v>#NAME?</v>
      </c>
      <c r="T1684" t="e">
        <f ca="1">BDS("76223MDC Muni","ESG_PROJECT_SUBCATEGORY", "aggregate=y")</f>
        <v>#NAME?</v>
      </c>
    </row>
    <row r="1685" spans="1:20" x14ac:dyDescent="0.25">
      <c r="A1685" t="e">
        <f ca="1">BDP("76223MDD Muni","ID_CUSIP")</f>
        <v>#NAME?</v>
      </c>
      <c r="B1685" t="e">
        <f ca="1">BDP("76223MDD Muni","STATE_CODE")</f>
        <v>#NAME?</v>
      </c>
      <c r="C1685" t="s">
        <v>101</v>
      </c>
      <c r="D1685" t="e">
        <f ca="1">BDP("76223MDD Muni","YIELD_ON_ISSUE_DATE")</f>
        <v>#NAME?</v>
      </c>
      <c r="E1685">
        <v>1200000</v>
      </c>
      <c r="F1685" t="e">
        <f ca="1">BDP("76223MDD Muni","ISSUE_DT")</f>
        <v>#NAME?</v>
      </c>
      <c r="G1685" t="e">
        <f ca="1">BDP("76223MDD Muni","MATURITY")</f>
        <v>#NAME?</v>
      </c>
      <c r="H1685" t="e">
        <f ca="1">BDP("76223MDD Muni","MUNI_TAX_PROV")</f>
        <v>#NAME?</v>
      </c>
      <c r="I1685" t="e">
        <f ca="1">BDP("76223MDD Muni","FINANCING_TYPE")</f>
        <v>#NAME?</v>
      </c>
      <c r="J1685" t="e">
        <f ca="1">BDP("76223MDD Muni","BICS_LEVEL_2_INDUSTRY_GROUP_NAME")</f>
        <v>#NAME?</v>
      </c>
      <c r="K1685" t="e">
        <f ca="1">BDP("76223MDD Muni","SELF_REPRTD_GREEN_INSTR_INDCTR")</f>
        <v>#NAME?</v>
      </c>
      <c r="L1685" t="e">
        <f ca="1">BDP("76223MDD Muni","GB_MANAGEMENT_PROCEEDS")</f>
        <v>#NAME?</v>
      </c>
      <c r="M1685" t="e">
        <f ca="1">BDP("76223MDD Muni","GB_REPORTING")</f>
        <v>#NAME?</v>
      </c>
      <c r="N1685" t="e">
        <f ca="1">BDP("76223MDD Muni","GB_ASSURANCE_PROVIDERS")</f>
        <v>#NAME?</v>
      </c>
      <c r="O1685" t="e">
        <f ca="1">BDP("76223MDD Muni","GB_PROJECT_SELECTION_PROCESS")</f>
        <v>#NAME?</v>
      </c>
      <c r="P1685" t="e">
        <f ca="1">BDP("76223MDD Muni","ESG_FRAMEWORK_INDICATOR")</f>
        <v>#NAME?</v>
      </c>
      <c r="Q1685" t="e">
        <f ca="1">BDP("76223MDD Muni","BLOOMBERG_SECTOR_CODE")</f>
        <v>#NAME?</v>
      </c>
      <c r="R1685" t="e">
        <f ca="1">BDP("76223MDD Muni","ISSUER_TYPE")</f>
        <v>#NAME?</v>
      </c>
      <c r="S1685" t="e">
        <f ca="1">BDS("76223MDD Muni","ESG_PROJECT_CATEGORY", "aggregate=y")</f>
        <v>#NAME?</v>
      </c>
      <c r="T1685" t="e">
        <f ca="1">BDS("76223MDD Muni","ESG_PROJECT_SUBCATEGORY", "aggregate=y")</f>
        <v>#NAME?</v>
      </c>
    </row>
    <row r="1686" spans="1:20" x14ac:dyDescent="0.25">
      <c r="A1686" t="e">
        <f ca="1">BDP("76223MDF Muni","ID_CUSIP")</f>
        <v>#NAME?</v>
      </c>
      <c r="B1686" t="e">
        <f ca="1">BDP("76223MDF Muni","STATE_CODE")</f>
        <v>#NAME?</v>
      </c>
      <c r="C1686" t="s">
        <v>101</v>
      </c>
      <c r="D1686" t="e">
        <f ca="1">BDP("76223MDF Muni","YIELD_ON_ISSUE_DATE")</f>
        <v>#NAME?</v>
      </c>
      <c r="E1686">
        <v>14650000</v>
      </c>
      <c r="F1686" t="e">
        <f ca="1">BDP("76223MDF Muni","ISSUE_DT")</f>
        <v>#NAME?</v>
      </c>
      <c r="G1686" t="e">
        <f ca="1">BDP("76223MDF Muni","MATURITY")</f>
        <v>#NAME?</v>
      </c>
      <c r="H1686" t="e">
        <f ca="1">BDP("76223MDF Muni","MUNI_TAX_PROV")</f>
        <v>#NAME?</v>
      </c>
      <c r="I1686" t="e">
        <f ca="1">BDP("76223MDF Muni","FINANCING_TYPE")</f>
        <v>#NAME?</v>
      </c>
      <c r="J1686" t="e">
        <f ca="1">BDP("76223MDF Muni","BICS_LEVEL_2_INDUSTRY_GROUP_NAME")</f>
        <v>#NAME?</v>
      </c>
      <c r="K1686" t="e">
        <f ca="1">BDP("76223MDF Muni","SELF_REPRTD_GREEN_INSTR_INDCTR")</f>
        <v>#NAME?</v>
      </c>
      <c r="L1686" t="e">
        <f ca="1">BDP("76223MDF Muni","GB_MANAGEMENT_PROCEEDS")</f>
        <v>#NAME?</v>
      </c>
      <c r="M1686" t="e">
        <f ca="1">BDP("76223MDF Muni","GB_REPORTING")</f>
        <v>#NAME?</v>
      </c>
      <c r="N1686" t="e">
        <f ca="1">BDP("76223MDF Muni","GB_ASSURANCE_PROVIDERS")</f>
        <v>#NAME?</v>
      </c>
      <c r="O1686" t="e">
        <f ca="1">BDP("76223MDF Muni","GB_PROJECT_SELECTION_PROCESS")</f>
        <v>#NAME?</v>
      </c>
      <c r="P1686" t="e">
        <f ca="1">BDP("76223MDF Muni","ESG_FRAMEWORK_INDICATOR")</f>
        <v>#NAME?</v>
      </c>
      <c r="Q1686" t="e">
        <f ca="1">BDP("76223MDF Muni","BLOOMBERG_SECTOR_CODE")</f>
        <v>#NAME?</v>
      </c>
      <c r="R1686" t="e">
        <f ca="1">BDP("76223MDF Muni","ISSUER_TYPE")</f>
        <v>#NAME?</v>
      </c>
      <c r="S1686" t="e">
        <f ca="1">BDS("76223MDF Muni","ESG_PROJECT_CATEGORY", "aggregate=y")</f>
        <v>#NAME?</v>
      </c>
      <c r="T1686" t="e">
        <f ca="1">BDS("76223MDF Muni","ESG_PROJECT_SUBCATEGORY", "aggregate=y")</f>
        <v>#NAME?</v>
      </c>
    </row>
    <row r="1687" spans="1:20" x14ac:dyDescent="0.25">
      <c r="A1687" t="e">
        <f ca="1">BDP("76223MDA Muni","ID_CUSIP")</f>
        <v>#NAME?</v>
      </c>
      <c r="B1687" t="e">
        <f ca="1">BDP("76223MDA Muni","STATE_CODE")</f>
        <v>#NAME?</v>
      </c>
      <c r="C1687" t="s">
        <v>101</v>
      </c>
      <c r="D1687" t="e">
        <f ca="1">BDP("76223MDA Muni","YIELD_ON_ISSUE_DATE")</f>
        <v>#NAME?</v>
      </c>
      <c r="E1687">
        <v>1565000</v>
      </c>
      <c r="F1687" t="e">
        <f ca="1">BDP("76223MDA Muni","ISSUE_DT")</f>
        <v>#NAME?</v>
      </c>
      <c r="G1687" t="e">
        <f ca="1">BDP("76223MDA Muni","MATURITY")</f>
        <v>#NAME?</v>
      </c>
      <c r="H1687" t="e">
        <f ca="1">BDP("76223MDA Muni","MUNI_TAX_PROV")</f>
        <v>#NAME?</v>
      </c>
      <c r="I1687" t="e">
        <f ca="1">BDP("76223MDA Muni","FINANCING_TYPE")</f>
        <v>#NAME?</v>
      </c>
      <c r="J1687" t="e">
        <f ca="1">BDP("76223MDA Muni","BICS_LEVEL_2_INDUSTRY_GROUP_NAME")</f>
        <v>#NAME?</v>
      </c>
      <c r="K1687" t="e">
        <f ca="1">BDP("76223MDA Muni","SELF_REPRTD_GREEN_INSTR_INDCTR")</f>
        <v>#NAME?</v>
      </c>
      <c r="L1687" t="e">
        <f ca="1">BDP("76223MDA Muni","GB_MANAGEMENT_PROCEEDS")</f>
        <v>#NAME?</v>
      </c>
      <c r="M1687" t="e">
        <f ca="1">BDP("76223MDA Muni","GB_REPORTING")</f>
        <v>#NAME?</v>
      </c>
      <c r="N1687" t="e">
        <f ca="1">BDP("76223MDA Muni","GB_ASSURANCE_PROVIDERS")</f>
        <v>#NAME?</v>
      </c>
      <c r="O1687" t="e">
        <f ca="1">BDP("76223MDA Muni","GB_PROJECT_SELECTION_PROCESS")</f>
        <v>#NAME?</v>
      </c>
      <c r="P1687" t="e">
        <f ca="1">BDP("76223MDA Muni","ESG_FRAMEWORK_INDICATOR")</f>
        <v>#NAME?</v>
      </c>
      <c r="Q1687" t="e">
        <f ca="1">BDP("76223MDA Muni","BLOOMBERG_SECTOR_CODE")</f>
        <v>#NAME?</v>
      </c>
      <c r="R1687" t="e">
        <f ca="1">BDP("76223MDA Muni","ISSUER_TYPE")</f>
        <v>#NAME?</v>
      </c>
      <c r="S1687" t="e">
        <f ca="1">BDS("76223MDA Muni","ESG_PROJECT_CATEGORY", "aggregate=y")</f>
        <v>#NAME?</v>
      </c>
      <c r="T1687" t="e">
        <f ca="1">BDS("76223MDA Muni","ESG_PROJECT_SUBCATEGORY", "aggregate=y")</f>
        <v>#NAME?</v>
      </c>
    </row>
    <row r="1688" spans="1:20" x14ac:dyDescent="0.25">
      <c r="A1688" t="e">
        <f ca="1">BDP("76223MCW Muni","ID_CUSIP")</f>
        <v>#NAME?</v>
      </c>
      <c r="B1688" t="e">
        <f ca="1">BDP("76223MCW Muni","STATE_CODE")</f>
        <v>#NAME?</v>
      </c>
      <c r="C1688" t="s">
        <v>101</v>
      </c>
      <c r="D1688" t="e">
        <f ca="1">BDP("76223MCW Muni","YIELD_ON_ISSUE_DATE")</f>
        <v>#NAME?</v>
      </c>
      <c r="E1688">
        <v>3630000</v>
      </c>
      <c r="F1688" t="e">
        <f ca="1">BDP("76223MCW Muni","ISSUE_DT")</f>
        <v>#NAME?</v>
      </c>
      <c r="G1688" t="e">
        <f ca="1">BDP("76223MCW Muni","MATURITY")</f>
        <v>#NAME?</v>
      </c>
      <c r="H1688" t="e">
        <f ca="1">BDP("76223MCW Muni","MUNI_TAX_PROV")</f>
        <v>#NAME?</v>
      </c>
      <c r="I1688" t="e">
        <f ca="1">BDP("76223MCW Muni","FINANCING_TYPE")</f>
        <v>#NAME?</v>
      </c>
      <c r="J1688" t="e">
        <f ca="1">BDP("76223MCW Muni","BICS_LEVEL_2_INDUSTRY_GROUP_NAME")</f>
        <v>#NAME?</v>
      </c>
      <c r="K1688" t="e">
        <f ca="1">BDP("76223MCW Muni","SELF_REPRTD_GREEN_INSTR_INDCTR")</f>
        <v>#NAME?</v>
      </c>
      <c r="L1688" t="e">
        <f ca="1">BDP("76223MCW Muni","GB_MANAGEMENT_PROCEEDS")</f>
        <v>#NAME?</v>
      </c>
      <c r="M1688" t="e">
        <f ca="1">BDP("76223MCW Muni","GB_REPORTING")</f>
        <v>#NAME?</v>
      </c>
      <c r="N1688" t="e">
        <f ca="1">BDP("76223MCW Muni","GB_ASSURANCE_PROVIDERS")</f>
        <v>#NAME?</v>
      </c>
      <c r="O1688" t="e">
        <f ca="1">BDP("76223MCW Muni","GB_PROJECT_SELECTION_PROCESS")</f>
        <v>#NAME?</v>
      </c>
      <c r="P1688" t="e">
        <f ca="1">BDP("76223MCW Muni","ESG_FRAMEWORK_INDICATOR")</f>
        <v>#NAME?</v>
      </c>
      <c r="Q1688" t="e">
        <f ca="1">BDP("76223MCW Muni","BLOOMBERG_SECTOR_CODE")</f>
        <v>#NAME?</v>
      </c>
      <c r="R1688" t="e">
        <f ca="1">BDP("76223MCW Muni","ISSUER_TYPE")</f>
        <v>#NAME?</v>
      </c>
      <c r="S1688" t="e">
        <f ca="1">BDS("76223MCW Muni","ESG_PROJECT_CATEGORY", "aggregate=y")</f>
        <v>#NAME?</v>
      </c>
      <c r="T1688" t="e">
        <f ca="1">BDS("76223MCW Muni","ESG_PROJECT_SUBCATEGORY", "aggregate=y")</f>
        <v>#NAME?</v>
      </c>
    </row>
    <row r="1689" spans="1:20" x14ac:dyDescent="0.25">
      <c r="A1689" t="e">
        <f ca="1">BDP("76223MDE Muni","ID_CUSIP")</f>
        <v>#NAME?</v>
      </c>
      <c r="B1689" t="e">
        <f ca="1">BDP("76223MDE Muni","STATE_CODE")</f>
        <v>#NAME?</v>
      </c>
      <c r="C1689" t="s">
        <v>101</v>
      </c>
      <c r="D1689" t="e">
        <f ca="1">BDP("76223MDE Muni","YIELD_ON_ISSUE_DATE")</f>
        <v>#NAME?</v>
      </c>
      <c r="E1689">
        <v>1490000</v>
      </c>
      <c r="F1689" t="e">
        <f ca="1">BDP("76223MDE Muni","ISSUE_DT")</f>
        <v>#NAME?</v>
      </c>
      <c r="G1689" t="e">
        <f ca="1">BDP("76223MDE Muni","MATURITY")</f>
        <v>#NAME?</v>
      </c>
      <c r="H1689" t="e">
        <f ca="1">BDP("76223MDE Muni","MUNI_TAX_PROV")</f>
        <v>#NAME?</v>
      </c>
      <c r="I1689" t="e">
        <f ca="1">BDP("76223MDE Muni","FINANCING_TYPE")</f>
        <v>#NAME?</v>
      </c>
      <c r="J1689" t="e">
        <f ca="1">BDP("76223MDE Muni","BICS_LEVEL_2_INDUSTRY_GROUP_NAME")</f>
        <v>#NAME?</v>
      </c>
      <c r="K1689" t="e">
        <f ca="1">BDP("76223MDE Muni","SELF_REPRTD_GREEN_INSTR_INDCTR")</f>
        <v>#NAME?</v>
      </c>
      <c r="L1689" t="e">
        <f ca="1">BDP("76223MDE Muni","GB_MANAGEMENT_PROCEEDS")</f>
        <v>#NAME?</v>
      </c>
      <c r="M1689" t="e">
        <f ca="1">BDP("76223MDE Muni","GB_REPORTING")</f>
        <v>#NAME?</v>
      </c>
      <c r="N1689" t="e">
        <f ca="1">BDP("76223MDE Muni","GB_ASSURANCE_PROVIDERS")</f>
        <v>#NAME?</v>
      </c>
      <c r="O1689" t="e">
        <f ca="1">BDP("76223MDE Muni","GB_PROJECT_SELECTION_PROCESS")</f>
        <v>#NAME?</v>
      </c>
      <c r="P1689" t="e">
        <f ca="1">BDP("76223MDE Muni","ESG_FRAMEWORK_INDICATOR")</f>
        <v>#NAME?</v>
      </c>
      <c r="Q1689" t="e">
        <f ca="1">BDP("76223MDE Muni","BLOOMBERG_SECTOR_CODE")</f>
        <v>#NAME?</v>
      </c>
      <c r="R1689" t="e">
        <f ca="1">BDP("76223MDE Muni","ISSUER_TYPE")</f>
        <v>#NAME?</v>
      </c>
      <c r="S1689" t="e">
        <f ca="1">BDS("76223MDE Muni","ESG_PROJECT_CATEGORY", "aggregate=y")</f>
        <v>#NAME?</v>
      </c>
      <c r="T1689" t="e">
        <f ca="1">BDS("76223MDE Muni","ESG_PROJECT_SUBCATEGORY", "aggregate=y")</f>
        <v>#NAME?</v>
      </c>
    </row>
    <row r="1690" spans="1:20" x14ac:dyDescent="0.25">
      <c r="A1690" t="e">
        <f ca="1">BDP("76223MDG Muni","ID_CUSIP")</f>
        <v>#NAME?</v>
      </c>
      <c r="B1690" t="e">
        <f ca="1">BDP("76223MDG Muni","STATE_CODE")</f>
        <v>#NAME?</v>
      </c>
      <c r="C1690" t="s">
        <v>101</v>
      </c>
      <c r="D1690" t="e">
        <f ca="1">BDP("76223MDG Muni","YIELD_ON_ISSUE_DATE")</f>
        <v>#NAME?</v>
      </c>
      <c r="E1690">
        <v>13255000</v>
      </c>
      <c r="F1690" t="e">
        <f ca="1">BDP("76223MDG Muni","ISSUE_DT")</f>
        <v>#NAME?</v>
      </c>
      <c r="G1690" t="e">
        <f ca="1">BDP("76223MDG Muni","MATURITY")</f>
        <v>#NAME?</v>
      </c>
      <c r="H1690" t="e">
        <f ca="1">BDP("76223MDG Muni","MUNI_TAX_PROV")</f>
        <v>#NAME?</v>
      </c>
      <c r="I1690" t="e">
        <f ca="1">BDP("76223MDG Muni","FINANCING_TYPE")</f>
        <v>#NAME?</v>
      </c>
      <c r="J1690" t="e">
        <f ca="1">BDP("76223MDG Muni","BICS_LEVEL_2_INDUSTRY_GROUP_NAME")</f>
        <v>#NAME?</v>
      </c>
      <c r="K1690" t="e">
        <f ca="1">BDP("76223MDG Muni","SELF_REPRTD_GREEN_INSTR_INDCTR")</f>
        <v>#NAME?</v>
      </c>
      <c r="L1690" t="e">
        <f ca="1">BDP("76223MDG Muni","GB_MANAGEMENT_PROCEEDS")</f>
        <v>#NAME?</v>
      </c>
      <c r="M1690" t="e">
        <f ca="1">BDP("76223MDG Muni","GB_REPORTING")</f>
        <v>#NAME?</v>
      </c>
      <c r="N1690" t="e">
        <f ca="1">BDP("76223MDG Muni","GB_ASSURANCE_PROVIDERS")</f>
        <v>#NAME?</v>
      </c>
      <c r="O1690" t="e">
        <f ca="1">BDP("76223MDG Muni","GB_PROJECT_SELECTION_PROCESS")</f>
        <v>#NAME?</v>
      </c>
      <c r="P1690" t="e">
        <f ca="1">BDP("76223MDG Muni","ESG_FRAMEWORK_INDICATOR")</f>
        <v>#NAME?</v>
      </c>
      <c r="Q1690" t="e">
        <f ca="1">BDP("76223MDG Muni","BLOOMBERG_SECTOR_CODE")</f>
        <v>#NAME?</v>
      </c>
      <c r="R1690" t="e">
        <f ca="1">BDP("76223MDG Muni","ISSUER_TYPE")</f>
        <v>#NAME?</v>
      </c>
      <c r="S1690" t="e">
        <f ca="1">BDS("76223MDG Muni","ESG_PROJECT_CATEGORY", "aggregate=y")</f>
        <v>#NAME?</v>
      </c>
      <c r="T1690" t="e">
        <f ca="1">BDS("76223MDG Muni","ESG_PROJECT_SUBCATEGORY", "aggregate=y")</f>
        <v>#NAME?</v>
      </c>
    </row>
    <row r="1691" spans="1:20" x14ac:dyDescent="0.25">
      <c r="A1691" t="e">
        <f ca="1">BDP("88035MD6 Muni","ID_CUSIP")</f>
        <v>#NAME?</v>
      </c>
      <c r="B1691" t="e">
        <f ca="1">BDP("88035MD6 Muni","STATE_CODE")</f>
        <v>#NAME?</v>
      </c>
      <c r="C1691" t="s">
        <v>25</v>
      </c>
      <c r="D1691" t="e">
        <f ca="1">BDP("88035MD6 Muni","YIELD_ON_ISSUE_DATE")</f>
        <v>#NAME?</v>
      </c>
      <c r="E1691">
        <v>750000</v>
      </c>
      <c r="F1691" t="e">
        <f ca="1">BDP("88035MD6 Muni","ISSUE_DT")</f>
        <v>#NAME?</v>
      </c>
      <c r="G1691" t="e">
        <f ca="1">BDP("88035MD6 Muni","MATURITY")</f>
        <v>#NAME?</v>
      </c>
      <c r="H1691" t="e">
        <f ca="1">BDP("88035MD6 Muni","MUNI_TAX_PROV")</f>
        <v>#NAME?</v>
      </c>
      <c r="I1691" t="e">
        <f ca="1">BDP("88035MD6 Muni","FINANCING_TYPE")</f>
        <v>#NAME?</v>
      </c>
      <c r="J1691" t="e">
        <f ca="1">BDP("88035MD6 Muni","BICS_LEVEL_2_INDUSTRY_GROUP_NAME")</f>
        <v>#NAME?</v>
      </c>
      <c r="K1691" t="e">
        <f ca="1">BDP("88035MD6 Muni","SELF_REPRTD_GREEN_INSTR_INDCTR")</f>
        <v>#NAME?</v>
      </c>
      <c r="L1691" t="e">
        <f ca="1">BDP("88035MD6 Muni","GB_MANAGEMENT_PROCEEDS")</f>
        <v>#NAME?</v>
      </c>
      <c r="M1691" t="e">
        <f ca="1">BDP("88035MD6 Muni","GB_REPORTING")</f>
        <v>#NAME?</v>
      </c>
      <c r="N1691" t="e">
        <f ca="1">BDP("88035MD6 Muni","GB_ASSURANCE_PROVIDERS")</f>
        <v>#NAME?</v>
      </c>
      <c r="O1691" t="e">
        <f ca="1">BDP("88035MD6 Muni","GB_PROJECT_SELECTION_PROCESS")</f>
        <v>#NAME?</v>
      </c>
      <c r="P1691" t="e">
        <f ca="1">BDP("88035MD6 Muni","ESG_FRAMEWORK_INDICATOR")</f>
        <v>#NAME?</v>
      </c>
      <c r="Q1691" t="e">
        <f ca="1">BDP("88035MD6 Muni","BLOOMBERG_SECTOR_CODE")</f>
        <v>#NAME?</v>
      </c>
      <c r="R1691" t="e">
        <f ca="1">BDP("88035MD6 Muni","ISSUER_TYPE")</f>
        <v>#NAME?</v>
      </c>
      <c r="S1691" t="e">
        <f ca="1">BDS("88035MD6 Muni","ESG_PROJECT_CATEGORY", "aggregate=y")</f>
        <v>#NAME?</v>
      </c>
      <c r="T1691" t="e">
        <f ca="1">BDS("88035MD6 Muni","ESG_PROJECT_SUBCATEGORY", "aggregate=y")</f>
        <v>#NAME?</v>
      </c>
    </row>
    <row r="1692" spans="1:20" x14ac:dyDescent="0.25">
      <c r="A1692" t="e">
        <f ca="1">BDP("88035MWH Muni","ID_CUSIP")</f>
        <v>#NAME?</v>
      </c>
      <c r="B1692" t="e">
        <f ca="1">BDP("88035MWH Muni","STATE_CODE")</f>
        <v>#NAME?</v>
      </c>
      <c r="C1692" t="s">
        <v>25</v>
      </c>
      <c r="D1692" t="e">
        <f ca="1">BDP("88035MWH Muni","YIELD_ON_ISSUE_DATE")</f>
        <v>#NAME?</v>
      </c>
      <c r="E1692">
        <v>12370000</v>
      </c>
      <c r="F1692" t="e">
        <f ca="1">BDP("88035MWH Muni","ISSUE_DT")</f>
        <v>#NAME?</v>
      </c>
      <c r="G1692" t="e">
        <f ca="1">BDP("88035MWH Muni","MATURITY")</f>
        <v>#NAME?</v>
      </c>
      <c r="H1692" t="e">
        <f ca="1">BDP("88035MWH Muni","MUNI_TAX_PROV")</f>
        <v>#NAME?</v>
      </c>
      <c r="I1692" t="e">
        <f ca="1">BDP("88035MWH Muni","FINANCING_TYPE")</f>
        <v>#NAME?</v>
      </c>
      <c r="J1692" t="e">
        <f ca="1">BDP("88035MWH Muni","BICS_LEVEL_2_INDUSTRY_GROUP_NAME")</f>
        <v>#NAME?</v>
      </c>
      <c r="K1692" t="e">
        <f ca="1">BDP("88035MWH Muni","SELF_REPRTD_GREEN_INSTR_INDCTR")</f>
        <v>#NAME?</v>
      </c>
      <c r="L1692" t="e">
        <f ca="1">BDP("88035MWH Muni","GB_MANAGEMENT_PROCEEDS")</f>
        <v>#NAME?</v>
      </c>
      <c r="M1692" t="e">
        <f ca="1">BDP("88035MWH Muni","GB_REPORTING")</f>
        <v>#NAME?</v>
      </c>
      <c r="N1692" t="e">
        <f ca="1">BDP("88035MWH Muni","GB_ASSURANCE_PROVIDERS")</f>
        <v>#NAME?</v>
      </c>
      <c r="O1692" t="e">
        <f ca="1">BDP("88035MWH Muni","GB_PROJECT_SELECTION_PROCESS")</f>
        <v>#NAME?</v>
      </c>
      <c r="P1692" t="e">
        <f ca="1">BDP("88035MWH Muni","ESG_FRAMEWORK_INDICATOR")</f>
        <v>#NAME?</v>
      </c>
      <c r="Q1692" t="e">
        <f ca="1">BDP("88035MWH Muni","BLOOMBERG_SECTOR_CODE")</f>
        <v>#NAME?</v>
      </c>
      <c r="R1692" t="e">
        <f ca="1">BDP("88035MWH Muni","ISSUER_TYPE")</f>
        <v>#NAME?</v>
      </c>
      <c r="S1692" t="e">
        <f ca="1">BDS("88035MWH Muni","ESG_PROJECT_CATEGORY", "aggregate=y")</f>
        <v>#NAME?</v>
      </c>
      <c r="T1692" t="e">
        <f ca="1">BDS("88035MWH Muni","ESG_PROJECT_SUBCATEGORY", "aggregate=y")</f>
        <v>#NAME?</v>
      </c>
    </row>
    <row r="1693" spans="1:20" x14ac:dyDescent="0.25">
      <c r="A1693" t="e">
        <f ca="1">BDP("88035MWJ Muni","ID_CUSIP")</f>
        <v>#NAME?</v>
      </c>
      <c r="B1693" t="e">
        <f ca="1">BDP("88035MWJ Muni","STATE_CODE")</f>
        <v>#NAME?</v>
      </c>
      <c r="C1693" t="s">
        <v>25</v>
      </c>
      <c r="D1693" t="e">
        <f ca="1">BDP("88035MWJ Muni","YIELD_ON_ISSUE_DATE")</f>
        <v>#NAME?</v>
      </c>
      <c r="E1693">
        <v>5300000</v>
      </c>
      <c r="F1693" t="e">
        <f ca="1">BDP("88035MWJ Muni","ISSUE_DT")</f>
        <v>#NAME?</v>
      </c>
      <c r="G1693" t="e">
        <f ca="1">BDP("88035MWJ Muni","MATURITY")</f>
        <v>#NAME?</v>
      </c>
      <c r="H1693" t="e">
        <f ca="1">BDP("88035MWJ Muni","MUNI_TAX_PROV")</f>
        <v>#NAME?</v>
      </c>
      <c r="I1693" t="e">
        <f ca="1">BDP("88035MWJ Muni","FINANCING_TYPE")</f>
        <v>#NAME?</v>
      </c>
      <c r="J1693" t="e">
        <f ca="1">BDP("88035MWJ Muni","BICS_LEVEL_2_INDUSTRY_GROUP_NAME")</f>
        <v>#NAME?</v>
      </c>
      <c r="K1693" t="e">
        <f ca="1">BDP("88035MWJ Muni","SELF_REPRTD_GREEN_INSTR_INDCTR")</f>
        <v>#NAME?</v>
      </c>
      <c r="L1693" t="e">
        <f ca="1">BDP("88035MWJ Muni","GB_MANAGEMENT_PROCEEDS")</f>
        <v>#NAME?</v>
      </c>
      <c r="M1693" t="e">
        <f ca="1">BDP("88035MWJ Muni","GB_REPORTING")</f>
        <v>#NAME?</v>
      </c>
      <c r="N1693" t="e">
        <f ca="1">BDP("88035MWJ Muni","GB_ASSURANCE_PROVIDERS")</f>
        <v>#NAME?</v>
      </c>
      <c r="O1693" t="e">
        <f ca="1">BDP("88035MWJ Muni","GB_PROJECT_SELECTION_PROCESS")</f>
        <v>#NAME?</v>
      </c>
      <c r="P1693" t="e">
        <f ca="1">BDP("88035MWJ Muni","ESG_FRAMEWORK_INDICATOR")</f>
        <v>#NAME?</v>
      </c>
      <c r="Q1693" t="e">
        <f ca="1">BDP("88035MWJ Muni","BLOOMBERG_SECTOR_CODE")</f>
        <v>#NAME?</v>
      </c>
      <c r="R1693" t="e">
        <f ca="1">BDP("88035MWJ Muni","ISSUER_TYPE")</f>
        <v>#NAME?</v>
      </c>
      <c r="S1693" t="e">
        <f ca="1">BDS("88035MWJ Muni","ESG_PROJECT_CATEGORY", "aggregate=y")</f>
        <v>#NAME?</v>
      </c>
      <c r="T1693" t="e">
        <f ca="1">BDS("88035MWJ Muni","ESG_PROJECT_SUBCATEGORY", "aggregate=y")</f>
        <v>#NAME?</v>
      </c>
    </row>
    <row r="1694" spans="1:20" x14ac:dyDescent="0.25">
      <c r="A1694" t="e">
        <f ca="1">BDP("88035PL6 Muni","ID_CUSIP")</f>
        <v>#NAME?</v>
      </c>
      <c r="B1694" t="e">
        <f ca="1">BDP("88035PL6 Muni","STATE_CODE")</f>
        <v>#NAME?</v>
      </c>
      <c r="C1694" t="s">
        <v>25</v>
      </c>
      <c r="D1694" t="e">
        <f ca="1">BDP("88035PL6 Muni","YIELD_ON_ISSUE_DATE")</f>
        <v>#NAME?</v>
      </c>
      <c r="E1694">
        <v>4075000</v>
      </c>
      <c r="F1694" t="e">
        <f ca="1">BDP("88035PL6 Muni","ISSUE_DT")</f>
        <v>#NAME?</v>
      </c>
      <c r="G1694" t="e">
        <f ca="1">BDP("88035PL6 Muni","MATURITY")</f>
        <v>#NAME?</v>
      </c>
      <c r="H1694" t="e">
        <f ca="1">BDP("88035PL6 Muni","MUNI_TAX_PROV")</f>
        <v>#NAME?</v>
      </c>
      <c r="I1694" t="e">
        <f ca="1">BDP("88035PL6 Muni","FINANCING_TYPE")</f>
        <v>#NAME?</v>
      </c>
      <c r="J1694" t="e">
        <f ca="1">BDP("88035PL6 Muni","BICS_LEVEL_2_INDUSTRY_GROUP_NAME")</f>
        <v>#NAME?</v>
      </c>
      <c r="K1694" t="e">
        <f ca="1">BDP("88035PL6 Muni","SELF_REPRTD_GREEN_INSTR_INDCTR")</f>
        <v>#NAME?</v>
      </c>
      <c r="L1694" t="e">
        <f ca="1">BDP("88035PL6 Muni","GB_MANAGEMENT_PROCEEDS")</f>
        <v>#NAME?</v>
      </c>
      <c r="M1694" t="e">
        <f ca="1">BDP("88035PL6 Muni","GB_REPORTING")</f>
        <v>#NAME?</v>
      </c>
      <c r="N1694" t="e">
        <f ca="1">BDP("88035PL6 Muni","GB_ASSURANCE_PROVIDERS")</f>
        <v>#NAME?</v>
      </c>
      <c r="O1694" t="e">
        <f ca="1">BDP("88035PL6 Muni","GB_PROJECT_SELECTION_PROCESS")</f>
        <v>#NAME?</v>
      </c>
      <c r="P1694" t="e">
        <f ca="1">BDP("88035PL6 Muni","ESG_FRAMEWORK_INDICATOR")</f>
        <v>#NAME?</v>
      </c>
      <c r="Q1694" t="e">
        <f ca="1">BDP("88035PL6 Muni","BLOOMBERG_SECTOR_CODE")</f>
        <v>#NAME?</v>
      </c>
      <c r="R1694" t="e">
        <f ca="1">BDP("88035PL6 Muni","ISSUER_TYPE")</f>
        <v>#NAME?</v>
      </c>
      <c r="S1694" t="e">
        <f ca="1">BDS("88035PL6 Muni","ESG_PROJECT_CATEGORY", "aggregate=y")</f>
        <v>#NAME?</v>
      </c>
      <c r="T1694" t="e">
        <f ca="1">BDS("88035PL6 Muni","ESG_PROJECT_SUBCATEGORY", "aggregate=y")</f>
        <v>#NAME?</v>
      </c>
    </row>
    <row r="1695" spans="1:20" x14ac:dyDescent="0.25">
      <c r="A1695" t="e">
        <f ca="1">BDP("88035PM2 Muni","ID_CUSIP")</f>
        <v>#NAME?</v>
      </c>
      <c r="B1695" t="e">
        <f ca="1">BDP("88035PM2 Muni","STATE_CODE")</f>
        <v>#NAME?</v>
      </c>
      <c r="C1695" t="s">
        <v>25</v>
      </c>
      <c r="D1695" t="e">
        <f ca="1">BDP("88035PM2 Muni","YIELD_ON_ISSUE_DATE")</f>
        <v>#NAME?</v>
      </c>
      <c r="E1695">
        <v>7920000</v>
      </c>
      <c r="F1695" t="e">
        <f ca="1">BDP("88035PM2 Muni","ISSUE_DT")</f>
        <v>#NAME?</v>
      </c>
      <c r="G1695" t="e">
        <f ca="1">BDP("88035PM2 Muni","MATURITY")</f>
        <v>#NAME?</v>
      </c>
      <c r="H1695" t="e">
        <f ca="1">BDP("88035PM2 Muni","MUNI_TAX_PROV")</f>
        <v>#NAME?</v>
      </c>
      <c r="I1695" t="e">
        <f ca="1">BDP("88035PM2 Muni","FINANCING_TYPE")</f>
        <v>#NAME?</v>
      </c>
      <c r="J1695" t="e">
        <f ca="1">BDP("88035PM2 Muni","BICS_LEVEL_2_INDUSTRY_GROUP_NAME")</f>
        <v>#NAME?</v>
      </c>
      <c r="K1695" t="e">
        <f ca="1">BDP("88035PM2 Muni","SELF_REPRTD_GREEN_INSTR_INDCTR")</f>
        <v>#NAME?</v>
      </c>
      <c r="L1695" t="e">
        <f ca="1">BDP("88035PM2 Muni","GB_MANAGEMENT_PROCEEDS")</f>
        <v>#NAME?</v>
      </c>
      <c r="M1695" t="e">
        <f ca="1">BDP("88035PM2 Muni","GB_REPORTING")</f>
        <v>#NAME?</v>
      </c>
      <c r="N1695" t="e">
        <f ca="1">BDP("88035PM2 Muni","GB_ASSURANCE_PROVIDERS")</f>
        <v>#NAME?</v>
      </c>
      <c r="O1695" t="e">
        <f ca="1">BDP("88035PM2 Muni","GB_PROJECT_SELECTION_PROCESS")</f>
        <v>#NAME?</v>
      </c>
      <c r="P1695" t="e">
        <f ca="1">BDP("88035PM2 Muni","ESG_FRAMEWORK_INDICATOR")</f>
        <v>#NAME?</v>
      </c>
      <c r="Q1695" t="e">
        <f ca="1">BDP("88035PM2 Muni","BLOOMBERG_SECTOR_CODE")</f>
        <v>#NAME?</v>
      </c>
      <c r="R1695" t="e">
        <f ca="1">BDP("88035PM2 Muni","ISSUER_TYPE")</f>
        <v>#NAME?</v>
      </c>
      <c r="S1695" t="e">
        <f ca="1">BDS("88035PM2 Muni","ESG_PROJECT_CATEGORY", "aggregate=y")</f>
        <v>#NAME?</v>
      </c>
      <c r="T1695" t="e">
        <f ca="1">BDS("88035PM2 Muni","ESG_PROJECT_SUBCATEGORY", "aggregate=y")</f>
        <v>#NAME?</v>
      </c>
    </row>
    <row r="1696" spans="1:20" x14ac:dyDescent="0.25">
      <c r="A1696" t="e">
        <f ca="1">BDP("88035PM3 Muni","ID_CUSIP")</f>
        <v>#NAME?</v>
      </c>
      <c r="B1696" t="e">
        <f ca="1">BDP("88035PM3 Muni","STATE_CODE")</f>
        <v>#NAME?</v>
      </c>
      <c r="C1696" t="s">
        <v>25</v>
      </c>
      <c r="D1696" t="e">
        <f ca="1">BDP("88035PM3 Muni","YIELD_ON_ISSUE_DATE")</f>
        <v>#NAME?</v>
      </c>
      <c r="E1696">
        <v>3965000</v>
      </c>
      <c r="F1696" t="e">
        <f ca="1">BDP("88035PM3 Muni","ISSUE_DT")</f>
        <v>#NAME?</v>
      </c>
      <c r="G1696" t="e">
        <f ca="1">BDP("88035PM3 Muni","MATURITY")</f>
        <v>#NAME?</v>
      </c>
      <c r="H1696" t="e">
        <f ca="1">BDP("88035PM3 Muni","MUNI_TAX_PROV")</f>
        <v>#NAME?</v>
      </c>
      <c r="I1696" t="e">
        <f ca="1">BDP("88035PM3 Muni","FINANCING_TYPE")</f>
        <v>#NAME?</v>
      </c>
      <c r="J1696" t="e">
        <f ca="1">BDP("88035PM3 Muni","BICS_LEVEL_2_INDUSTRY_GROUP_NAME")</f>
        <v>#NAME?</v>
      </c>
      <c r="K1696" t="e">
        <f ca="1">BDP("88035PM3 Muni","SELF_REPRTD_GREEN_INSTR_INDCTR")</f>
        <v>#NAME?</v>
      </c>
      <c r="L1696" t="e">
        <f ca="1">BDP("88035PM3 Muni","GB_MANAGEMENT_PROCEEDS")</f>
        <v>#NAME?</v>
      </c>
      <c r="M1696" t="e">
        <f ca="1">BDP("88035PM3 Muni","GB_REPORTING")</f>
        <v>#NAME?</v>
      </c>
      <c r="N1696" t="e">
        <f ca="1">BDP("88035PM3 Muni","GB_ASSURANCE_PROVIDERS")</f>
        <v>#NAME?</v>
      </c>
      <c r="O1696" t="e">
        <f ca="1">BDP("88035PM3 Muni","GB_PROJECT_SELECTION_PROCESS")</f>
        <v>#NAME?</v>
      </c>
      <c r="P1696" t="e">
        <f ca="1">BDP("88035PM3 Muni","ESG_FRAMEWORK_INDICATOR")</f>
        <v>#NAME?</v>
      </c>
      <c r="Q1696" t="e">
        <f ca="1">BDP("88035PM3 Muni","BLOOMBERG_SECTOR_CODE")</f>
        <v>#NAME?</v>
      </c>
      <c r="R1696" t="e">
        <f ca="1">BDP("88035PM3 Muni","ISSUER_TYPE")</f>
        <v>#NAME?</v>
      </c>
      <c r="S1696" t="e">
        <f ca="1">BDS("88035PM3 Muni","ESG_PROJECT_CATEGORY", "aggregate=y")</f>
        <v>#NAME?</v>
      </c>
      <c r="T1696" t="e">
        <f ca="1">BDS("88035PM3 Muni","ESG_PROJECT_SUBCATEGORY", "aggregate=y")</f>
        <v>#NAME?</v>
      </c>
    </row>
    <row r="1697" spans="1:20" x14ac:dyDescent="0.25">
      <c r="A1697" t="e">
        <f ca="1">BDP("88035R8X Muni","ID_CUSIP")</f>
        <v>#NAME?</v>
      </c>
      <c r="B1697" t="e">
        <f ca="1">BDP("88035R8X Muni","STATE_CODE")</f>
        <v>#NAME?</v>
      </c>
      <c r="C1697" t="s">
        <v>25</v>
      </c>
      <c r="D1697" t="e">
        <f ca="1">BDP("88035R8X Muni","YIELD_ON_ISSUE_DATE")</f>
        <v>#NAME?</v>
      </c>
      <c r="E1697">
        <v>4000000</v>
      </c>
      <c r="F1697" t="e">
        <f ca="1">BDP("88035R8X Muni","ISSUE_DT")</f>
        <v>#NAME?</v>
      </c>
      <c r="G1697" t="e">
        <f ca="1">BDP("88035R8X Muni","MATURITY")</f>
        <v>#NAME?</v>
      </c>
      <c r="H1697" t="e">
        <f ca="1">BDP("88035R8X Muni","MUNI_TAX_PROV")</f>
        <v>#NAME?</v>
      </c>
      <c r="I1697" t="e">
        <f ca="1">BDP("88035R8X Muni","FINANCING_TYPE")</f>
        <v>#NAME?</v>
      </c>
      <c r="J1697" t="e">
        <f ca="1">BDP("88035R8X Muni","BICS_LEVEL_2_INDUSTRY_GROUP_NAME")</f>
        <v>#NAME?</v>
      </c>
      <c r="K1697" t="e">
        <f ca="1">BDP("88035R8X Muni","SELF_REPRTD_GREEN_INSTR_INDCTR")</f>
        <v>#NAME?</v>
      </c>
      <c r="L1697" t="e">
        <f ca="1">BDP("88035R8X Muni","GB_MANAGEMENT_PROCEEDS")</f>
        <v>#NAME?</v>
      </c>
      <c r="M1697" t="e">
        <f ca="1">BDP("88035R8X Muni","GB_REPORTING")</f>
        <v>#NAME?</v>
      </c>
      <c r="N1697" t="e">
        <f ca="1">BDP("88035R8X Muni","GB_ASSURANCE_PROVIDERS")</f>
        <v>#NAME?</v>
      </c>
      <c r="O1697" t="e">
        <f ca="1">BDP("88035R8X Muni","GB_PROJECT_SELECTION_PROCESS")</f>
        <v>#NAME?</v>
      </c>
      <c r="P1697" t="e">
        <f ca="1">BDP("88035R8X Muni","ESG_FRAMEWORK_INDICATOR")</f>
        <v>#NAME?</v>
      </c>
      <c r="Q1697" t="e">
        <f ca="1">BDP("88035R8X Muni","BLOOMBERG_SECTOR_CODE")</f>
        <v>#NAME?</v>
      </c>
      <c r="R1697" t="e">
        <f ca="1">BDP("88035R8X Muni","ISSUER_TYPE")</f>
        <v>#NAME?</v>
      </c>
      <c r="S1697" t="e">
        <f ca="1">BDS("88035R8X Muni","ESG_PROJECT_CATEGORY", "aggregate=y")</f>
        <v>#NAME?</v>
      </c>
      <c r="T1697" t="e">
        <f ca="1">BDS("88035R8X Muni","ESG_PROJECT_SUBCATEGORY", "aggregate=y")</f>
        <v>#NAME?</v>
      </c>
    </row>
    <row r="1698" spans="1:20" x14ac:dyDescent="0.25">
      <c r="A1698" t="e">
        <f ca="1">BDP("88285AGW Muni","ID_CUSIP")</f>
        <v>#NAME?</v>
      </c>
      <c r="B1698" t="e">
        <f ca="1">BDP("88285AGW Muni","STATE_CODE")</f>
        <v>#NAME?</v>
      </c>
      <c r="C1698" t="s">
        <v>102</v>
      </c>
      <c r="D1698" t="e">
        <f ca="1">BDP("88285AGW Muni","YIELD_ON_ISSUE_DATE")</f>
        <v>#NAME?</v>
      </c>
      <c r="E1698">
        <v>5150000</v>
      </c>
      <c r="F1698" t="e">
        <f ca="1">BDP("88285AGW Muni","ISSUE_DT")</f>
        <v>#NAME?</v>
      </c>
      <c r="G1698" t="e">
        <f ca="1">BDP("88285AGW Muni","MATURITY")</f>
        <v>#NAME?</v>
      </c>
      <c r="H1698" t="e">
        <f ca="1">BDP("88285AGW Muni","MUNI_TAX_PROV")</f>
        <v>#NAME?</v>
      </c>
      <c r="I1698" t="e">
        <f ca="1">BDP("88285AGW Muni","FINANCING_TYPE")</f>
        <v>#NAME?</v>
      </c>
      <c r="J1698" t="e">
        <f ca="1">BDP("88285AGW Muni","BICS_LEVEL_2_INDUSTRY_GROUP_NAME")</f>
        <v>#NAME?</v>
      </c>
      <c r="K1698" t="e">
        <f ca="1">BDP("88285AGW Muni","SELF_REPRTD_GREEN_INSTR_INDCTR")</f>
        <v>#NAME?</v>
      </c>
      <c r="L1698" t="e">
        <f ca="1">BDP("88285AGW Muni","GB_MANAGEMENT_PROCEEDS")</f>
        <v>#NAME?</v>
      </c>
      <c r="M1698" t="e">
        <f ca="1">BDP("88285AGW Muni","GB_REPORTING")</f>
        <v>#NAME?</v>
      </c>
      <c r="N1698" t="e">
        <f ca="1">BDP("88285AGW Muni","GB_ASSURANCE_PROVIDERS")</f>
        <v>#NAME?</v>
      </c>
      <c r="O1698" t="e">
        <f ca="1">BDP("88285AGW Muni","GB_PROJECT_SELECTION_PROCESS")</f>
        <v>#NAME?</v>
      </c>
      <c r="P1698" t="e">
        <f ca="1">BDP("88285AGW Muni","ESG_FRAMEWORK_INDICATOR")</f>
        <v>#NAME?</v>
      </c>
      <c r="Q1698" t="e">
        <f ca="1">BDP("88285AGW Muni","BLOOMBERG_SECTOR_CODE")</f>
        <v>#NAME?</v>
      </c>
      <c r="R1698" t="e">
        <f ca="1">BDP("88285AGW Muni","ISSUER_TYPE")</f>
        <v>#NAME?</v>
      </c>
      <c r="S1698" t="e">
        <f ca="1">BDS("88285AGW Muni","ESG_PROJECT_CATEGORY", "aggregate=y")</f>
        <v>#NAME?</v>
      </c>
      <c r="T1698" t="e">
        <f ca="1">BDS("88285AGW Muni","ESG_PROJECT_SUBCATEGORY", "aggregate=y")</f>
        <v>#NAME?</v>
      </c>
    </row>
    <row r="1699" spans="1:20" x14ac:dyDescent="0.25">
      <c r="A1699" t="e">
        <f ca="1">BDP("88285AGX Muni","ID_CUSIP")</f>
        <v>#NAME?</v>
      </c>
      <c r="B1699" t="e">
        <f ca="1">BDP("88285AGX Muni","STATE_CODE")</f>
        <v>#NAME?</v>
      </c>
      <c r="C1699" t="s">
        <v>102</v>
      </c>
      <c r="D1699" t="e">
        <f ca="1">BDP("88285AGX Muni","YIELD_ON_ISSUE_DATE")</f>
        <v>#NAME?</v>
      </c>
      <c r="E1699">
        <v>5405000</v>
      </c>
      <c r="F1699" t="e">
        <f ca="1">BDP("88285AGX Muni","ISSUE_DT")</f>
        <v>#NAME?</v>
      </c>
      <c r="G1699" t="e">
        <f ca="1">BDP("88285AGX Muni","MATURITY")</f>
        <v>#NAME?</v>
      </c>
      <c r="H1699" t="e">
        <f ca="1">BDP("88285AGX Muni","MUNI_TAX_PROV")</f>
        <v>#NAME?</v>
      </c>
      <c r="I1699" t="e">
        <f ca="1">BDP("88285AGX Muni","FINANCING_TYPE")</f>
        <v>#NAME?</v>
      </c>
      <c r="J1699" t="e">
        <f ca="1">BDP("88285AGX Muni","BICS_LEVEL_2_INDUSTRY_GROUP_NAME")</f>
        <v>#NAME?</v>
      </c>
      <c r="K1699" t="e">
        <f ca="1">BDP("88285AGX Muni","SELF_REPRTD_GREEN_INSTR_INDCTR")</f>
        <v>#NAME?</v>
      </c>
      <c r="L1699" t="e">
        <f ca="1">BDP("88285AGX Muni","GB_MANAGEMENT_PROCEEDS")</f>
        <v>#NAME?</v>
      </c>
      <c r="M1699" t="e">
        <f ca="1">BDP("88285AGX Muni","GB_REPORTING")</f>
        <v>#NAME?</v>
      </c>
      <c r="N1699" t="e">
        <f ca="1">BDP("88285AGX Muni","GB_ASSURANCE_PROVIDERS")</f>
        <v>#NAME?</v>
      </c>
      <c r="O1699" t="e">
        <f ca="1">BDP("88285AGX Muni","GB_PROJECT_SELECTION_PROCESS")</f>
        <v>#NAME?</v>
      </c>
      <c r="P1699" t="e">
        <f ca="1">BDP("88285AGX Muni","ESG_FRAMEWORK_INDICATOR")</f>
        <v>#NAME?</v>
      </c>
      <c r="Q1699" t="e">
        <f ca="1">BDP("88285AGX Muni","BLOOMBERG_SECTOR_CODE")</f>
        <v>#NAME?</v>
      </c>
      <c r="R1699" t="e">
        <f ca="1">BDP("88285AGX Muni","ISSUER_TYPE")</f>
        <v>#NAME?</v>
      </c>
      <c r="S1699" t="e">
        <f ca="1">BDS("88285AGX Muni","ESG_PROJECT_CATEGORY", "aggregate=y")</f>
        <v>#NAME?</v>
      </c>
      <c r="T1699" t="e">
        <f ca="1">BDS("88285AGX Muni","ESG_PROJECT_SUBCATEGORY", "aggregate=y")</f>
        <v>#NAME?</v>
      </c>
    </row>
    <row r="1700" spans="1:20" x14ac:dyDescent="0.25">
      <c r="A1700" t="e">
        <f ca="1">BDP("88285AGY Muni","ID_CUSIP")</f>
        <v>#NAME?</v>
      </c>
      <c r="B1700" t="e">
        <f ca="1">BDP("88285AGY Muni","STATE_CODE")</f>
        <v>#NAME?</v>
      </c>
      <c r="C1700" t="s">
        <v>102</v>
      </c>
      <c r="D1700" t="e">
        <f ca="1">BDP("88285AGY Muni","YIELD_ON_ISSUE_DATE")</f>
        <v>#NAME?</v>
      </c>
      <c r="E1700">
        <v>5675000</v>
      </c>
      <c r="F1700" t="e">
        <f ca="1">BDP("88285AGY Muni","ISSUE_DT")</f>
        <v>#NAME?</v>
      </c>
      <c r="G1700" t="e">
        <f ca="1">BDP("88285AGY Muni","MATURITY")</f>
        <v>#NAME?</v>
      </c>
      <c r="H1700" t="e">
        <f ca="1">BDP("88285AGY Muni","MUNI_TAX_PROV")</f>
        <v>#NAME?</v>
      </c>
      <c r="I1700" t="e">
        <f ca="1">BDP("88285AGY Muni","FINANCING_TYPE")</f>
        <v>#NAME?</v>
      </c>
      <c r="J1700" t="e">
        <f ca="1">BDP("88285AGY Muni","BICS_LEVEL_2_INDUSTRY_GROUP_NAME")</f>
        <v>#NAME?</v>
      </c>
      <c r="K1700" t="e">
        <f ca="1">BDP("88285AGY Muni","SELF_REPRTD_GREEN_INSTR_INDCTR")</f>
        <v>#NAME?</v>
      </c>
      <c r="L1700" t="e">
        <f ca="1">BDP("88285AGY Muni","GB_MANAGEMENT_PROCEEDS")</f>
        <v>#NAME?</v>
      </c>
      <c r="M1700" t="e">
        <f ca="1">BDP("88285AGY Muni","GB_REPORTING")</f>
        <v>#NAME?</v>
      </c>
      <c r="N1700" t="e">
        <f ca="1">BDP("88285AGY Muni","GB_ASSURANCE_PROVIDERS")</f>
        <v>#NAME?</v>
      </c>
      <c r="O1700" t="e">
        <f ca="1">BDP("88285AGY Muni","GB_PROJECT_SELECTION_PROCESS")</f>
        <v>#NAME?</v>
      </c>
      <c r="P1700" t="e">
        <f ca="1">BDP("88285AGY Muni","ESG_FRAMEWORK_INDICATOR")</f>
        <v>#NAME?</v>
      </c>
      <c r="Q1700" t="e">
        <f ca="1">BDP("88285AGY Muni","BLOOMBERG_SECTOR_CODE")</f>
        <v>#NAME?</v>
      </c>
      <c r="R1700" t="e">
        <f ca="1">BDP("88285AGY Muni","ISSUER_TYPE")</f>
        <v>#NAME?</v>
      </c>
      <c r="S1700" t="e">
        <f ca="1">BDS("88285AGY Muni","ESG_PROJECT_CATEGORY", "aggregate=y")</f>
        <v>#NAME?</v>
      </c>
      <c r="T1700" t="e">
        <f ca="1">BDS("88285AGY Muni","ESG_PROJECT_SUBCATEGORY", "aggregate=y")</f>
        <v>#NAME?</v>
      </c>
    </row>
    <row r="1701" spans="1:20" x14ac:dyDescent="0.25">
      <c r="A1701" t="e">
        <f ca="1">BDP("88285AGZ Muni","ID_CUSIP")</f>
        <v>#NAME?</v>
      </c>
      <c r="B1701" t="e">
        <f ca="1">BDP("88285AGZ Muni","STATE_CODE")</f>
        <v>#NAME?</v>
      </c>
      <c r="C1701" t="s">
        <v>102</v>
      </c>
      <c r="D1701" t="e">
        <f ca="1">BDP("88285AGZ Muni","YIELD_ON_ISSUE_DATE")</f>
        <v>#NAME?</v>
      </c>
      <c r="E1701">
        <v>5955000</v>
      </c>
      <c r="F1701" t="e">
        <f ca="1">BDP("88285AGZ Muni","ISSUE_DT")</f>
        <v>#NAME?</v>
      </c>
      <c r="G1701" t="e">
        <f ca="1">BDP("88285AGZ Muni","MATURITY")</f>
        <v>#NAME?</v>
      </c>
      <c r="H1701" t="e">
        <f ca="1">BDP("88285AGZ Muni","MUNI_TAX_PROV")</f>
        <v>#NAME?</v>
      </c>
      <c r="I1701" t="e">
        <f ca="1">BDP("88285AGZ Muni","FINANCING_TYPE")</f>
        <v>#NAME?</v>
      </c>
      <c r="J1701" t="e">
        <f ca="1">BDP("88285AGZ Muni","BICS_LEVEL_2_INDUSTRY_GROUP_NAME")</f>
        <v>#NAME?</v>
      </c>
      <c r="K1701" t="e">
        <f ca="1">BDP("88285AGZ Muni","SELF_REPRTD_GREEN_INSTR_INDCTR")</f>
        <v>#NAME?</v>
      </c>
      <c r="L1701" t="e">
        <f ca="1">BDP("88285AGZ Muni","GB_MANAGEMENT_PROCEEDS")</f>
        <v>#NAME?</v>
      </c>
      <c r="M1701" t="e">
        <f ca="1">BDP("88285AGZ Muni","GB_REPORTING")</f>
        <v>#NAME?</v>
      </c>
      <c r="N1701" t="e">
        <f ca="1">BDP("88285AGZ Muni","GB_ASSURANCE_PROVIDERS")</f>
        <v>#NAME?</v>
      </c>
      <c r="O1701" t="e">
        <f ca="1">BDP("88285AGZ Muni","GB_PROJECT_SELECTION_PROCESS")</f>
        <v>#NAME?</v>
      </c>
      <c r="P1701" t="e">
        <f ca="1">BDP("88285AGZ Muni","ESG_FRAMEWORK_INDICATOR")</f>
        <v>#NAME?</v>
      </c>
      <c r="Q1701" t="e">
        <f ca="1">BDP("88285AGZ Muni","BLOOMBERG_SECTOR_CODE")</f>
        <v>#NAME?</v>
      </c>
      <c r="R1701" t="e">
        <f ca="1">BDP("88285AGZ Muni","ISSUER_TYPE")</f>
        <v>#NAME?</v>
      </c>
      <c r="S1701" t="e">
        <f ca="1">BDS("88285AGZ Muni","ESG_PROJECT_CATEGORY", "aggregate=y")</f>
        <v>#NAME?</v>
      </c>
      <c r="T1701" t="e">
        <f ca="1">BDS("88285AGZ Muni","ESG_PROJECT_SUBCATEGORY", "aggregate=y")</f>
        <v>#NAME?</v>
      </c>
    </row>
    <row r="1702" spans="1:20" x14ac:dyDescent="0.25">
      <c r="A1702" t="e">
        <f ca="1">BDP("88285AHC Muni","ID_CUSIP")</f>
        <v>#NAME?</v>
      </c>
      <c r="B1702" t="e">
        <f ca="1">BDP("88285AHC Muni","STATE_CODE")</f>
        <v>#NAME?</v>
      </c>
      <c r="C1702" t="s">
        <v>102</v>
      </c>
      <c r="D1702" t="e">
        <f ca="1">BDP("88285AHC Muni","YIELD_ON_ISSUE_DATE")</f>
        <v>#NAME?</v>
      </c>
      <c r="E1702">
        <v>6895000</v>
      </c>
      <c r="F1702" t="e">
        <f ca="1">BDP("88285AHC Muni","ISSUE_DT")</f>
        <v>#NAME?</v>
      </c>
      <c r="G1702" t="e">
        <f ca="1">BDP("88285AHC Muni","MATURITY")</f>
        <v>#NAME?</v>
      </c>
      <c r="H1702" t="e">
        <f ca="1">BDP("88285AHC Muni","MUNI_TAX_PROV")</f>
        <v>#NAME?</v>
      </c>
      <c r="I1702" t="e">
        <f ca="1">BDP("88285AHC Muni","FINANCING_TYPE")</f>
        <v>#NAME?</v>
      </c>
      <c r="J1702" t="e">
        <f ca="1">BDP("88285AHC Muni","BICS_LEVEL_2_INDUSTRY_GROUP_NAME")</f>
        <v>#NAME?</v>
      </c>
      <c r="K1702" t="e">
        <f ca="1">BDP("88285AHC Muni","SELF_REPRTD_GREEN_INSTR_INDCTR")</f>
        <v>#NAME?</v>
      </c>
      <c r="L1702" t="e">
        <f ca="1">BDP("88285AHC Muni","GB_MANAGEMENT_PROCEEDS")</f>
        <v>#NAME?</v>
      </c>
      <c r="M1702" t="e">
        <f ca="1">BDP("88285AHC Muni","GB_REPORTING")</f>
        <v>#NAME?</v>
      </c>
      <c r="N1702" t="e">
        <f ca="1">BDP("88285AHC Muni","GB_ASSURANCE_PROVIDERS")</f>
        <v>#NAME?</v>
      </c>
      <c r="O1702" t="e">
        <f ca="1">BDP("88285AHC Muni","GB_PROJECT_SELECTION_PROCESS")</f>
        <v>#NAME?</v>
      </c>
      <c r="P1702" t="e">
        <f ca="1">BDP("88285AHC Muni","ESG_FRAMEWORK_INDICATOR")</f>
        <v>#NAME?</v>
      </c>
      <c r="Q1702" t="e">
        <f ca="1">BDP("88285AHC Muni","BLOOMBERG_SECTOR_CODE")</f>
        <v>#NAME?</v>
      </c>
      <c r="R1702" t="e">
        <f ca="1">BDP("88285AHC Muni","ISSUER_TYPE")</f>
        <v>#NAME?</v>
      </c>
      <c r="S1702" t="e">
        <f ca="1">BDS("88285AHC Muni","ESG_PROJECT_CATEGORY", "aggregate=y")</f>
        <v>#NAME?</v>
      </c>
      <c r="T1702" t="e">
        <f ca="1">BDS("88285AHC Muni","ESG_PROJECT_SUBCATEGORY", "aggregate=y")</f>
        <v>#NAME?</v>
      </c>
    </row>
    <row r="1703" spans="1:20" x14ac:dyDescent="0.25">
      <c r="A1703" t="e">
        <f ca="1">BDP("88285AHD Muni","ID_CUSIP")</f>
        <v>#NAME?</v>
      </c>
      <c r="B1703" t="e">
        <f ca="1">BDP("88285AHD Muni","STATE_CODE")</f>
        <v>#NAME?</v>
      </c>
      <c r="C1703" t="s">
        <v>102</v>
      </c>
      <c r="D1703" t="e">
        <f ca="1">BDP("88285AHD Muni","YIELD_ON_ISSUE_DATE")</f>
        <v>#NAME?</v>
      </c>
      <c r="E1703">
        <v>7240000</v>
      </c>
      <c r="F1703" t="e">
        <f ca="1">BDP("88285AHD Muni","ISSUE_DT")</f>
        <v>#NAME?</v>
      </c>
      <c r="G1703" t="e">
        <f ca="1">BDP("88285AHD Muni","MATURITY")</f>
        <v>#NAME?</v>
      </c>
      <c r="H1703" t="e">
        <f ca="1">BDP("88285AHD Muni","MUNI_TAX_PROV")</f>
        <v>#NAME?</v>
      </c>
      <c r="I1703" t="e">
        <f ca="1">BDP("88285AHD Muni","FINANCING_TYPE")</f>
        <v>#NAME?</v>
      </c>
      <c r="J1703" t="e">
        <f ca="1">BDP("88285AHD Muni","BICS_LEVEL_2_INDUSTRY_GROUP_NAME")</f>
        <v>#NAME?</v>
      </c>
      <c r="K1703" t="e">
        <f ca="1">BDP("88285AHD Muni","SELF_REPRTD_GREEN_INSTR_INDCTR")</f>
        <v>#NAME?</v>
      </c>
      <c r="L1703" t="e">
        <f ca="1">BDP("88285AHD Muni","GB_MANAGEMENT_PROCEEDS")</f>
        <v>#NAME?</v>
      </c>
      <c r="M1703" t="e">
        <f ca="1">BDP("88285AHD Muni","GB_REPORTING")</f>
        <v>#NAME?</v>
      </c>
      <c r="N1703" t="e">
        <f ca="1">BDP("88285AHD Muni","GB_ASSURANCE_PROVIDERS")</f>
        <v>#NAME?</v>
      </c>
      <c r="O1703" t="e">
        <f ca="1">BDP("88285AHD Muni","GB_PROJECT_SELECTION_PROCESS")</f>
        <v>#NAME?</v>
      </c>
      <c r="P1703" t="e">
        <f ca="1">BDP("88285AHD Muni","ESG_FRAMEWORK_INDICATOR")</f>
        <v>#NAME?</v>
      </c>
      <c r="Q1703" t="e">
        <f ca="1">BDP("88285AHD Muni","BLOOMBERG_SECTOR_CODE")</f>
        <v>#NAME?</v>
      </c>
      <c r="R1703" t="e">
        <f ca="1">BDP("88285AHD Muni","ISSUER_TYPE")</f>
        <v>#NAME?</v>
      </c>
      <c r="S1703" t="e">
        <f ca="1">BDS("88285AHD Muni","ESG_PROJECT_CATEGORY", "aggregate=y")</f>
        <v>#NAME?</v>
      </c>
      <c r="T1703" t="e">
        <f ca="1">BDS("88285AHD Muni","ESG_PROJECT_SUBCATEGORY", "aggregate=y")</f>
        <v>#NAME?</v>
      </c>
    </row>
    <row r="1704" spans="1:20" x14ac:dyDescent="0.25">
      <c r="A1704" t="e">
        <f ca="1">BDP("88285AHE Muni","ID_CUSIP")</f>
        <v>#NAME?</v>
      </c>
      <c r="B1704" t="e">
        <f ca="1">BDP("88285AHE Muni","STATE_CODE")</f>
        <v>#NAME?</v>
      </c>
      <c r="C1704" t="s">
        <v>102</v>
      </c>
      <c r="D1704" t="e">
        <f ca="1">BDP("88285AHE Muni","YIELD_ON_ISSUE_DATE")</f>
        <v>#NAME?</v>
      </c>
      <c r="E1704">
        <v>7605000</v>
      </c>
      <c r="F1704" t="e">
        <f ca="1">BDP("88285AHE Muni","ISSUE_DT")</f>
        <v>#NAME?</v>
      </c>
      <c r="G1704" t="e">
        <f ca="1">BDP("88285AHE Muni","MATURITY")</f>
        <v>#NAME?</v>
      </c>
      <c r="H1704" t="e">
        <f ca="1">BDP("88285AHE Muni","MUNI_TAX_PROV")</f>
        <v>#NAME?</v>
      </c>
      <c r="I1704" t="e">
        <f ca="1">BDP("88285AHE Muni","FINANCING_TYPE")</f>
        <v>#NAME?</v>
      </c>
      <c r="J1704" t="e">
        <f ca="1">BDP("88285AHE Muni","BICS_LEVEL_2_INDUSTRY_GROUP_NAME")</f>
        <v>#NAME?</v>
      </c>
      <c r="K1704" t="e">
        <f ca="1">BDP("88285AHE Muni","SELF_REPRTD_GREEN_INSTR_INDCTR")</f>
        <v>#NAME?</v>
      </c>
      <c r="L1704" t="e">
        <f ca="1">BDP("88285AHE Muni","GB_MANAGEMENT_PROCEEDS")</f>
        <v>#NAME?</v>
      </c>
      <c r="M1704" t="e">
        <f ca="1">BDP("88285AHE Muni","GB_REPORTING")</f>
        <v>#NAME?</v>
      </c>
      <c r="N1704" t="e">
        <f ca="1">BDP("88285AHE Muni","GB_ASSURANCE_PROVIDERS")</f>
        <v>#NAME?</v>
      </c>
      <c r="O1704" t="e">
        <f ca="1">BDP("88285AHE Muni","GB_PROJECT_SELECTION_PROCESS")</f>
        <v>#NAME?</v>
      </c>
      <c r="P1704" t="e">
        <f ca="1">BDP("88285AHE Muni","ESG_FRAMEWORK_INDICATOR")</f>
        <v>#NAME?</v>
      </c>
      <c r="Q1704" t="e">
        <f ca="1">BDP("88285AHE Muni","BLOOMBERG_SECTOR_CODE")</f>
        <v>#NAME?</v>
      </c>
      <c r="R1704" t="e">
        <f ca="1">BDP("88285AHE Muni","ISSUER_TYPE")</f>
        <v>#NAME?</v>
      </c>
      <c r="S1704" t="e">
        <f ca="1">BDS("88285AHE Muni","ESG_PROJECT_CATEGORY", "aggregate=y")</f>
        <v>#NAME?</v>
      </c>
      <c r="T1704" t="e">
        <f ca="1">BDS("88285AHE Muni","ESG_PROJECT_SUBCATEGORY", "aggregate=y")</f>
        <v>#NAME?</v>
      </c>
    </row>
    <row r="1705" spans="1:20" x14ac:dyDescent="0.25">
      <c r="A1705" t="e">
        <f ca="1">BDP("88285AHJ Muni","ID_CUSIP")</f>
        <v>#NAME?</v>
      </c>
      <c r="B1705" t="e">
        <f ca="1">BDP("88285AHJ Muni","STATE_CODE")</f>
        <v>#NAME?</v>
      </c>
      <c r="C1705" t="s">
        <v>102</v>
      </c>
      <c r="D1705" t="e">
        <f ca="1">BDP("88285AHJ Muni","YIELD_ON_ISSUE_DATE")</f>
        <v>#NAME?</v>
      </c>
      <c r="E1705">
        <v>9240000</v>
      </c>
      <c r="F1705" t="e">
        <f ca="1">BDP("88285AHJ Muni","ISSUE_DT")</f>
        <v>#NAME?</v>
      </c>
      <c r="G1705" t="e">
        <f ca="1">BDP("88285AHJ Muni","MATURITY")</f>
        <v>#NAME?</v>
      </c>
      <c r="H1705" t="e">
        <f ca="1">BDP("88285AHJ Muni","MUNI_TAX_PROV")</f>
        <v>#NAME?</v>
      </c>
      <c r="I1705" t="e">
        <f ca="1">BDP("88285AHJ Muni","FINANCING_TYPE")</f>
        <v>#NAME?</v>
      </c>
      <c r="J1705" t="e">
        <f ca="1">BDP("88285AHJ Muni","BICS_LEVEL_2_INDUSTRY_GROUP_NAME")</f>
        <v>#NAME?</v>
      </c>
      <c r="K1705" t="e">
        <f ca="1">BDP("88285AHJ Muni","SELF_REPRTD_GREEN_INSTR_INDCTR")</f>
        <v>#NAME?</v>
      </c>
      <c r="L1705" t="e">
        <f ca="1">BDP("88285AHJ Muni","GB_MANAGEMENT_PROCEEDS")</f>
        <v>#NAME?</v>
      </c>
      <c r="M1705" t="e">
        <f ca="1">BDP("88285AHJ Muni","GB_REPORTING")</f>
        <v>#NAME?</v>
      </c>
      <c r="N1705" t="e">
        <f ca="1">BDP("88285AHJ Muni","GB_ASSURANCE_PROVIDERS")</f>
        <v>#NAME?</v>
      </c>
      <c r="O1705" t="e">
        <f ca="1">BDP("88285AHJ Muni","GB_PROJECT_SELECTION_PROCESS")</f>
        <v>#NAME?</v>
      </c>
      <c r="P1705" t="e">
        <f ca="1">BDP("88285AHJ Muni","ESG_FRAMEWORK_INDICATOR")</f>
        <v>#NAME?</v>
      </c>
      <c r="Q1705" t="e">
        <f ca="1">BDP("88285AHJ Muni","BLOOMBERG_SECTOR_CODE")</f>
        <v>#NAME?</v>
      </c>
      <c r="R1705" t="e">
        <f ca="1">BDP("88285AHJ Muni","ISSUER_TYPE")</f>
        <v>#NAME?</v>
      </c>
      <c r="S1705" t="e">
        <f ca="1">BDS("88285AHJ Muni","ESG_PROJECT_CATEGORY", "aggregate=y")</f>
        <v>#NAME?</v>
      </c>
      <c r="T1705" t="e">
        <f ca="1">BDS("88285AHJ Muni","ESG_PROJECT_SUBCATEGORY", "aggregate=y")</f>
        <v>#NAME?</v>
      </c>
    </row>
    <row r="1706" spans="1:20" x14ac:dyDescent="0.25">
      <c r="A1706" t="e">
        <f ca="1">BDP("88285AHL Muni","ID_CUSIP")</f>
        <v>#NAME?</v>
      </c>
      <c r="B1706" t="e">
        <f ca="1">BDP("88285AHL Muni","STATE_CODE")</f>
        <v>#NAME?</v>
      </c>
      <c r="C1706" t="s">
        <v>102</v>
      </c>
      <c r="D1706" t="e">
        <f ca="1">BDP("88285AHL Muni","YIELD_ON_ISSUE_DATE")</f>
        <v>#NAME?</v>
      </c>
      <c r="E1706">
        <v>10190000</v>
      </c>
      <c r="F1706" t="e">
        <f ca="1">BDP("88285AHL Muni","ISSUE_DT")</f>
        <v>#NAME?</v>
      </c>
      <c r="G1706" t="e">
        <f ca="1">BDP("88285AHL Muni","MATURITY")</f>
        <v>#NAME?</v>
      </c>
      <c r="H1706" t="e">
        <f ca="1">BDP("88285AHL Muni","MUNI_TAX_PROV")</f>
        <v>#NAME?</v>
      </c>
      <c r="I1706" t="e">
        <f ca="1">BDP("88285AHL Muni","FINANCING_TYPE")</f>
        <v>#NAME?</v>
      </c>
      <c r="J1706" t="e">
        <f ca="1">BDP("88285AHL Muni","BICS_LEVEL_2_INDUSTRY_GROUP_NAME")</f>
        <v>#NAME?</v>
      </c>
      <c r="K1706" t="e">
        <f ca="1">BDP("88285AHL Muni","SELF_REPRTD_GREEN_INSTR_INDCTR")</f>
        <v>#NAME?</v>
      </c>
      <c r="L1706" t="e">
        <f ca="1">BDP("88285AHL Muni","GB_MANAGEMENT_PROCEEDS")</f>
        <v>#NAME?</v>
      </c>
      <c r="M1706" t="e">
        <f ca="1">BDP("88285AHL Muni","GB_REPORTING")</f>
        <v>#NAME?</v>
      </c>
      <c r="N1706" t="e">
        <f ca="1">BDP("88285AHL Muni","GB_ASSURANCE_PROVIDERS")</f>
        <v>#NAME?</v>
      </c>
      <c r="O1706" t="e">
        <f ca="1">BDP("88285AHL Muni","GB_PROJECT_SELECTION_PROCESS")</f>
        <v>#NAME?</v>
      </c>
      <c r="P1706" t="e">
        <f ca="1">BDP("88285AHL Muni","ESG_FRAMEWORK_INDICATOR")</f>
        <v>#NAME?</v>
      </c>
      <c r="Q1706" t="e">
        <f ca="1">BDP("88285AHL Muni","BLOOMBERG_SECTOR_CODE")</f>
        <v>#NAME?</v>
      </c>
      <c r="R1706" t="e">
        <f ca="1">BDP("88285AHL Muni","ISSUER_TYPE")</f>
        <v>#NAME?</v>
      </c>
      <c r="S1706" t="e">
        <f ca="1">BDS("88285AHL Muni","ESG_PROJECT_CATEGORY", "aggregate=y")</f>
        <v>#NAME?</v>
      </c>
      <c r="T1706" t="e">
        <f ca="1">BDS("88285AHL Muni","ESG_PROJECT_SUBCATEGORY", "aggregate=y")</f>
        <v>#NAME?</v>
      </c>
    </row>
    <row r="1707" spans="1:20" x14ac:dyDescent="0.25">
      <c r="A1707" t="e">
        <f ca="1">BDP("88285AHP Muni","ID_CUSIP")</f>
        <v>#NAME?</v>
      </c>
      <c r="B1707" t="e">
        <f ca="1">BDP("88285AHP Muni","STATE_CODE")</f>
        <v>#NAME?</v>
      </c>
      <c r="C1707" t="s">
        <v>102</v>
      </c>
      <c r="D1707" t="e">
        <f ca="1">BDP("88285AHP Muni","YIELD_ON_ISSUE_DATE")</f>
        <v>#NAME?</v>
      </c>
      <c r="E1707">
        <v>11795000</v>
      </c>
      <c r="F1707" t="e">
        <f ca="1">BDP("88285AHP Muni","ISSUE_DT")</f>
        <v>#NAME?</v>
      </c>
      <c r="G1707" t="e">
        <f ca="1">BDP("88285AHP Muni","MATURITY")</f>
        <v>#NAME?</v>
      </c>
      <c r="H1707" t="e">
        <f ca="1">BDP("88285AHP Muni","MUNI_TAX_PROV")</f>
        <v>#NAME?</v>
      </c>
      <c r="I1707" t="e">
        <f ca="1">BDP("88285AHP Muni","FINANCING_TYPE")</f>
        <v>#NAME?</v>
      </c>
      <c r="J1707" t="e">
        <f ca="1">BDP("88285AHP Muni","BICS_LEVEL_2_INDUSTRY_GROUP_NAME")</f>
        <v>#NAME?</v>
      </c>
      <c r="K1707" t="e">
        <f ca="1">BDP("88285AHP Muni","SELF_REPRTD_GREEN_INSTR_INDCTR")</f>
        <v>#NAME?</v>
      </c>
      <c r="L1707" t="e">
        <f ca="1">BDP("88285AHP Muni","GB_MANAGEMENT_PROCEEDS")</f>
        <v>#NAME?</v>
      </c>
      <c r="M1707" t="e">
        <f ca="1">BDP("88285AHP Muni","GB_REPORTING")</f>
        <v>#NAME?</v>
      </c>
      <c r="N1707" t="e">
        <f ca="1">BDP("88285AHP Muni","GB_ASSURANCE_PROVIDERS")</f>
        <v>#NAME?</v>
      </c>
      <c r="O1707" t="e">
        <f ca="1">BDP("88285AHP Muni","GB_PROJECT_SELECTION_PROCESS")</f>
        <v>#NAME?</v>
      </c>
      <c r="P1707" t="e">
        <f ca="1">BDP("88285AHP Muni","ESG_FRAMEWORK_INDICATOR")</f>
        <v>#NAME?</v>
      </c>
      <c r="Q1707" t="e">
        <f ca="1">BDP("88285AHP Muni","BLOOMBERG_SECTOR_CODE")</f>
        <v>#NAME?</v>
      </c>
      <c r="R1707" t="e">
        <f ca="1">BDP("88285AHP Muni","ISSUER_TYPE")</f>
        <v>#NAME?</v>
      </c>
      <c r="S1707" t="e">
        <f ca="1">BDS("88285AHP Muni","ESG_PROJECT_CATEGORY", "aggregate=y")</f>
        <v>#NAME?</v>
      </c>
      <c r="T1707" t="e">
        <f ca="1">BDS("88285AHP Muni","ESG_PROJECT_SUBCATEGORY", "aggregate=y")</f>
        <v>#NAME?</v>
      </c>
    </row>
    <row r="1708" spans="1:20" x14ac:dyDescent="0.25">
      <c r="A1708" t="e">
        <f ca="1">BDP("88285AHS Muni","ID_CUSIP")</f>
        <v>#NAME?</v>
      </c>
      <c r="B1708" t="e">
        <f ca="1">BDP("88285AHS Muni","STATE_CODE")</f>
        <v>#NAME?</v>
      </c>
      <c r="C1708" t="s">
        <v>102</v>
      </c>
      <c r="D1708" t="e">
        <f ca="1">BDP("88285AHS Muni","YIELD_ON_ISSUE_DATE")</f>
        <v>#NAME?</v>
      </c>
      <c r="E1708">
        <v>13655000</v>
      </c>
      <c r="F1708" t="e">
        <f ca="1">BDP("88285AHS Muni","ISSUE_DT")</f>
        <v>#NAME?</v>
      </c>
      <c r="G1708" t="e">
        <f ca="1">BDP("88285AHS Muni","MATURITY")</f>
        <v>#NAME?</v>
      </c>
      <c r="H1708" t="e">
        <f ca="1">BDP("88285AHS Muni","MUNI_TAX_PROV")</f>
        <v>#NAME?</v>
      </c>
      <c r="I1708" t="e">
        <f ca="1">BDP("88285AHS Muni","FINANCING_TYPE")</f>
        <v>#NAME?</v>
      </c>
      <c r="J1708" t="e">
        <f ca="1">BDP("88285AHS Muni","BICS_LEVEL_2_INDUSTRY_GROUP_NAME")</f>
        <v>#NAME?</v>
      </c>
      <c r="K1708" t="e">
        <f ca="1">BDP("88285AHS Muni","SELF_REPRTD_GREEN_INSTR_INDCTR")</f>
        <v>#NAME?</v>
      </c>
      <c r="L1708" t="e">
        <f ca="1">BDP("88285AHS Muni","GB_MANAGEMENT_PROCEEDS")</f>
        <v>#NAME?</v>
      </c>
      <c r="M1708" t="e">
        <f ca="1">BDP("88285AHS Muni","GB_REPORTING")</f>
        <v>#NAME?</v>
      </c>
      <c r="N1708" t="e">
        <f ca="1">BDP("88285AHS Muni","GB_ASSURANCE_PROVIDERS")</f>
        <v>#NAME?</v>
      </c>
      <c r="O1708" t="e">
        <f ca="1">BDP("88285AHS Muni","GB_PROJECT_SELECTION_PROCESS")</f>
        <v>#NAME?</v>
      </c>
      <c r="P1708" t="e">
        <f ca="1">BDP("88285AHS Muni","ESG_FRAMEWORK_INDICATOR")</f>
        <v>#NAME?</v>
      </c>
      <c r="Q1708" t="e">
        <f ca="1">BDP("88285AHS Muni","BLOOMBERG_SECTOR_CODE")</f>
        <v>#NAME?</v>
      </c>
      <c r="R1708" t="e">
        <f ca="1">BDP("88285AHS Muni","ISSUER_TYPE")</f>
        <v>#NAME?</v>
      </c>
      <c r="S1708" t="e">
        <f ca="1">BDS("88285AHS Muni","ESG_PROJECT_CATEGORY", "aggregate=y")</f>
        <v>#NAME?</v>
      </c>
      <c r="T1708" t="e">
        <f ca="1">BDS("88285AHS Muni","ESG_PROJECT_SUBCATEGORY", "aggregate=y")</f>
        <v>#NAME?</v>
      </c>
    </row>
    <row r="1709" spans="1:20" x14ac:dyDescent="0.25">
      <c r="A1709" t="e">
        <f ca="1">BDP("88285AHM Muni","ID_CUSIP")</f>
        <v>#NAME?</v>
      </c>
      <c r="B1709" t="e">
        <f ca="1">BDP("88285AHM Muni","STATE_CODE")</f>
        <v>#NAME?</v>
      </c>
      <c r="C1709" t="s">
        <v>102</v>
      </c>
      <c r="D1709" t="e">
        <f ca="1">BDP("88285AHM Muni","YIELD_ON_ISSUE_DATE")</f>
        <v>#NAME?</v>
      </c>
      <c r="E1709">
        <v>10695000</v>
      </c>
      <c r="F1709" t="e">
        <f ca="1">BDP("88285AHM Muni","ISSUE_DT")</f>
        <v>#NAME?</v>
      </c>
      <c r="G1709" t="e">
        <f ca="1">BDP("88285AHM Muni","MATURITY")</f>
        <v>#NAME?</v>
      </c>
      <c r="H1709" t="e">
        <f ca="1">BDP("88285AHM Muni","MUNI_TAX_PROV")</f>
        <v>#NAME?</v>
      </c>
      <c r="I1709" t="e">
        <f ca="1">BDP("88285AHM Muni","FINANCING_TYPE")</f>
        <v>#NAME?</v>
      </c>
      <c r="J1709" t="e">
        <f ca="1">BDP("88285AHM Muni","BICS_LEVEL_2_INDUSTRY_GROUP_NAME")</f>
        <v>#NAME?</v>
      </c>
      <c r="K1709" t="e">
        <f ca="1">BDP("88285AHM Muni","SELF_REPRTD_GREEN_INSTR_INDCTR")</f>
        <v>#NAME?</v>
      </c>
      <c r="L1709" t="e">
        <f ca="1">BDP("88285AHM Muni","GB_MANAGEMENT_PROCEEDS")</f>
        <v>#NAME?</v>
      </c>
      <c r="M1709" t="e">
        <f ca="1">BDP("88285AHM Muni","GB_REPORTING")</f>
        <v>#NAME?</v>
      </c>
      <c r="N1709" t="e">
        <f ca="1">BDP("88285AHM Muni","GB_ASSURANCE_PROVIDERS")</f>
        <v>#NAME?</v>
      </c>
      <c r="O1709" t="e">
        <f ca="1">BDP("88285AHM Muni","GB_PROJECT_SELECTION_PROCESS")</f>
        <v>#NAME?</v>
      </c>
      <c r="P1709" t="e">
        <f ca="1">BDP("88285AHM Muni","ESG_FRAMEWORK_INDICATOR")</f>
        <v>#NAME?</v>
      </c>
      <c r="Q1709" t="e">
        <f ca="1">BDP("88285AHM Muni","BLOOMBERG_SECTOR_CODE")</f>
        <v>#NAME?</v>
      </c>
      <c r="R1709" t="e">
        <f ca="1">BDP("88285AHM Muni","ISSUER_TYPE")</f>
        <v>#NAME?</v>
      </c>
      <c r="S1709" t="e">
        <f ca="1">BDS("88285AHM Muni","ESG_PROJECT_CATEGORY", "aggregate=y")</f>
        <v>#NAME?</v>
      </c>
      <c r="T1709" t="e">
        <f ca="1">BDS("88285AHM Muni","ESG_PROJECT_SUBCATEGORY", "aggregate=y")</f>
        <v>#NAME?</v>
      </c>
    </row>
    <row r="1710" spans="1:20" x14ac:dyDescent="0.25">
      <c r="A1710" t="e">
        <f ca="1">BDP("605155BW Muni","ID_CUSIP")</f>
        <v>#NAME?</v>
      </c>
      <c r="B1710" t="e">
        <f ca="1">BDP("605155BW Muni","STATE_CODE")</f>
        <v>#NAME?</v>
      </c>
      <c r="C1710" t="s">
        <v>103</v>
      </c>
      <c r="D1710" t="e">
        <f ca="1">BDP("605155BW Muni","YIELD_ON_ISSUE_DATE")</f>
        <v>#NAME?</v>
      </c>
      <c r="E1710">
        <v>98130000</v>
      </c>
      <c r="F1710" t="e">
        <f ca="1">BDP("605155BW Muni","ISSUE_DT")</f>
        <v>#NAME?</v>
      </c>
      <c r="G1710" t="e">
        <f ca="1">BDP("605155BW Muni","MATURITY")</f>
        <v>#NAME?</v>
      </c>
      <c r="H1710" t="e">
        <f ca="1">BDP("605155BW Muni","MUNI_TAX_PROV")</f>
        <v>#NAME?</v>
      </c>
      <c r="I1710" t="e">
        <f ca="1">BDP("605155BW Muni","FINANCING_TYPE")</f>
        <v>#NAME?</v>
      </c>
      <c r="J1710" t="e">
        <f ca="1">BDP("605155BW Muni","BICS_LEVEL_2_INDUSTRY_GROUP_NAME")</f>
        <v>#NAME?</v>
      </c>
      <c r="K1710" t="e">
        <f ca="1">BDP("605155BW Muni","SELF_REPRTD_GREEN_INSTR_INDCTR")</f>
        <v>#NAME?</v>
      </c>
      <c r="L1710" t="e">
        <f ca="1">BDP("605155BW Muni","GB_MANAGEMENT_PROCEEDS")</f>
        <v>#NAME?</v>
      </c>
      <c r="M1710" t="e">
        <f ca="1">BDP("605155BW Muni","GB_REPORTING")</f>
        <v>#NAME?</v>
      </c>
      <c r="N1710" t="e">
        <f ca="1">BDP("605155BW Muni","GB_ASSURANCE_PROVIDERS")</f>
        <v>#NAME?</v>
      </c>
      <c r="O1710" t="e">
        <f ca="1">BDP("605155BW Muni","GB_PROJECT_SELECTION_PROCESS")</f>
        <v>#NAME?</v>
      </c>
      <c r="P1710" t="e">
        <f ca="1">BDP("605155BW Muni","ESG_FRAMEWORK_INDICATOR")</f>
        <v>#NAME?</v>
      </c>
      <c r="Q1710" t="e">
        <f ca="1">BDP("605155BW Muni","BLOOMBERG_SECTOR_CODE")</f>
        <v>#NAME?</v>
      </c>
      <c r="R1710" t="e">
        <f ca="1">BDP("605155BW Muni","ISSUER_TYPE")</f>
        <v>#NAME?</v>
      </c>
      <c r="S1710" t="e">
        <f ca="1">BDS("605155BW Muni","ESG_PROJECT_CATEGORY", "aggregate=y")</f>
        <v>#NAME?</v>
      </c>
      <c r="T1710" t="e">
        <f ca="1">BDS("605155BW Muni","ESG_PROJECT_SUBCATEGORY", "aggregate=y")</f>
        <v>#NAME?</v>
      </c>
    </row>
    <row r="1711" spans="1:20" x14ac:dyDescent="0.25">
      <c r="A1711" t="e">
        <f ca="1">BDP("88035PL7 Muni","ID_CUSIP")</f>
        <v>#NAME?</v>
      </c>
      <c r="B1711" t="e">
        <f ca="1">BDP("88035PL7 Muni","STATE_CODE")</f>
        <v>#NAME?</v>
      </c>
      <c r="C1711" t="s">
        <v>25</v>
      </c>
      <c r="D1711" t="e">
        <f ca="1">BDP("88035PL7 Muni","YIELD_ON_ISSUE_DATE")</f>
        <v>#NAME?</v>
      </c>
      <c r="E1711">
        <v>2040000</v>
      </c>
      <c r="F1711" t="e">
        <f ca="1">BDP("88035PL7 Muni","ISSUE_DT")</f>
        <v>#NAME?</v>
      </c>
      <c r="G1711" t="e">
        <f ca="1">BDP("88035PL7 Muni","MATURITY")</f>
        <v>#NAME?</v>
      </c>
      <c r="H1711" t="e">
        <f ca="1">BDP("88035PL7 Muni","MUNI_TAX_PROV")</f>
        <v>#NAME?</v>
      </c>
      <c r="I1711" t="e">
        <f ca="1">BDP("88035PL7 Muni","FINANCING_TYPE")</f>
        <v>#NAME?</v>
      </c>
      <c r="J1711" t="e">
        <f ca="1">BDP("88035PL7 Muni","BICS_LEVEL_2_INDUSTRY_GROUP_NAME")</f>
        <v>#NAME?</v>
      </c>
      <c r="K1711" t="e">
        <f ca="1">BDP("88035PL7 Muni","SELF_REPRTD_GREEN_INSTR_INDCTR")</f>
        <v>#NAME?</v>
      </c>
      <c r="L1711" t="e">
        <f ca="1">BDP("88035PL7 Muni","GB_MANAGEMENT_PROCEEDS")</f>
        <v>#NAME?</v>
      </c>
      <c r="M1711" t="e">
        <f ca="1">BDP("88035PL7 Muni","GB_REPORTING")</f>
        <v>#NAME?</v>
      </c>
      <c r="N1711" t="e">
        <f ca="1">BDP("88035PL7 Muni","GB_ASSURANCE_PROVIDERS")</f>
        <v>#NAME?</v>
      </c>
      <c r="O1711" t="e">
        <f ca="1">BDP("88035PL7 Muni","GB_PROJECT_SELECTION_PROCESS")</f>
        <v>#NAME?</v>
      </c>
      <c r="P1711" t="e">
        <f ca="1">BDP("88035PL7 Muni","ESG_FRAMEWORK_INDICATOR")</f>
        <v>#NAME?</v>
      </c>
      <c r="Q1711" t="e">
        <f ca="1">BDP("88035PL7 Muni","BLOOMBERG_SECTOR_CODE")</f>
        <v>#NAME?</v>
      </c>
      <c r="R1711" t="e">
        <f ca="1">BDP("88035PL7 Muni","ISSUER_TYPE")</f>
        <v>#NAME?</v>
      </c>
      <c r="S1711" t="e">
        <f ca="1">BDS("88035PL7 Muni","ESG_PROJECT_CATEGORY", "aggregate=y")</f>
        <v>#NAME?</v>
      </c>
      <c r="T1711" t="e">
        <f ca="1">BDS("88035PL7 Muni","ESG_PROJECT_SUBCATEGORY", "aggregate=y")</f>
        <v>#NAME?</v>
      </c>
    </row>
    <row r="1712" spans="1:20" x14ac:dyDescent="0.25">
      <c r="A1712" t="e">
        <f ca="1">BDP("88285AHG Muni","ID_CUSIP")</f>
        <v>#NAME?</v>
      </c>
      <c r="B1712" t="e">
        <f ca="1">BDP("88285AHG Muni","STATE_CODE")</f>
        <v>#NAME?</v>
      </c>
      <c r="C1712" t="s">
        <v>102</v>
      </c>
      <c r="D1712" t="e">
        <f ca="1">BDP("88285AHG Muni","YIELD_ON_ISSUE_DATE")</f>
        <v>#NAME?</v>
      </c>
      <c r="E1712">
        <v>8380000</v>
      </c>
      <c r="F1712" t="e">
        <f ca="1">BDP("88285AHG Muni","ISSUE_DT")</f>
        <v>#NAME?</v>
      </c>
      <c r="G1712" t="e">
        <f ca="1">BDP("88285AHG Muni","MATURITY")</f>
        <v>#NAME?</v>
      </c>
      <c r="H1712" t="e">
        <f ca="1">BDP("88285AHG Muni","MUNI_TAX_PROV")</f>
        <v>#NAME?</v>
      </c>
      <c r="I1712" t="e">
        <f ca="1">BDP("88285AHG Muni","FINANCING_TYPE")</f>
        <v>#NAME?</v>
      </c>
      <c r="J1712" t="e">
        <f ca="1">BDP("88285AHG Muni","BICS_LEVEL_2_INDUSTRY_GROUP_NAME")</f>
        <v>#NAME?</v>
      </c>
      <c r="K1712" t="e">
        <f ca="1">BDP("88285AHG Muni","SELF_REPRTD_GREEN_INSTR_INDCTR")</f>
        <v>#NAME?</v>
      </c>
      <c r="L1712" t="e">
        <f ca="1">BDP("88285AHG Muni","GB_MANAGEMENT_PROCEEDS")</f>
        <v>#NAME?</v>
      </c>
      <c r="M1712" t="e">
        <f ca="1">BDP("88285AHG Muni","GB_REPORTING")</f>
        <v>#NAME?</v>
      </c>
      <c r="N1712" t="e">
        <f ca="1">BDP("88285AHG Muni","GB_ASSURANCE_PROVIDERS")</f>
        <v>#NAME?</v>
      </c>
      <c r="O1712" t="e">
        <f ca="1">BDP("88285AHG Muni","GB_PROJECT_SELECTION_PROCESS")</f>
        <v>#NAME?</v>
      </c>
      <c r="P1712" t="e">
        <f ca="1">BDP("88285AHG Muni","ESG_FRAMEWORK_INDICATOR")</f>
        <v>#NAME?</v>
      </c>
      <c r="Q1712" t="e">
        <f ca="1">BDP("88285AHG Muni","BLOOMBERG_SECTOR_CODE")</f>
        <v>#NAME?</v>
      </c>
      <c r="R1712" t="e">
        <f ca="1">BDP("88285AHG Muni","ISSUER_TYPE")</f>
        <v>#NAME?</v>
      </c>
      <c r="S1712" t="e">
        <f ca="1">BDS("88285AHG Muni","ESG_PROJECT_CATEGORY", "aggregate=y")</f>
        <v>#NAME?</v>
      </c>
      <c r="T1712" t="e">
        <f ca="1">BDS("88285AHG Muni","ESG_PROJECT_SUBCATEGORY", "aggregate=y")</f>
        <v>#NAME?</v>
      </c>
    </row>
    <row r="1713" spans="1:20" x14ac:dyDescent="0.25">
      <c r="A1713" t="e">
        <f ca="1">BDP("88035MD5 Muni","ID_CUSIP")</f>
        <v>#NAME?</v>
      </c>
      <c r="B1713" t="e">
        <f ca="1">BDP("88035MD5 Muni","STATE_CODE")</f>
        <v>#NAME?</v>
      </c>
      <c r="C1713" t="s">
        <v>25</v>
      </c>
      <c r="D1713" t="e">
        <f ca="1">BDP("88035MD5 Muni","YIELD_ON_ISSUE_DATE")</f>
        <v>#NAME?</v>
      </c>
      <c r="E1713">
        <v>14250000</v>
      </c>
      <c r="F1713" t="e">
        <f ca="1">BDP("88035MD5 Muni","ISSUE_DT")</f>
        <v>#NAME?</v>
      </c>
      <c r="G1713" t="e">
        <f ca="1">BDP("88035MD5 Muni","MATURITY")</f>
        <v>#NAME?</v>
      </c>
      <c r="H1713" t="e">
        <f ca="1">BDP("88035MD5 Muni","MUNI_TAX_PROV")</f>
        <v>#NAME?</v>
      </c>
      <c r="I1713" t="e">
        <f ca="1">BDP("88035MD5 Muni","FINANCING_TYPE")</f>
        <v>#NAME?</v>
      </c>
      <c r="J1713" t="e">
        <f ca="1">BDP("88035MD5 Muni","BICS_LEVEL_2_INDUSTRY_GROUP_NAME")</f>
        <v>#NAME?</v>
      </c>
      <c r="K1713" t="e">
        <f ca="1">BDP("88035MD5 Muni","SELF_REPRTD_GREEN_INSTR_INDCTR")</f>
        <v>#NAME?</v>
      </c>
      <c r="L1713" t="e">
        <f ca="1">BDP("88035MD5 Muni","GB_MANAGEMENT_PROCEEDS")</f>
        <v>#NAME?</v>
      </c>
      <c r="M1713" t="e">
        <f ca="1">BDP("88035MD5 Muni","GB_REPORTING")</f>
        <v>#NAME?</v>
      </c>
      <c r="N1713" t="e">
        <f ca="1">BDP("88035MD5 Muni","GB_ASSURANCE_PROVIDERS")</f>
        <v>#NAME?</v>
      </c>
      <c r="O1713" t="e">
        <f ca="1">BDP("88035MD5 Muni","GB_PROJECT_SELECTION_PROCESS")</f>
        <v>#NAME?</v>
      </c>
      <c r="P1713" t="e">
        <f ca="1">BDP("88035MD5 Muni","ESG_FRAMEWORK_INDICATOR")</f>
        <v>#NAME?</v>
      </c>
      <c r="Q1713" t="e">
        <f ca="1">BDP("88035MD5 Muni","BLOOMBERG_SECTOR_CODE")</f>
        <v>#NAME?</v>
      </c>
      <c r="R1713" t="e">
        <f ca="1">BDP("88035MD5 Muni","ISSUER_TYPE")</f>
        <v>#NAME?</v>
      </c>
      <c r="S1713" t="e">
        <f ca="1">BDS("88035MD5 Muni","ESG_PROJECT_CATEGORY", "aggregate=y")</f>
        <v>#NAME?</v>
      </c>
      <c r="T1713" t="e">
        <f ca="1">BDS("88035MD5 Muni","ESG_PROJECT_SUBCATEGORY", "aggregate=y")</f>
        <v>#NAME?</v>
      </c>
    </row>
    <row r="1714" spans="1:20" x14ac:dyDescent="0.25">
      <c r="A1714" t="e">
        <f ca="1">BDP("88285AHN Muni","ID_CUSIP")</f>
        <v>#NAME?</v>
      </c>
      <c r="B1714" t="e">
        <f ca="1">BDP("88285AHN Muni","STATE_CODE")</f>
        <v>#NAME?</v>
      </c>
      <c r="C1714" t="s">
        <v>102</v>
      </c>
      <c r="D1714" t="e">
        <f ca="1">BDP("88285AHN Muni","YIELD_ON_ISSUE_DATE")</f>
        <v>#NAME?</v>
      </c>
      <c r="E1714">
        <v>11230000</v>
      </c>
      <c r="F1714" t="e">
        <f ca="1">BDP("88285AHN Muni","ISSUE_DT")</f>
        <v>#NAME?</v>
      </c>
      <c r="G1714" t="e">
        <f ca="1">BDP("88285AHN Muni","MATURITY")</f>
        <v>#NAME?</v>
      </c>
      <c r="H1714" t="e">
        <f ca="1">BDP("88285AHN Muni","MUNI_TAX_PROV")</f>
        <v>#NAME?</v>
      </c>
      <c r="I1714" t="e">
        <f ca="1">BDP("88285AHN Muni","FINANCING_TYPE")</f>
        <v>#NAME?</v>
      </c>
      <c r="J1714" t="e">
        <f ca="1">BDP("88285AHN Muni","BICS_LEVEL_2_INDUSTRY_GROUP_NAME")</f>
        <v>#NAME?</v>
      </c>
      <c r="K1714" t="e">
        <f ca="1">BDP("88285AHN Muni","SELF_REPRTD_GREEN_INSTR_INDCTR")</f>
        <v>#NAME?</v>
      </c>
      <c r="L1714" t="e">
        <f ca="1">BDP("88285AHN Muni","GB_MANAGEMENT_PROCEEDS")</f>
        <v>#NAME?</v>
      </c>
      <c r="M1714" t="e">
        <f ca="1">BDP("88285AHN Muni","GB_REPORTING")</f>
        <v>#NAME?</v>
      </c>
      <c r="N1714" t="e">
        <f ca="1">BDP("88285AHN Muni","GB_ASSURANCE_PROVIDERS")</f>
        <v>#NAME?</v>
      </c>
      <c r="O1714" t="e">
        <f ca="1">BDP("88285AHN Muni","GB_PROJECT_SELECTION_PROCESS")</f>
        <v>#NAME?</v>
      </c>
      <c r="P1714" t="e">
        <f ca="1">BDP("88285AHN Muni","ESG_FRAMEWORK_INDICATOR")</f>
        <v>#NAME?</v>
      </c>
      <c r="Q1714" t="e">
        <f ca="1">BDP("88285AHN Muni","BLOOMBERG_SECTOR_CODE")</f>
        <v>#NAME?</v>
      </c>
      <c r="R1714" t="e">
        <f ca="1">BDP("88285AHN Muni","ISSUER_TYPE")</f>
        <v>#NAME?</v>
      </c>
      <c r="S1714" t="e">
        <f ca="1">BDS("88285AHN Muni","ESG_PROJECT_CATEGORY", "aggregate=y")</f>
        <v>#NAME?</v>
      </c>
      <c r="T1714" t="e">
        <f ca="1">BDS("88285AHN Muni","ESG_PROJECT_SUBCATEGORY", "aggregate=y")</f>
        <v>#NAME?</v>
      </c>
    </row>
    <row r="1715" spans="1:20" x14ac:dyDescent="0.25">
      <c r="A1715" t="e">
        <f ca="1">BDP("88285AHR Muni","ID_CUSIP")</f>
        <v>#NAME?</v>
      </c>
      <c r="B1715" t="e">
        <f ca="1">BDP("88285AHR Muni","STATE_CODE")</f>
        <v>#NAME?</v>
      </c>
      <c r="C1715" t="s">
        <v>102</v>
      </c>
      <c r="D1715" t="e">
        <f ca="1">BDP("88285AHR Muni","YIELD_ON_ISSUE_DATE")</f>
        <v>#NAME?</v>
      </c>
      <c r="E1715">
        <v>13005000</v>
      </c>
      <c r="F1715" t="e">
        <f ca="1">BDP("88285AHR Muni","ISSUE_DT")</f>
        <v>#NAME?</v>
      </c>
      <c r="G1715" t="e">
        <f ca="1">BDP("88285AHR Muni","MATURITY")</f>
        <v>#NAME?</v>
      </c>
      <c r="H1715" t="e">
        <f ca="1">BDP("88285AHR Muni","MUNI_TAX_PROV")</f>
        <v>#NAME?</v>
      </c>
      <c r="I1715" t="e">
        <f ca="1">BDP("88285AHR Muni","FINANCING_TYPE")</f>
        <v>#NAME?</v>
      </c>
      <c r="J1715" t="e">
        <f ca="1">BDP("88285AHR Muni","BICS_LEVEL_2_INDUSTRY_GROUP_NAME")</f>
        <v>#NAME?</v>
      </c>
      <c r="K1715" t="e">
        <f ca="1">BDP("88285AHR Muni","SELF_REPRTD_GREEN_INSTR_INDCTR")</f>
        <v>#NAME?</v>
      </c>
      <c r="L1715" t="e">
        <f ca="1">BDP("88285AHR Muni","GB_MANAGEMENT_PROCEEDS")</f>
        <v>#NAME?</v>
      </c>
      <c r="M1715" t="e">
        <f ca="1">BDP("88285AHR Muni","GB_REPORTING")</f>
        <v>#NAME?</v>
      </c>
      <c r="N1715" t="e">
        <f ca="1">BDP("88285AHR Muni","GB_ASSURANCE_PROVIDERS")</f>
        <v>#NAME?</v>
      </c>
      <c r="O1715" t="e">
        <f ca="1">BDP("88285AHR Muni","GB_PROJECT_SELECTION_PROCESS")</f>
        <v>#NAME?</v>
      </c>
      <c r="P1715" t="e">
        <f ca="1">BDP("88285AHR Muni","ESG_FRAMEWORK_INDICATOR")</f>
        <v>#NAME?</v>
      </c>
      <c r="Q1715" t="e">
        <f ca="1">BDP("88285AHR Muni","BLOOMBERG_SECTOR_CODE")</f>
        <v>#NAME?</v>
      </c>
      <c r="R1715" t="e">
        <f ca="1">BDP("88285AHR Muni","ISSUER_TYPE")</f>
        <v>#NAME?</v>
      </c>
      <c r="S1715" t="e">
        <f ca="1">BDS("88285AHR Muni","ESG_PROJECT_CATEGORY", "aggregate=y")</f>
        <v>#NAME?</v>
      </c>
      <c r="T1715" t="e">
        <f ca="1">BDS("88285AHR Muni","ESG_PROJECT_SUBCATEGORY", "aggregate=y")</f>
        <v>#NAME?</v>
      </c>
    </row>
    <row r="1716" spans="1:20" x14ac:dyDescent="0.25">
      <c r="A1716" t="e">
        <f ca="1">BDP("88285AHF Muni","ID_CUSIP")</f>
        <v>#NAME?</v>
      </c>
      <c r="B1716" t="e">
        <f ca="1">BDP("88285AHF Muni","STATE_CODE")</f>
        <v>#NAME?</v>
      </c>
      <c r="C1716" t="s">
        <v>102</v>
      </c>
      <c r="D1716" t="e">
        <f ca="1">BDP("88285AHF Muni","YIELD_ON_ISSUE_DATE")</f>
        <v>#NAME?</v>
      </c>
      <c r="E1716">
        <v>7985000</v>
      </c>
      <c r="F1716" t="e">
        <f ca="1">BDP("88285AHF Muni","ISSUE_DT")</f>
        <v>#NAME?</v>
      </c>
      <c r="G1716" t="e">
        <f ca="1">BDP("88285AHF Muni","MATURITY")</f>
        <v>#NAME?</v>
      </c>
      <c r="H1716" t="e">
        <f ca="1">BDP("88285AHF Muni","MUNI_TAX_PROV")</f>
        <v>#NAME?</v>
      </c>
      <c r="I1716" t="e">
        <f ca="1">BDP("88285AHF Muni","FINANCING_TYPE")</f>
        <v>#NAME?</v>
      </c>
      <c r="J1716" t="e">
        <f ca="1">BDP("88285AHF Muni","BICS_LEVEL_2_INDUSTRY_GROUP_NAME")</f>
        <v>#NAME?</v>
      </c>
      <c r="K1716" t="e">
        <f ca="1">BDP("88285AHF Muni","SELF_REPRTD_GREEN_INSTR_INDCTR")</f>
        <v>#NAME?</v>
      </c>
      <c r="L1716" t="e">
        <f ca="1">BDP("88285AHF Muni","GB_MANAGEMENT_PROCEEDS")</f>
        <v>#NAME?</v>
      </c>
      <c r="M1716" t="e">
        <f ca="1">BDP("88285AHF Muni","GB_REPORTING")</f>
        <v>#NAME?</v>
      </c>
      <c r="N1716" t="e">
        <f ca="1">BDP("88285AHF Muni","GB_ASSURANCE_PROVIDERS")</f>
        <v>#NAME?</v>
      </c>
      <c r="O1716" t="e">
        <f ca="1">BDP("88285AHF Muni","GB_PROJECT_SELECTION_PROCESS")</f>
        <v>#NAME?</v>
      </c>
      <c r="P1716" t="e">
        <f ca="1">BDP("88285AHF Muni","ESG_FRAMEWORK_INDICATOR")</f>
        <v>#NAME?</v>
      </c>
      <c r="Q1716" t="e">
        <f ca="1">BDP("88285AHF Muni","BLOOMBERG_SECTOR_CODE")</f>
        <v>#NAME?</v>
      </c>
      <c r="R1716" t="e">
        <f ca="1">BDP("88285AHF Muni","ISSUER_TYPE")</f>
        <v>#NAME?</v>
      </c>
      <c r="S1716" t="e">
        <f ca="1">BDS("88285AHF Muni","ESG_PROJECT_CATEGORY", "aggregate=y")</f>
        <v>#NAME?</v>
      </c>
      <c r="T1716" t="e">
        <f ca="1">BDS("88285AHF Muni","ESG_PROJECT_SUBCATEGORY", "aggregate=y")</f>
        <v>#NAME?</v>
      </c>
    </row>
    <row r="1717" spans="1:20" x14ac:dyDescent="0.25">
      <c r="A1717" t="e">
        <f ca="1">BDP("88285AHK Muni","ID_CUSIP")</f>
        <v>#NAME?</v>
      </c>
      <c r="B1717" t="e">
        <f ca="1">BDP("88285AHK Muni","STATE_CODE")</f>
        <v>#NAME?</v>
      </c>
      <c r="C1717" t="s">
        <v>102</v>
      </c>
      <c r="D1717" t="e">
        <f ca="1">BDP("88285AHK Muni","YIELD_ON_ISSUE_DATE")</f>
        <v>#NAME?</v>
      </c>
      <c r="E1717">
        <v>9705000</v>
      </c>
      <c r="F1717" t="e">
        <f ca="1">BDP("88285AHK Muni","ISSUE_DT")</f>
        <v>#NAME?</v>
      </c>
      <c r="G1717" t="e">
        <f ca="1">BDP("88285AHK Muni","MATURITY")</f>
        <v>#NAME?</v>
      </c>
      <c r="H1717" t="e">
        <f ca="1">BDP("88285AHK Muni","MUNI_TAX_PROV")</f>
        <v>#NAME?</v>
      </c>
      <c r="I1717" t="e">
        <f ca="1">BDP("88285AHK Muni","FINANCING_TYPE")</f>
        <v>#NAME?</v>
      </c>
      <c r="J1717" t="e">
        <f ca="1">BDP("88285AHK Muni","BICS_LEVEL_2_INDUSTRY_GROUP_NAME")</f>
        <v>#NAME?</v>
      </c>
      <c r="K1717" t="e">
        <f ca="1">BDP("88285AHK Muni","SELF_REPRTD_GREEN_INSTR_INDCTR")</f>
        <v>#NAME?</v>
      </c>
      <c r="L1717" t="e">
        <f ca="1">BDP("88285AHK Muni","GB_MANAGEMENT_PROCEEDS")</f>
        <v>#NAME?</v>
      </c>
      <c r="M1717" t="e">
        <f ca="1">BDP("88285AHK Muni","GB_REPORTING")</f>
        <v>#NAME?</v>
      </c>
      <c r="N1717" t="e">
        <f ca="1">BDP("88285AHK Muni","GB_ASSURANCE_PROVIDERS")</f>
        <v>#NAME?</v>
      </c>
      <c r="O1717" t="e">
        <f ca="1">BDP("88285AHK Muni","GB_PROJECT_SELECTION_PROCESS")</f>
        <v>#NAME?</v>
      </c>
      <c r="P1717" t="e">
        <f ca="1">BDP("88285AHK Muni","ESG_FRAMEWORK_INDICATOR")</f>
        <v>#NAME?</v>
      </c>
      <c r="Q1717" t="e">
        <f ca="1">BDP("88285AHK Muni","BLOOMBERG_SECTOR_CODE")</f>
        <v>#NAME?</v>
      </c>
      <c r="R1717" t="e">
        <f ca="1">BDP("88285AHK Muni","ISSUER_TYPE")</f>
        <v>#NAME?</v>
      </c>
      <c r="S1717" t="e">
        <f ca="1">BDS("88285AHK Muni","ESG_PROJECT_CATEGORY", "aggregate=y")</f>
        <v>#NAME?</v>
      </c>
      <c r="T1717" t="e">
        <f ca="1">BDS("88285AHK Muni","ESG_PROJECT_SUBCATEGORY", "aggregate=y")</f>
        <v>#NAME?</v>
      </c>
    </row>
    <row r="1718" spans="1:20" x14ac:dyDescent="0.25">
      <c r="A1718" t="e">
        <f ca="1">BDP("88035R8W Muni","ID_CUSIP")</f>
        <v>#NAME?</v>
      </c>
      <c r="B1718" t="e">
        <f ca="1">BDP("88035R8W Muni","STATE_CODE")</f>
        <v>#NAME?</v>
      </c>
      <c r="C1718" t="s">
        <v>25</v>
      </c>
      <c r="D1718" t="e">
        <f ca="1">BDP("88035R8W Muni","YIELD_ON_ISSUE_DATE")</f>
        <v>#NAME?</v>
      </c>
      <c r="E1718">
        <v>16000000</v>
      </c>
      <c r="F1718" t="e">
        <f ca="1">BDP("88035R8W Muni","ISSUE_DT")</f>
        <v>#NAME?</v>
      </c>
      <c r="G1718" t="e">
        <f ca="1">BDP("88035R8W Muni","MATURITY")</f>
        <v>#NAME?</v>
      </c>
      <c r="H1718" t="e">
        <f ca="1">BDP("88035R8W Muni","MUNI_TAX_PROV")</f>
        <v>#NAME?</v>
      </c>
      <c r="I1718" t="e">
        <f ca="1">BDP("88035R8W Muni","FINANCING_TYPE")</f>
        <v>#NAME?</v>
      </c>
      <c r="J1718" t="e">
        <f ca="1">BDP("88035R8W Muni","BICS_LEVEL_2_INDUSTRY_GROUP_NAME")</f>
        <v>#NAME?</v>
      </c>
      <c r="K1718" t="e">
        <f ca="1">BDP("88035R8W Muni","SELF_REPRTD_GREEN_INSTR_INDCTR")</f>
        <v>#NAME?</v>
      </c>
      <c r="L1718" t="e">
        <f ca="1">BDP("88035R8W Muni","GB_MANAGEMENT_PROCEEDS")</f>
        <v>#NAME?</v>
      </c>
      <c r="M1718" t="e">
        <f ca="1">BDP("88035R8W Muni","GB_REPORTING")</f>
        <v>#NAME?</v>
      </c>
      <c r="N1718" t="e">
        <f ca="1">BDP("88035R8W Muni","GB_ASSURANCE_PROVIDERS")</f>
        <v>#NAME?</v>
      </c>
      <c r="O1718" t="e">
        <f ca="1">BDP("88035R8W Muni","GB_PROJECT_SELECTION_PROCESS")</f>
        <v>#NAME?</v>
      </c>
      <c r="P1718" t="e">
        <f ca="1">BDP("88035R8W Muni","ESG_FRAMEWORK_INDICATOR")</f>
        <v>#NAME?</v>
      </c>
      <c r="Q1718" t="e">
        <f ca="1">BDP("88035R8W Muni","BLOOMBERG_SECTOR_CODE")</f>
        <v>#NAME?</v>
      </c>
      <c r="R1718" t="e">
        <f ca="1">BDP("88035R8W Muni","ISSUER_TYPE")</f>
        <v>#NAME?</v>
      </c>
      <c r="S1718" t="e">
        <f ca="1">BDS("88035R8W Muni","ESG_PROJECT_CATEGORY", "aggregate=y")</f>
        <v>#NAME?</v>
      </c>
      <c r="T1718" t="e">
        <f ca="1">BDS("88035R8W Muni","ESG_PROJECT_SUBCATEGORY", "aggregate=y")</f>
        <v>#NAME?</v>
      </c>
    </row>
    <row r="1719" spans="1:20" x14ac:dyDescent="0.25">
      <c r="A1719" t="e">
        <f ca="1">BDP("88285AHA Muni","ID_CUSIP")</f>
        <v>#NAME?</v>
      </c>
      <c r="B1719" t="e">
        <f ca="1">BDP("88285AHA Muni","STATE_CODE")</f>
        <v>#NAME?</v>
      </c>
      <c r="C1719" t="s">
        <v>102</v>
      </c>
      <c r="D1719" t="e">
        <f ca="1">BDP("88285AHA Muni","YIELD_ON_ISSUE_DATE")</f>
        <v>#NAME?</v>
      </c>
      <c r="E1719">
        <v>6255000</v>
      </c>
      <c r="F1719" t="e">
        <f ca="1">BDP("88285AHA Muni","ISSUE_DT")</f>
        <v>#NAME?</v>
      </c>
      <c r="G1719" t="e">
        <f ca="1">BDP("88285AHA Muni","MATURITY")</f>
        <v>#NAME?</v>
      </c>
      <c r="H1719" t="e">
        <f ca="1">BDP("88285AHA Muni","MUNI_TAX_PROV")</f>
        <v>#NAME?</v>
      </c>
      <c r="I1719" t="e">
        <f ca="1">BDP("88285AHA Muni","FINANCING_TYPE")</f>
        <v>#NAME?</v>
      </c>
      <c r="J1719" t="e">
        <f ca="1">BDP("88285AHA Muni","BICS_LEVEL_2_INDUSTRY_GROUP_NAME")</f>
        <v>#NAME?</v>
      </c>
      <c r="K1719" t="e">
        <f ca="1">BDP("88285AHA Muni","SELF_REPRTD_GREEN_INSTR_INDCTR")</f>
        <v>#NAME?</v>
      </c>
      <c r="L1719" t="e">
        <f ca="1">BDP("88285AHA Muni","GB_MANAGEMENT_PROCEEDS")</f>
        <v>#NAME?</v>
      </c>
      <c r="M1719" t="e">
        <f ca="1">BDP("88285AHA Muni","GB_REPORTING")</f>
        <v>#NAME?</v>
      </c>
      <c r="N1719" t="e">
        <f ca="1">BDP("88285AHA Muni","GB_ASSURANCE_PROVIDERS")</f>
        <v>#NAME?</v>
      </c>
      <c r="O1719" t="e">
        <f ca="1">BDP("88285AHA Muni","GB_PROJECT_SELECTION_PROCESS")</f>
        <v>#NAME?</v>
      </c>
      <c r="P1719" t="e">
        <f ca="1">BDP("88285AHA Muni","ESG_FRAMEWORK_INDICATOR")</f>
        <v>#NAME?</v>
      </c>
      <c r="Q1719" t="e">
        <f ca="1">BDP("88285AHA Muni","BLOOMBERG_SECTOR_CODE")</f>
        <v>#NAME?</v>
      </c>
      <c r="R1719" t="e">
        <f ca="1">BDP("88285AHA Muni","ISSUER_TYPE")</f>
        <v>#NAME?</v>
      </c>
      <c r="S1719" t="e">
        <f ca="1">BDS("88285AHA Muni","ESG_PROJECT_CATEGORY", "aggregate=y")</f>
        <v>#NAME?</v>
      </c>
      <c r="T1719" t="e">
        <f ca="1">BDS("88285AHA Muni","ESG_PROJECT_SUBCATEGORY", "aggregate=y")</f>
        <v>#NAME?</v>
      </c>
    </row>
    <row r="1720" spans="1:20" x14ac:dyDescent="0.25">
      <c r="A1720" t="e">
        <f ca="1">BDP("88285AHB Muni","ID_CUSIP")</f>
        <v>#NAME?</v>
      </c>
      <c r="B1720" t="e">
        <f ca="1">BDP("88285AHB Muni","STATE_CODE")</f>
        <v>#NAME?</v>
      </c>
      <c r="C1720" t="s">
        <v>102</v>
      </c>
      <c r="D1720" t="e">
        <f ca="1">BDP("88285AHB Muni","YIELD_ON_ISSUE_DATE")</f>
        <v>#NAME?</v>
      </c>
      <c r="E1720">
        <v>6565000</v>
      </c>
      <c r="F1720" t="e">
        <f ca="1">BDP("88285AHB Muni","ISSUE_DT")</f>
        <v>#NAME?</v>
      </c>
      <c r="G1720" t="e">
        <f ca="1">BDP("88285AHB Muni","MATURITY")</f>
        <v>#NAME?</v>
      </c>
      <c r="H1720" t="e">
        <f ca="1">BDP("88285AHB Muni","MUNI_TAX_PROV")</f>
        <v>#NAME?</v>
      </c>
      <c r="I1720" t="e">
        <f ca="1">BDP("88285AHB Muni","FINANCING_TYPE")</f>
        <v>#NAME?</v>
      </c>
      <c r="J1720" t="e">
        <f ca="1">BDP("88285AHB Muni","BICS_LEVEL_2_INDUSTRY_GROUP_NAME")</f>
        <v>#NAME?</v>
      </c>
      <c r="K1720" t="e">
        <f ca="1">BDP("88285AHB Muni","SELF_REPRTD_GREEN_INSTR_INDCTR")</f>
        <v>#NAME?</v>
      </c>
      <c r="L1720" t="e">
        <f ca="1">BDP("88285AHB Muni","GB_MANAGEMENT_PROCEEDS")</f>
        <v>#NAME?</v>
      </c>
      <c r="M1720" t="e">
        <f ca="1">BDP("88285AHB Muni","GB_REPORTING")</f>
        <v>#NAME?</v>
      </c>
      <c r="N1720" t="e">
        <f ca="1">BDP("88285AHB Muni","GB_ASSURANCE_PROVIDERS")</f>
        <v>#NAME?</v>
      </c>
      <c r="O1720" t="e">
        <f ca="1">BDP("88285AHB Muni","GB_PROJECT_SELECTION_PROCESS")</f>
        <v>#NAME?</v>
      </c>
      <c r="P1720" t="e">
        <f ca="1">BDP("88285AHB Muni","ESG_FRAMEWORK_INDICATOR")</f>
        <v>#NAME?</v>
      </c>
      <c r="Q1720" t="e">
        <f ca="1">BDP("88285AHB Muni","BLOOMBERG_SECTOR_CODE")</f>
        <v>#NAME?</v>
      </c>
      <c r="R1720" t="e">
        <f ca="1">BDP("88285AHB Muni","ISSUER_TYPE")</f>
        <v>#NAME?</v>
      </c>
      <c r="S1720" t="e">
        <f ca="1">BDS("88285AHB Muni","ESG_PROJECT_CATEGORY", "aggregate=y")</f>
        <v>#NAME?</v>
      </c>
      <c r="T1720" t="e">
        <f ca="1">BDS("88285AHB Muni","ESG_PROJECT_SUBCATEGORY", "aggregate=y")</f>
        <v>#NAME?</v>
      </c>
    </row>
    <row r="1721" spans="1:20" x14ac:dyDescent="0.25">
      <c r="A1721" t="e">
        <f ca="1">BDP("88285AHH Muni","ID_CUSIP")</f>
        <v>#NAME?</v>
      </c>
      <c r="B1721" t="e">
        <f ca="1">BDP("88285AHH Muni","STATE_CODE")</f>
        <v>#NAME?</v>
      </c>
      <c r="C1721" t="s">
        <v>102</v>
      </c>
      <c r="D1721" t="e">
        <f ca="1">BDP("88285AHH Muni","YIELD_ON_ISSUE_DATE")</f>
        <v>#NAME?</v>
      </c>
      <c r="E1721">
        <v>8800000</v>
      </c>
      <c r="F1721" t="e">
        <f ca="1">BDP("88285AHH Muni","ISSUE_DT")</f>
        <v>#NAME?</v>
      </c>
      <c r="G1721" t="e">
        <f ca="1">BDP("88285AHH Muni","MATURITY")</f>
        <v>#NAME?</v>
      </c>
      <c r="H1721" t="e">
        <f ca="1">BDP("88285AHH Muni","MUNI_TAX_PROV")</f>
        <v>#NAME?</v>
      </c>
      <c r="I1721" t="e">
        <f ca="1">BDP("88285AHH Muni","FINANCING_TYPE")</f>
        <v>#NAME?</v>
      </c>
      <c r="J1721" t="e">
        <f ca="1">BDP("88285AHH Muni","BICS_LEVEL_2_INDUSTRY_GROUP_NAME")</f>
        <v>#NAME?</v>
      </c>
      <c r="K1721" t="e">
        <f ca="1">BDP("88285AHH Muni","SELF_REPRTD_GREEN_INSTR_INDCTR")</f>
        <v>#NAME?</v>
      </c>
      <c r="L1721" t="e">
        <f ca="1">BDP("88285AHH Muni","GB_MANAGEMENT_PROCEEDS")</f>
        <v>#NAME?</v>
      </c>
      <c r="M1721" t="e">
        <f ca="1">BDP("88285AHH Muni","GB_REPORTING")</f>
        <v>#NAME?</v>
      </c>
      <c r="N1721" t="e">
        <f ca="1">BDP("88285AHH Muni","GB_ASSURANCE_PROVIDERS")</f>
        <v>#NAME?</v>
      </c>
      <c r="O1721" t="e">
        <f ca="1">BDP("88285AHH Muni","GB_PROJECT_SELECTION_PROCESS")</f>
        <v>#NAME?</v>
      </c>
      <c r="P1721" t="e">
        <f ca="1">BDP("88285AHH Muni","ESG_FRAMEWORK_INDICATOR")</f>
        <v>#NAME?</v>
      </c>
      <c r="Q1721" t="e">
        <f ca="1">BDP("88285AHH Muni","BLOOMBERG_SECTOR_CODE")</f>
        <v>#NAME?</v>
      </c>
      <c r="R1721" t="e">
        <f ca="1">BDP("88285AHH Muni","ISSUER_TYPE")</f>
        <v>#NAME?</v>
      </c>
      <c r="S1721" t="e">
        <f ca="1">BDS("88285AHH Muni","ESG_PROJECT_CATEGORY", "aggregate=y")</f>
        <v>#NAME?</v>
      </c>
      <c r="T1721" t="e">
        <f ca="1">BDS("88285AHH Muni","ESG_PROJECT_SUBCATEGORY", "aggregate=y")</f>
        <v>#NAME?</v>
      </c>
    </row>
    <row r="1722" spans="1:20" x14ac:dyDescent="0.25">
      <c r="A1722" t="e">
        <f ca="1">BDP("88285AHQ Muni","ID_CUSIP")</f>
        <v>#NAME?</v>
      </c>
      <c r="B1722" t="e">
        <f ca="1">BDP("88285AHQ Muni","STATE_CODE")</f>
        <v>#NAME?</v>
      </c>
      <c r="C1722" t="s">
        <v>102</v>
      </c>
      <c r="D1722" t="e">
        <f ca="1">BDP("88285AHQ Muni","YIELD_ON_ISSUE_DATE")</f>
        <v>#NAME?</v>
      </c>
      <c r="E1722">
        <v>12385000</v>
      </c>
      <c r="F1722" t="e">
        <f ca="1">BDP("88285AHQ Muni","ISSUE_DT")</f>
        <v>#NAME?</v>
      </c>
      <c r="G1722" t="e">
        <f ca="1">BDP("88285AHQ Muni","MATURITY")</f>
        <v>#NAME?</v>
      </c>
      <c r="H1722" t="e">
        <f ca="1">BDP("88285AHQ Muni","MUNI_TAX_PROV")</f>
        <v>#NAME?</v>
      </c>
      <c r="I1722" t="e">
        <f ca="1">BDP("88285AHQ Muni","FINANCING_TYPE")</f>
        <v>#NAME?</v>
      </c>
      <c r="J1722" t="e">
        <f ca="1">BDP("88285AHQ Muni","BICS_LEVEL_2_INDUSTRY_GROUP_NAME")</f>
        <v>#NAME?</v>
      </c>
      <c r="K1722" t="e">
        <f ca="1">BDP("88285AHQ Muni","SELF_REPRTD_GREEN_INSTR_INDCTR")</f>
        <v>#NAME?</v>
      </c>
      <c r="L1722" t="e">
        <f ca="1">BDP("88285AHQ Muni","GB_MANAGEMENT_PROCEEDS")</f>
        <v>#NAME?</v>
      </c>
      <c r="M1722" t="e">
        <f ca="1">BDP("88285AHQ Muni","GB_REPORTING")</f>
        <v>#NAME?</v>
      </c>
      <c r="N1722" t="e">
        <f ca="1">BDP("88285AHQ Muni","GB_ASSURANCE_PROVIDERS")</f>
        <v>#NAME?</v>
      </c>
      <c r="O1722" t="e">
        <f ca="1">BDP("88285AHQ Muni","GB_PROJECT_SELECTION_PROCESS")</f>
        <v>#NAME?</v>
      </c>
      <c r="P1722" t="e">
        <f ca="1">BDP("88285AHQ Muni","ESG_FRAMEWORK_INDICATOR")</f>
        <v>#NAME?</v>
      </c>
      <c r="Q1722" t="e">
        <f ca="1">BDP("88285AHQ Muni","BLOOMBERG_SECTOR_CODE")</f>
        <v>#NAME?</v>
      </c>
      <c r="R1722" t="e">
        <f ca="1">BDP("88285AHQ Muni","ISSUER_TYPE")</f>
        <v>#NAME?</v>
      </c>
      <c r="S1722" t="e">
        <f ca="1">BDS("88285AHQ Muni","ESG_PROJECT_CATEGORY", "aggregate=y")</f>
        <v>#NAME?</v>
      </c>
      <c r="T1722" t="e">
        <f ca="1">BDS("88285AHQ Muni","ESG_PROJECT_SUBCATEGORY", "aggregate=y")</f>
        <v>#NAME?</v>
      </c>
    </row>
    <row r="1723" spans="1:20" x14ac:dyDescent="0.25">
      <c r="A1723" t="e">
        <f ca="1">BDP("88035REP Muni","ID_CUSIP")</f>
        <v>#NAME?</v>
      </c>
      <c r="B1723" t="e">
        <f ca="1">BDP("88035REP Muni","STATE_CODE")</f>
        <v>#NAME?</v>
      </c>
      <c r="C1723" t="s">
        <v>25</v>
      </c>
      <c r="D1723" t="e">
        <f ca="1">BDP("88035REP Muni","YIELD_ON_ISSUE_DATE")</f>
        <v>#NAME?</v>
      </c>
      <c r="E1723">
        <v>970000</v>
      </c>
      <c r="F1723" t="e">
        <f ca="1">BDP("88035REP Muni","ISSUE_DT")</f>
        <v>#NAME?</v>
      </c>
      <c r="G1723" t="e">
        <f ca="1">BDP("88035REP Muni","MATURITY")</f>
        <v>#NAME?</v>
      </c>
      <c r="H1723" t="e">
        <f ca="1">BDP("88035REP Muni","MUNI_TAX_PROV")</f>
        <v>#NAME?</v>
      </c>
      <c r="I1723" t="e">
        <f ca="1">BDP("88035REP Muni","FINANCING_TYPE")</f>
        <v>#NAME?</v>
      </c>
      <c r="J1723" t="e">
        <f ca="1">BDP("88035REP Muni","BICS_LEVEL_2_INDUSTRY_GROUP_NAME")</f>
        <v>#NAME?</v>
      </c>
      <c r="K1723" t="e">
        <f ca="1">BDP("88035REP Muni","SELF_REPRTD_GREEN_INSTR_INDCTR")</f>
        <v>#NAME?</v>
      </c>
      <c r="L1723" t="e">
        <f ca="1">BDP("88035REP Muni","GB_MANAGEMENT_PROCEEDS")</f>
        <v>#NAME?</v>
      </c>
      <c r="M1723" t="e">
        <f ca="1">BDP("88035REP Muni","GB_REPORTING")</f>
        <v>#NAME?</v>
      </c>
      <c r="N1723" t="e">
        <f ca="1">BDP("88035REP Muni","GB_ASSURANCE_PROVIDERS")</f>
        <v>#NAME?</v>
      </c>
      <c r="O1723" t="e">
        <f ca="1">BDP("88035REP Muni","GB_PROJECT_SELECTION_PROCESS")</f>
        <v>#NAME?</v>
      </c>
      <c r="P1723" t="e">
        <f ca="1">BDP("88035REP Muni","ESG_FRAMEWORK_INDICATOR")</f>
        <v>#NAME?</v>
      </c>
      <c r="Q1723" t="e">
        <f ca="1">BDP("88035REP Muni","BLOOMBERG_SECTOR_CODE")</f>
        <v>#NAME?</v>
      </c>
      <c r="R1723" t="e">
        <f ca="1">BDP("88035REP Muni","ISSUER_TYPE")</f>
        <v>#NAME?</v>
      </c>
      <c r="S1723" t="e">
        <f ca="1">BDS("88035REP Muni","ESG_PROJECT_CATEGORY", "aggregate=y")</f>
        <v>#NAME?</v>
      </c>
      <c r="T1723" t="e">
        <f ca="1">BDS("88035REP Muni","ESG_PROJECT_SUBCATEGORY", "aggregate=y")</f>
        <v>#NAME?</v>
      </c>
    </row>
    <row r="1724" spans="1:20" x14ac:dyDescent="0.25">
      <c r="A1724" t="e">
        <f ca="1">BDP("88035REN Muni","ID_CUSIP")</f>
        <v>#NAME?</v>
      </c>
      <c r="B1724" t="e">
        <f ca="1">BDP("88035REN Muni","STATE_CODE")</f>
        <v>#NAME?</v>
      </c>
      <c r="C1724" t="s">
        <v>25</v>
      </c>
      <c r="D1724" t="e">
        <f ca="1">BDP("88035REN Muni","YIELD_ON_ISSUE_DATE")</f>
        <v>#NAME?</v>
      </c>
      <c r="E1724">
        <v>3870000</v>
      </c>
      <c r="F1724" t="e">
        <f ca="1">BDP("88035REN Muni","ISSUE_DT")</f>
        <v>#NAME?</v>
      </c>
      <c r="G1724" t="e">
        <f ca="1">BDP("88035REN Muni","MATURITY")</f>
        <v>#NAME?</v>
      </c>
      <c r="H1724" t="e">
        <f ca="1">BDP("88035REN Muni","MUNI_TAX_PROV")</f>
        <v>#NAME?</v>
      </c>
      <c r="I1724" t="e">
        <f ca="1">BDP("88035REN Muni","FINANCING_TYPE")</f>
        <v>#NAME?</v>
      </c>
      <c r="J1724" t="e">
        <f ca="1">BDP("88035REN Muni","BICS_LEVEL_2_INDUSTRY_GROUP_NAME")</f>
        <v>#NAME?</v>
      </c>
      <c r="K1724" t="e">
        <f ca="1">BDP("88035REN Muni","SELF_REPRTD_GREEN_INSTR_INDCTR")</f>
        <v>#NAME?</v>
      </c>
      <c r="L1724" t="e">
        <f ca="1">BDP("88035REN Muni","GB_MANAGEMENT_PROCEEDS")</f>
        <v>#NAME?</v>
      </c>
      <c r="M1724" t="e">
        <f ca="1">BDP("88035REN Muni","GB_REPORTING")</f>
        <v>#NAME?</v>
      </c>
      <c r="N1724" t="e">
        <f ca="1">BDP("88035REN Muni","GB_ASSURANCE_PROVIDERS")</f>
        <v>#NAME?</v>
      </c>
      <c r="O1724" t="e">
        <f ca="1">BDP("88035REN Muni","GB_PROJECT_SELECTION_PROCESS")</f>
        <v>#NAME?</v>
      </c>
      <c r="P1724" t="e">
        <f ca="1">BDP("88035REN Muni","ESG_FRAMEWORK_INDICATOR")</f>
        <v>#NAME?</v>
      </c>
      <c r="Q1724" t="e">
        <f ca="1">BDP("88035REN Muni","BLOOMBERG_SECTOR_CODE")</f>
        <v>#NAME?</v>
      </c>
      <c r="R1724" t="e">
        <f ca="1">BDP("88035REN Muni","ISSUER_TYPE")</f>
        <v>#NAME?</v>
      </c>
      <c r="S1724" t="e">
        <f ca="1">BDS("88035REN Muni","ESG_PROJECT_CATEGORY", "aggregate=y")</f>
        <v>#NAME?</v>
      </c>
      <c r="T1724" t="e">
        <f ca="1">BDS("88035REN Muni","ESG_PROJECT_SUBCATEGORY", "aggregate=y")</f>
        <v>#NAME?</v>
      </c>
    </row>
    <row r="1725" spans="1:20" x14ac:dyDescent="0.25">
      <c r="A1725" t="e">
        <f ca="1">BDP("873519QX Muni","ID_CUSIP")</f>
        <v>#NAME?</v>
      </c>
      <c r="B1725" t="e">
        <f ca="1">BDP("873519QX Muni","STATE_CODE")</f>
        <v>#NAME?</v>
      </c>
      <c r="C1725" t="s">
        <v>104</v>
      </c>
      <c r="D1725" t="e">
        <f ca="1">BDP("873519QX Muni","YIELD_ON_ISSUE_DATE")</f>
        <v>#NAME?</v>
      </c>
      <c r="E1725">
        <v>7345000</v>
      </c>
      <c r="F1725" t="e">
        <f ca="1">BDP("873519QX Muni","ISSUE_DT")</f>
        <v>#NAME?</v>
      </c>
      <c r="G1725" t="e">
        <f ca="1">BDP("873519QX Muni","MATURITY")</f>
        <v>#NAME?</v>
      </c>
      <c r="H1725" t="e">
        <f ca="1">BDP("873519QX Muni","MUNI_TAX_PROV")</f>
        <v>#NAME?</v>
      </c>
      <c r="I1725" t="e">
        <f ca="1">BDP("873519QX Muni","FINANCING_TYPE")</f>
        <v>#NAME?</v>
      </c>
      <c r="J1725" t="e">
        <f ca="1">BDP("873519QX Muni","BICS_LEVEL_2_INDUSTRY_GROUP_NAME")</f>
        <v>#NAME?</v>
      </c>
      <c r="K1725" t="e">
        <f ca="1">BDP("873519QX Muni","SELF_REPRTD_GREEN_INSTR_INDCTR")</f>
        <v>#NAME?</v>
      </c>
      <c r="L1725" t="e">
        <f ca="1">BDP("873519QX Muni","GB_MANAGEMENT_PROCEEDS")</f>
        <v>#NAME?</v>
      </c>
      <c r="M1725" t="e">
        <f ca="1">BDP("873519QX Muni","GB_REPORTING")</f>
        <v>#NAME?</v>
      </c>
      <c r="N1725" t="e">
        <f ca="1">BDP("873519QX Muni","GB_ASSURANCE_PROVIDERS")</f>
        <v>#NAME?</v>
      </c>
      <c r="O1725" t="e">
        <f ca="1">BDP("873519QX Muni","GB_PROJECT_SELECTION_PROCESS")</f>
        <v>#NAME?</v>
      </c>
      <c r="P1725" t="e">
        <f ca="1">BDP("873519QX Muni","ESG_FRAMEWORK_INDICATOR")</f>
        <v>#NAME?</v>
      </c>
      <c r="Q1725" t="e">
        <f ca="1">BDP("873519QX Muni","BLOOMBERG_SECTOR_CODE")</f>
        <v>#NAME?</v>
      </c>
      <c r="R1725" t="e">
        <f ca="1">BDP("873519QX Muni","ISSUER_TYPE")</f>
        <v>#NAME?</v>
      </c>
      <c r="S1725" t="e">
        <f ca="1">BDS("873519QX Muni","ESG_PROJECT_CATEGORY", "aggregate=y")</f>
        <v>#NAME?</v>
      </c>
      <c r="T1725" t="e">
        <f ca="1">BDS("873519QX Muni","ESG_PROJECT_SUBCATEGORY", "aggregate=y")</f>
        <v>#NAME?</v>
      </c>
    </row>
    <row r="1726" spans="1:20" x14ac:dyDescent="0.25">
      <c r="A1726" t="e">
        <f ca="1">BDP("873519QY Muni","ID_CUSIP")</f>
        <v>#NAME?</v>
      </c>
      <c r="B1726" t="e">
        <f ca="1">BDP("873519QY Muni","STATE_CODE")</f>
        <v>#NAME?</v>
      </c>
      <c r="C1726" t="s">
        <v>104</v>
      </c>
      <c r="D1726" t="e">
        <f ca="1">BDP("873519QY Muni","YIELD_ON_ISSUE_DATE")</f>
        <v>#NAME?</v>
      </c>
      <c r="E1726">
        <v>7715000</v>
      </c>
      <c r="F1726" t="e">
        <f ca="1">BDP("873519QY Muni","ISSUE_DT")</f>
        <v>#NAME?</v>
      </c>
      <c r="G1726" t="e">
        <f ca="1">BDP("873519QY Muni","MATURITY")</f>
        <v>#NAME?</v>
      </c>
      <c r="H1726" t="e">
        <f ca="1">BDP("873519QY Muni","MUNI_TAX_PROV")</f>
        <v>#NAME?</v>
      </c>
      <c r="I1726" t="e">
        <f ca="1">BDP("873519QY Muni","FINANCING_TYPE")</f>
        <v>#NAME?</v>
      </c>
      <c r="J1726" t="e">
        <f ca="1">BDP("873519QY Muni","BICS_LEVEL_2_INDUSTRY_GROUP_NAME")</f>
        <v>#NAME?</v>
      </c>
      <c r="K1726" t="e">
        <f ca="1">BDP("873519QY Muni","SELF_REPRTD_GREEN_INSTR_INDCTR")</f>
        <v>#NAME?</v>
      </c>
      <c r="L1726" t="e">
        <f ca="1">BDP("873519QY Muni","GB_MANAGEMENT_PROCEEDS")</f>
        <v>#NAME?</v>
      </c>
      <c r="M1726" t="e">
        <f ca="1">BDP("873519QY Muni","GB_REPORTING")</f>
        <v>#NAME?</v>
      </c>
      <c r="N1726" t="e">
        <f ca="1">BDP("873519QY Muni","GB_ASSURANCE_PROVIDERS")</f>
        <v>#NAME?</v>
      </c>
      <c r="O1726" t="e">
        <f ca="1">BDP("873519QY Muni","GB_PROJECT_SELECTION_PROCESS")</f>
        <v>#NAME?</v>
      </c>
      <c r="P1726" t="e">
        <f ca="1">BDP("873519QY Muni","ESG_FRAMEWORK_INDICATOR")</f>
        <v>#NAME?</v>
      </c>
      <c r="Q1726" t="e">
        <f ca="1">BDP("873519QY Muni","BLOOMBERG_SECTOR_CODE")</f>
        <v>#NAME?</v>
      </c>
      <c r="R1726" t="e">
        <f ca="1">BDP("873519QY Muni","ISSUER_TYPE")</f>
        <v>#NAME?</v>
      </c>
      <c r="S1726" t="e">
        <f ca="1">BDS("873519QY Muni","ESG_PROJECT_CATEGORY", "aggregate=y")</f>
        <v>#NAME?</v>
      </c>
      <c r="T1726" t="e">
        <f ca="1">BDS("873519QY Muni","ESG_PROJECT_SUBCATEGORY", "aggregate=y")</f>
        <v>#NAME?</v>
      </c>
    </row>
    <row r="1727" spans="1:20" x14ac:dyDescent="0.25">
      <c r="A1727" t="e">
        <f ca="1">BDP("873519RC Muni","ID_CUSIP")</f>
        <v>#NAME?</v>
      </c>
      <c r="B1727" t="e">
        <f ca="1">BDP("873519RC Muni","STATE_CODE")</f>
        <v>#NAME?</v>
      </c>
      <c r="C1727" t="s">
        <v>104</v>
      </c>
      <c r="D1727" t="e">
        <f ca="1">BDP("873519RC Muni","YIELD_ON_ISSUE_DATE")</f>
        <v>#NAME?</v>
      </c>
      <c r="E1727">
        <v>500000</v>
      </c>
      <c r="F1727" t="e">
        <f ca="1">BDP("873519RC Muni","ISSUE_DT")</f>
        <v>#NAME?</v>
      </c>
      <c r="G1727" t="e">
        <f ca="1">BDP("873519RC Muni","MATURITY")</f>
        <v>#NAME?</v>
      </c>
      <c r="H1727" t="e">
        <f ca="1">BDP("873519RC Muni","MUNI_TAX_PROV")</f>
        <v>#NAME?</v>
      </c>
      <c r="I1727" t="e">
        <f ca="1">BDP("873519RC Muni","FINANCING_TYPE")</f>
        <v>#NAME?</v>
      </c>
      <c r="J1727" t="e">
        <f ca="1">BDP("873519RC Muni","BICS_LEVEL_2_INDUSTRY_GROUP_NAME")</f>
        <v>#NAME?</v>
      </c>
      <c r="K1727" t="e">
        <f ca="1">BDP("873519RC Muni","SELF_REPRTD_GREEN_INSTR_INDCTR")</f>
        <v>#NAME?</v>
      </c>
      <c r="L1727" t="e">
        <f ca="1">BDP("873519RC Muni","GB_MANAGEMENT_PROCEEDS")</f>
        <v>#NAME?</v>
      </c>
      <c r="M1727" t="e">
        <f ca="1">BDP("873519RC Muni","GB_REPORTING")</f>
        <v>#NAME?</v>
      </c>
      <c r="N1727" t="e">
        <f ca="1">BDP("873519RC Muni","GB_ASSURANCE_PROVIDERS")</f>
        <v>#NAME?</v>
      </c>
      <c r="O1727" t="e">
        <f ca="1">BDP("873519RC Muni","GB_PROJECT_SELECTION_PROCESS")</f>
        <v>#NAME?</v>
      </c>
      <c r="P1727" t="e">
        <f ca="1">BDP("873519RC Muni","ESG_FRAMEWORK_INDICATOR")</f>
        <v>#NAME?</v>
      </c>
      <c r="Q1727" t="e">
        <f ca="1">BDP("873519RC Muni","BLOOMBERG_SECTOR_CODE")</f>
        <v>#NAME?</v>
      </c>
      <c r="R1727" t="e">
        <f ca="1">BDP("873519RC Muni","ISSUER_TYPE")</f>
        <v>#NAME?</v>
      </c>
      <c r="S1727" t="e">
        <f ca="1">BDS("873519RC Muni","ESG_PROJECT_CATEGORY", "aggregate=y")</f>
        <v>#NAME?</v>
      </c>
      <c r="T1727" t="e">
        <f ca="1">BDS("873519RC Muni","ESG_PROJECT_SUBCATEGORY", "aggregate=y")</f>
        <v>#NAME?</v>
      </c>
    </row>
    <row r="1728" spans="1:20" x14ac:dyDescent="0.25">
      <c r="A1728" t="e">
        <f ca="1">BDP("873519RD Muni","ID_CUSIP")</f>
        <v>#NAME?</v>
      </c>
      <c r="B1728" t="e">
        <f ca="1">BDP("873519RD Muni","STATE_CODE")</f>
        <v>#NAME?</v>
      </c>
      <c r="C1728" t="s">
        <v>104</v>
      </c>
      <c r="D1728" t="e">
        <f ca="1">BDP("873519RD Muni","YIELD_ON_ISSUE_DATE")</f>
        <v>#NAME?</v>
      </c>
      <c r="E1728">
        <v>16520000</v>
      </c>
      <c r="F1728" t="e">
        <f ca="1">BDP("873519RD Muni","ISSUE_DT")</f>
        <v>#NAME?</v>
      </c>
      <c r="G1728" t="e">
        <f ca="1">BDP("873519RD Muni","MATURITY")</f>
        <v>#NAME?</v>
      </c>
      <c r="H1728" t="e">
        <f ca="1">BDP("873519RD Muni","MUNI_TAX_PROV")</f>
        <v>#NAME?</v>
      </c>
      <c r="I1728" t="e">
        <f ca="1">BDP("873519RD Muni","FINANCING_TYPE")</f>
        <v>#NAME?</v>
      </c>
      <c r="J1728" t="e">
        <f ca="1">BDP("873519RD Muni","BICS_LEVEL_2_INDUSTRY_GROUP_NAME")</f>
        <v>#NAME?</v>
      </c>
      <c r="K1728" t="e">
        <f ca="1">BDP("873519RD Muni","SELF_REPRTD_GREEN_INSTR_INDCTR")</f>
        <v>#NAME?</v>
      </c>
      <c r="L1728" t="e">
        <f ca="1">BDP("873519RD Muni","GB_MANAGEMENT_PROCEEDS")</f>
        <v>#NAME?</v>
      </c>
      <c r="M1728" t="e">
        <f ca="1">BDP("873519RD Muni","GB_REPORTING")</f>
        <v>#NAME?</v>
      </c>
      <c r="N1728" t="e">
        <f ca="1">BDP("873519RD Muni","GB_ASSURANCE_PROVIDERS")</f>
        <v>#NAME?</v>
      </c>
      <c r="O1728" t="e">
        <f ca="1">BDP("873519RD Muni","GB_PROJECT_SELECTION_PROCESS")</f>
        <v>#NAME?</v>
      </c>
      <c r="P1728" t="e">
        <f ca="1">BDP("873519RD Muni","ESG_FRAMEWORK_INDICATOR")</f>
        <v>#NAME?</v>
      </c>
      <c r="Q1728" t="e">
        <f ca="1">BDP("873519RD Muni","BLOOMBERG_SECTOR_CODE")</f>
        <v>#NAME?</v>
      </c>
      <c r="R1728" t="e">
        <f ca="1">BDP("873519RD Muni","ISSUER_TYPE")</f>
        <v>#NAME?</v>
      </c>
      <c r="S1728" t="e">
        <f ca="1">BDS("873519RD Muni","ESG_PROJECT_CATEGORY", "aggregate=y")</f>
        <v>#NAME?</v>
      </c>
      <c r="T1728" t="e">
        <f ca="1">BDS("873519RD Muni","ESG_PROJECT_SUBCATEGORY", "aggregate=y")</f>
        <v>#NAME?</v>
      </c>
    </row>
    <row r="1729" spans="1:20" x14ac:dyDescent="0.25">
      <c r="A1729" t="e">
        <f ca="1">BDP("873519RE Muni","ID_CUSIP")</f>
        <v>#NAME?</v>
      </c>
      <c r="B1729" t="e">
        <f ca="1">BDP("873519RE Muni","STATE_CODE")</f>
        <v>#NAME?</v>
      </c>
      <c r="C1729" t="s">
        <v>104</v>
      </c>
      <c r="D1729" t="e">
        <f ca="1">BDP("873519RE Muni","YIELD_ON_ISSUE_DATE")</f>
        <v>#NAME?</v>
      </c>
      <c r="E1729">
        <v>17325000</v>
      </c>
      <c r="F1729" t="e">
        <f ca="1">BDP("873519RE Muni","ISSUE_DT")</f>
        <v>#NAME?</v>
      </c>
      <c r="G1729" t="e">
        <f ca="1">BDP("873519RE Muni","MATURITY")</f>
        <v>#NAME?</v>
      </c>
      <c r="H1729" t="e">
        <f ca="1">BDP("873519RE Muni","MUNI_TAX_PROV")</f>
        <v>#NAME?</v>
      </c>
      <c r="I1729" t="e">
        <f ca="1">BDP("873519RE Muni","FINANCING_TYPE")</f>
        <v>#NAME?</v>
      </c>
      <c r="J1729" t="e">
        <f ca="1">BDP("873519RE Muni","BICS_LEVEL_2_INDUSTRY_GROUP_NAME")</f>
        <v>#NAME?</v>
      </c>
      <c r="K1729" t="e">
        <f ca="1">BDP("873519RE Muni","SELF_REPRTD_GREEN_INSTR_INDCTR")</f>
        <v>#NAME?</v>
      </c>
      <c r="L1729" t="e">
        <f ca="1">BDP("873519RE Muni","GB_MANAGEMENT_PROCEEDS")</f>
        <v>#NAME?</v>
      </c>
      <c r="M1729" t="e">
        <f ca="1">BDP("873519RE Muni","GB_REPORTING")</f>
        <v>#NAME?</v>
      </c>
      <c r="N1729" t="e">
        <f ca="1">BDP("873519RE Muni","GB_ASSURANCE_PROVIDERS")</f>
        <v>#NAME?</v>
      </c>
      <c r="O1729" t="e">
        <f ca="1">BDP("873519RE Muni","GB_PROJECT_SELECTION_PROCESS")</f>
        <v>#NAME?</v>
      </c>
      <c r="P1729" t="e">
        <f ca="1">BDP("873519RE Muni","ESG_FRAMEWORK_INDICATOR")</f>
        <v>#NAME?</v>
      </c>
      <c r="Q1729" t="e">
        <f ca="1">BDP("873519RE Muni","BLOOMBERG_SECTOR_CODE")</f>
        <v>#NAME?</v>
      </c>
      <c r="R1729" t="e">
        <f ca="1">BDP("873519RE Muni","ISSUER_TYPE")</f>
        <v>#NAME?</v>
      </c>
      <c r="S1729" t="e">
        <f ca="1">BDS("873519RE Muni","ESG_PROJECT_CATEGORY", "aggregate=y")</f>
        <v>#NAME?</v>
      </c>
      <c r="T1729" t="e">
        <f ca="1">BDS("873519RE Muni","ESG_PROJECT_SUBCATEGORY", "aggregate=y")</f>
        <v>#NAME?</v>
      </c>
    </row>
    <row r="1730" spans="1:20" x14ac:dyDescent="0.25">
      <c r="A1730" t="e">
        <f ca="1">BDP("873519RF Muni","ID_CUSIP")</f>
        <v>#NAME?</v>
      </c>
      <c r="B1730" t="e">
        <f ca="1">BDP("873519RF Muni","STATE_CODE")</f>
        <v>#NAME?</v>
      </c>
      <c r="C1730" t="s">
        <v>104</v>
      </c>
      <c r="D1730" t="e">
        <f ca="1">BDP("873519RF Muni","YIELD_ON_ISSUE_DATE")</f>
        <v>#NAME?</v>
      </c>
      <c r="E1730">
        <v>18125000</v>
      </c>
      <c r="F1730" t="e">
        <f ca="1">BDP("873519RF Muni","ISSUE_DT")</f>
        <v>#NAME?</v>
      </c>
      <c r="G1730" t="e">
        <f ca="1">BDP("873519RF Muni","MATURITY")</f>
        <v>#NAME?</v>
      </c>
      <c r="H1730" t="e">
        <f ca="1">BDP("873519RF Muni","MUNI_TAX_PROV")</f>
        <v>#NAME?</v>
      </c>
      <c r="I1730" t="e">
        <f ca="1">BDP("873519RF Muni","FINANCING_TYPE")</f>
        <v>#NAME?</v>
      </c>
      <c r="J1730" t="e">
        <f ca="1">BDP("873519RF Muni","BICS_LEVEL_2_INDUSTRY_GROUP_NAME")</f>
        <v>#NAME?</v>
      </c>
      <c r="K1730" t="e">
        <f ca="1">BDP("873519RF Muni","SELF_REPRTD_GREEN_INSTR_INDCTR")</f>
        <v>#NAME?</v>
      </c>
      <c r="L1730" t="e">
        <f ca="1">BDP("873519RF Muni","GB_MANAGEMENT_PROCEEDS")</f>
        <v>#NAME?</v>
      </c>
      <c r="M1730" t="e">
        <f ca="1">BDP("873519RF Muni","GB_REPORTING")</f>
        <v>#NAME?</v>
      </c>
      <c r="N1730" t="e">
        <f ca="1">BDP("873519RF Muni","GB_ASSURANCE_PROVIDERS")</f>
        <v>#NAME?</v>
      </c>
      <c r="O1730" t="e">
        <f ca="1">BDP("873519RF Muni","GB_PROJECT_SELECTION_PROCESS")</f>
        <v>#NAME?</v>
      </c>
      <c r="P1730" t="e">
        <f ca="1">BDP("873519RF Muni","ESG_FRAMEWORK_INDICATOR")</f>
        <v>#NAME?</v>
      </c>
      <c r="Q1730" t="e">
        <f ca="1">BDP("873519RF Muni","BLOOMBERG_SECTOR_CODE")</f>
        <v>#NAME?</v>
      </c>
      <c r="R1730" t="e">
        <f ca="1">BDP("873519RF Muni","ISSUER_TYPE")</f>
        <v>#NAME?</v>
      </c>
      <c r="S1730" t="e">
        <f ca="1">BDS("873519RF Muni","ESG_PROJECT_CATEGORY", "aggregate=y")</f>
        <v>#NAME?</v>
      </c>
      <c r="T1730" t="e">
        <f ca="1">BDS("873519RF Muni","ESG_PROJECT_SUBCATEGORY", "aggregate=y")</f>
        <v>#NAME?</v>
      </c>
    </row>
    <row r="1731" spans="1:20" x14ac:dyDescent="0.25">
      <c r="A1731" t="e">
        <f ca="1">BDP("873519RH Muni","ID_CUSIP")</f>
        <v>#NAME?</v>
      </c>
      <c r="B1731" t="e">
        <f ca="1">BDP("873519RH Muni","STATE_CODE")</f>
        <v>#NAME?</v>
      </c>
      <c r="C1731" t="s">
        <v>104</v>
      </c>
      <c r="D1731" t="e">
        <f ca="1">BDP("873519RH Muni","YIELD_ON_ISSUE_DATE")</f>
        <v>#NAME?</v>
      </c>
      <c r="E1731">
        <v>19910000</v>
      </c>
      <c r="F1731" t="e">
        <f ca="1">BDP("873519RH Muni","ISSUE_DT")</f>
        <v>#NAME?</v>
      </c>
      <c r="G1731" t="e">
        <f ca="1">BDP("873519RH Muni","MATURITY")</f>
        <v>#NAME?</v>
      </c>
      <c r="H1731" t="e">
        <f ca="1">BDP("873519RH Muni","MUNI_TAX_PROV")</f>
        <v>#NAME?</v>
      </c>
      <c r="I1731" t="e">
        <f ca="1">BDP("873519RH Muni","FINANCING_TYPE")</f>
        <v>#NAME?</v>
      </c>
      <c r="J1731" t="e">
        <f ca="1">BDP("873519RH Muni","BICS_LEVEL_2_INDUSTRY_GROUP_NAME")</f>
        <v>#NAME?</v>
      </c>
      <c r="K1731" t="e">
        <f ca="1">BDP("873519RH Muni","SELF_REPRTD_GREEN_INSTR_INDCTR")</f>
        <v>#NAME?</v>
      </c>
      <c r="L1731" t="e">
        <f ca="1">BDP("873519RH Muni","GB_MANAGEMENT_PROCEEDS")</f>
        <v>#NAME?</v>
      </c>
      <c r="M1731" t="e">
        <f ca="1">BDP("873519RH Muni","GB_REPORTING")</f>
        <v>#NAME?</v>
      </c>
      <c r="N1731" t="e">
        <f ca="1">BDP("873519RH Muni","GB_ASSURANCE_PROVIDERS")</f>
        <v>#NAME?</v>
      </c>
      <c r="O1731" t="e">
        <f ca="1">BDP("873519RH Muni","GB_PROJECT_SELECTION_PROCESS")</f>
        <v>#NAME?</v>
      </c>
      <c r="P1731" t="e">
        <f ca="1">BDP("873519RH Muni","ESG_FRAMEWORK_INDICATOR")</f>
        <v>#NAME?</v>
      </c>
      <c r="Q1731" t="e">
        <f ca="1">BDP("873519RH Muni","BLOOMBERG_SECTOR_CODE")</f>
        <v>#NAME?</v>
      </c>
      <c r="R1731" t="e">
        <f ca="1">BDP("873519RH Muni","ISSUER_TYPE")</f>
        <v>#NAME?</v>
      </c>
      <c r="S1731" t="e">
        <f ca="1">BDS("873519RH Muni","ESG_PROJECT_CATEGORY", "aggregate=y")</f>
        <v>#NAME?</v>
      </c>
      <c r="T1731" t="e">
        <f ca="1">BDS("873519RH Muni","ESG_PROJECT_SUBCATEGORY", "aggregate=y")</f>
        <v>#NAME?</v>
      </c>
    </row>
    <row r="1732" spans="1:20" x14ac:dyDescent="0.25">
      <c r="A1732" t="e">
        <f ca="1">BDP("88035PXS Muni","ID_CUSIP")</f>
        <v>#NAME?</v>
      </c>
      <c r="B1732" t="e">
        <f ca="1">BDP("88035PXS Muni","STATE_CODE")</f>
        <v>#NAME?</v>
      </c>
      <c r="C1732" t="s">
        <v>25</v>
      </c>
      <c r="D1732" t="e">
        <f ca="1">BDP("88035PXS Muni","YIELD_ON_ISSUE_DATE")</f>
        <v>#NAME?</v>
      </c>
      <c r="E1732">
        <v>8000000</v>
      </c>
      <c r="F1732" t="e">
        <f ca="1">BDP("88035PXS Muni","ISSUE_DT")</f>
        <v>#NAME?</v>
      </c>
      <c r="G1732" t="e">
        <f ca="1">BDP("88035PXS Muni","MATURITY")</f>
        <v>#NAME?</v>
      </c>
      <c r="H1732" t="e">
        <f ca="1">BDP("88035PXS Muni","MUNI_TAX_PROV")</f>
        <v>#NAME?</v>
      </c>
      <c r="I1732" t="e">
        <f ca="1">BDP("88035PXS Muni","FINANCING_TYPE")</f>
        <v>#NAME?</v>
      </c>
      <c r="J1732" t="e">
        <f ca="1">BDP("88035PXS Muni","BICS_LEVEL_2_INDUSTRY_GROUP_NAME")</f>
        <v>#NAME?</v>
      </c>
      <c r="K1732" t="e">
        <f ca="1">BDP("88035PXS Muni","SELF_REPRTD_GREEN_INSTR_INDCTR")</f>
        <v>#NAME?</v>
      </c>
      <c r="L1732" t="e">
        <f ca="1">BDP("88035PXS Muni","GB_MANAGEMENT_PROCEEDS")</f>
        <v>#NAME?</v>
      </c>
      <c r="M1732" t="e">
        <f ca="1">BDP("88035PXS Muni","GB_REPORTING")</f>
        <v>#NAME?</v>
      </c>
      <c r="N1732" t="e">
        <f ca="1">BDP("88035PXS Muni","GB_ASSURANCE_PROVIDERS")</f>
        <v>#NAME?</v>
      </c>
      <c r="O1732" t="e">
        <f ca="1">BDP("88035PXS Muni","GB_PROJECT_SELECTION_PROCESS")</f>
        <v>#NAME?</v>
      </c>
      <c r="P1732" t="e">
        <f ca="1">BDP("88035PXS Muni","ESG_FRAMEWORK_INDICATOR")</f>
        <v>#NAME?</v>
      </c>
      <c r="Q1732" t="e">
        <f ca="1">BDP("88035PXS Muni","BLOOMBERG_SECTOR_CODE")</f>
        <v>#NAME?</v>
      </c>
      <c r="R1732" t="e">
        <f ca="1">BDP("88035PXS Muni","ISSUER_TYPE")</f>
        <v>#NAME?</v>
      </c>
      <c r="S1732" t="e">
        <f ca="1">BDS("88035PXS Muni","ESG_PROJECT_CATEGORY", "aggregate=y")</f>
        <v>#NAME?</v>
      </c>
      <c r="T1732" t="e">
        <f ca="1">BDS("88035PXS Muni","ESG_PROJECT_SUBCATEGORY", "aggregate=y")</f>
        <v>#NAME?</v>
      </c>
    </row>
    <row r="1733" spans="1:20" x14ac:dyDescent="0.25">
      <c r="A1733" t="e">
        <f ca="1">BDP("88035RMR Muni","ID_CUSIP")</f>
        <v>#NAME?</v>
      </c>
      <c r="B1733" t="e">
        <f ca="1">BDP("88035RMR Muni","STATE_CODE")</f>
        <v>#NAME?</v>
      </c>
      <c r="C1733" t="s">
        <v>25</v>
      </c>
      <c r="D1733" t="e">
        <f ca="1">BDP("88035RMR Muni","YIELD_ON_ISSUE_DATE")</f>
        <v>#NAME?</v>
      </c>
      <c r="E1733">
        <v>750000</v>
      </c>
      <c r="F1733" t="e">
        <f ca="1">BDP("88035RMR Muni","ISSUE_DT")</f>
        <v>#NAME?</v>
      </c>
      <c r="G1733" t="e">
        <f ca="1">BDP("88035RMR Muni","MATURITY")</f>
        <v>#NAME?</v>
      </c>
      <c r="H1733" t="e">
        <f ca="1">BDP("88035RMR Muni","MUNI_TAX_PROV")</f>
        <v>#NAME?</v>
      </c>
      <c r="I1733" t="e">
        <f ca="1">BDP("88035RMR Muni","FINANCING_TYPE")</f>
        <v>#NAME?</v>
      </c>
      <c r="J1733" t="e">
        <f ca="1">BDP("88035RMR Muni","BICS_LEVEL_2_INDUSTRY_GROUP_NAME")</f>
        <v>#NAME?</v>
      </c>
      <c r="K1733" t="e">
        <f ca="1">BDP("88035RMR Muni","SELF_REPRTD_GREEN_INSTR_INDCTR")</f>
        <v>#NAME?</v>
      </c>
      <c r="L1733" t="e">
        <f ca="1">BDP("88035RMR Muni","GB_MANAGEMENT_PROCEEDS")</f>
        <v>#NAME?</v>
      </c>
      <c r="M1733" t="e">
        <f ca="1">BDP("88035RMR Muni","GB_REPORTING")</f>
        <v>#NAME?</v>
      </c>
      <c r="N1733" t="e">
        <f ca="1">BDP("88035RMR Muni","GB_ASSURANCE_PROVIDERS")</f>
        <v>#NAME?</v>
      </c>
      <c r="O1733" t="e">
        <f ca="1">BDP("88035RMR Muni","GB_PROJECT_SELECTION_PROCESS")</f>
        <v>#NAME?</v>
      </c>
      <c r="P1733" t="e">
        <f ca="1">BDP("88035RMR Muni","ESG_FRAMEWORK_INDICATOR")</f>
        <v>#NAME?</v>
      </c>
      <c r="Q1733" t="e">
        <f ca="1">BDP("88035RMR Muni","BLOOMBERG_SECTOR_CODE")</f>
        <v>#NAME?</v>
      </c>
      <c r="R1733" t="e">
        <f ca="1">BDP("88035RMR Muni","ISSUER_TYPE")</f>
        <v>#NAME?</v>
      </c>
      <c r="S1733" t="e">
        <f ca="1">BDS("88035RMR Muni","ESG_PROJECT_CATEGORY", "aggregate=y")</f>
        <v>#NAME?</v>
      </c>
      <c r="T1733" t="e">
        <f ca="1">BDS("88035RMR Muni","ESG_PROJECT_SUBCATEGORY", "aggregate=y")</f>
        <v>#NAME?</v>
      </c>
    </row>
    <row r="1734" spans="1:20" x14ac:dyDescent="0.25">
      <c r="A1734" t="e">
        <f ca="1">BDP("25156SLA Muni","ID_CUSIP")</f>
        <v>#NAME?</v>
      </c>
      <c r="B1734" t="e">
        <f ca="1">BDP("25156SLA Muni","STATE_CODE")</f>
        <v>#NAME?</v>
      </c>
      <c r="C1734" t="s">
        <v>31</v>
      </c>
      <c r="D1734" t="e">
        <f ca="1">BDP("25156SLA Muni","YIELD_ON_ISSUE_DATE")</f>
        <v>#NAME?</v>
      </c>
      <c r="E1734">
        <v>9995000</v>
      </c>
      <c r="F1734" t="e">
        <f ca="1">BDP("25156SLA Muni","ISSUE_DT")</f>
        <v>#NAME?</v>
      </c>
      <c r="G1734" t="e">
        <f ca="1">BDP("25156SLA Muni","MATURITY")</f>
        <v>#NAME?</v>
      </c>
      <c r="H1734" t="e">
        <f ca="1">BDP("25156SLA Muni","MUNI_TAX_PROV")</f>
        <v>#NAME?</v>
      </c>
      <c r="I1734" t="e">
        <f ca="1">BDP("25156SLA Muni","FINANCING_TYPE")</f>
        <v>#NAME?</v>
      </c>
      <c r="J1734" t="e">
        <f ca="1">BDP("25156SLA Muni","BICS_LEVEL_2_INDUSTRY_GROUP_NAME")</f>
        <v>#NAME?</v>
      </c>
      <c r="K1734" t="e">
        <f ca="1">BDP("25156SLA Muni","SELF_REPRTD_GREEN_INSTR_INDCTR")</f>
        <v>#NAME?</v>
      </c>
      <c r="L1734" t="e">
        <f ca="1">BDP("25156SLA Muni","GB_MANAGEMENT_PROCEEDS")</f>
        <v>#NAME?</v>
      </c>
      <c r="M1734" t="e">
        <f ca="1">BDP("25156SLA Muni","GB_REPORTING")</f>
        <v>#NAME?</v>
      </c>
      <c r="N1734" t="e">
        <f ca="1">BDP("25156SLA Muni","GB_ASSURANCE_PROVIDERS")</f>
        <v>#NAME?</v>
      </c>
      <c r="O1734" t="e">
        <f ca="1">BDP("25156SLA Muni","GB_PROJECT_SELECTION_PROCESS")</f>
        <v>#NAME?</v>
      </c>
      <c r="P1734" t="e">
        <f ca="1">BDP("25156SLA Muni","ESG_FRAMEWORK_INDICATOR")</f>
        <v>#NAME?</v>
      </c>
      <c r="Q1734" t="e">
        <f ca="1">BDP("25156SLA Muni","BLOOMBERG_SECTOR_CODE")</f>
        <v>#NAME?</v>
      </c>
      <c r="R1734" t="e">
        <f ca="1">BDP("25156SLA Muni","ISSUER_TYPE")</f>
        <v>#NAME?</v>
      </c>
      <c r="S1734" t="e">
        <f ca="1">BDS("25156SLA Muni","ESG_PROJECT_CATEGORY", "aggregate=y")</f>
        <v>#NAME?</v>
      </c>
      <c r="T1734" t="e">
        <f ca="1">BDS("25156SLA Muni","ESG_PROJECT_SUBCATEGORY", "aggregate=y")</f>
        <v>#NAME?</v>
      </c>
    </row>
    <row r="1735" spans="1:20" x14ac:dyDescent="0.25">
      <c r="A1735" t="e">
        <f ca="1">BDP("25156SLB Muni","ID_CUSIP")</f>
        <v>#NAME?</v>
      </c>
      <c r="B1735" t="e">
        <f ca="1">BDP("25156SLB Muni","STATE_CODE")</f>
        <v>#NAME?</v>
      </c>
      <c r="C1735" t="s">
        <v>31</v>
      </c>
      <c r="D1735" t="e">
        <f ca="1">BDP("25156SLB Muni","YIELD_ON_ISSUE_DATE")</f>
        <v>#NAME?</v>
      </c>
      <c r="E1735">
        <v>5000</v>
      </c>
      <c r="F1735" t="e">
        <f ca="1">BDP("25156SLB Muni","ISSUE_DT")</f>
        <v>#NAME?</v>
      </c>
      <c r="G1735" t="e">
        <f ca="1">BDP("25156SLB Muni","MATURITY")</f>
        <v>#NAME?</v>
      </c>
      <c r="H1735" t="e">
        <f ca="1">BDP("25156SLB Muni","MUNI_TAX_PROV")</f>
        <v>#NAME?</v>
      </c>
      <c r="I1735" t="e">
        <f ca="1">BDP("25156SLB Muni","FINANCING_TYPE")</f>
        <v>#NAME?</v>
      </c>
      <c r="J1735" t="e">
        <f ca="1">BDP("25156SLB Muni","BICS_LEVEL_2_INDUSTRY_GROUP_NAME")</f>
        <v>#NAME?</v>
      </c>
      <c r="K1735" t="e">
        <f ca="1">BDP("25156SLB Muni","SELF_REPRTD_GREEN_INSTR_INDCTR")</f>
        <v>#NAME?</v>
      </c>
      <c r="L1735" t="e">
        <f ca="1">BDP("25156SLB Muni","GB_MANAGEMENT_PROCEEDS")</f>
        <v>#NAME?</v>
      </c>
      <c r="M1735" t="e">
        <f ca="1">BDP("25156SLB Muni","GB_REPORTING")</f>
        <v>#NAME?</v>
      </c>
      <c r="N1735" t="e">
        <f ca="1">BDP("25156SLB Muni","GB_ASSURANCE_PROVIDERS")</f>
        <v>#NAME?</v>
      </c>
      <c r="O1735" t="e">
        <f ca="1">BDP("25156SLB Muni","GB_PROJECT_SELECTION_PROCESS")</f>
        <v>#NAME?</v>
      </c>
      <c r="P1735" t="e">
        <f ca="1">BDP("25156SLB Muni","ESG_FRAMEWORK_INDICATOR")</f>
        <v>#NAME?</v>
      </c>
      <c r="Q1735" t="e">
        <f ca="1">BDP("25156SLB Muni","BLOOMBERG_SECTOR_CODE")</f>
        <v>#NAME?</v>
      </c>
      <c r="R1735" t="e">
        <f ca="1">BDP("25156SLB Muni","ISSUER_TYPE")</f>
        <v>#NAME?</v>
      </c>
      <c r="S1735" t="e">
        <f ca="1">BDS("25156SLB Muni","ESG_PROJECT_CATEGORY", "aggregate=y")</f>
        <v>#NAME?</v>
      </c>
      <c r="T1735" t="e">
        <f ca="1">BDS("25156SLB Muni","ESG_PROJECT_SUBCATEGORY", "aggregate=y")</f>
        <v>#NAME?</v>
      </c>
    </row>
    <row r="1736" spans="1:20" x14ac:dyDescent="0.25">
      <c r="A1736" t="e">
        <f ca="1">BDP("873519RB Muni","ID_CUSIP")</f>
        <v>#NAME?</v>
      </c>
      <c r="B1736" t="e">
        <f ca="1">BDP("873519RB Muni","STATE_CODE")</f>
        <v>#NAME?</v>
      </c>
      <c r="C1736" t="s">
        <v>104</v>
      </c>
      <c r="D1736" t="e">
        <f ca="1">BDP("873519RB Muni","YIELD_ON_ISSUE_DATE")</f>
        <v>#NAME?</v>
      </c>
      <c r="E1736">
        <v>60985000</v>
      </c>
      <c r="F1736" t="e">
        <f ca="1">BDP("873519RB Muni","ISSUE_DT")</f>
        <v>#NAME?</v>
      </c>
      <c r="G1736" t="e">
        <f ca="1">BDP("873519RB Muni","MATURITY")</f>
        <v>#NAME?</v>
      </c>
      <c r="H1736" t="e">
        <f ca="1">BDP("873519RB Muni","MUNI_TAX_PROV")</f>
        <v>#NAME?</v>
      </c>
      <c r="I1736" t="e">
        <f ca="1">BDP("873519RB Muni","FINANCING_TYPE")</f>
        <v>#NAME?</v>
      </c>
      <c r="J1736" t="e">
        <f ca="1">BDP("873519RB Muni","BICS_LEVEL_2_INDUSTRY_GROUP_NAME")</f>
        <v>#NAME?</v>
      </c>
      <c r="K1736" t="e">
        <f ca="1">BDP("873519RB Muni","SELF_REPRTD_GREEN_INSTR_INDCTR")</f>
        <v>#NAME?</v>
      </c>
      <c r="L1736" t="e">
        <f ca="1">BDP("873519RB Muni","GB_MANAGEMENT_PROCEEDS")</f>
        <v>#NAME?</v>
      </c>
      <c r="M1736" t="e">
        <f ca="1">BDP("873519RB Muni","GB_REPORTING")</f>
        <v>#NAME?</v>
      </c>
      <c r="N1736" t="e">
        <f ca="1">BDP("873519RB Muni","GB_ASSURANCE_PROVIDERS")</f>
        <v>#NAME?</v>
      </c>
      <c r="O1736" t="e">
        <f ca="1">BDP("873519RB Muni","GB_PROJECT_SELECTION_PROCESS")</f>
        <v>#NAME?</v>
      </c>
      <c r="P1736" t="e">
        <f ca="1">BDP("873519RB Muni","ESG_FRAMEWORK_INDICATOR")</f>
        <v>#NAME?</v>
      </c>
      <c r="Q1736" t="e">
        <f ca="1">BDP("873519RB Muni","BLOOMBERG_SECTOR_CODE")</f>
        <v>#NAME?</v>
      </c>
      <c r="R1736" t="e">
        <f ca="1">BDP("873519RB Muni","ISSUER_TYPE")</f>
        <v>#NAME?</v>
      </c>
      <c r="S1736" t="e">
        <f ca="1">BDS("873519RB Muni","ESG_PROJECT_CATEGORY", "aggregate=y")</f>
        <v>#NAME?</v>
      </c>
      <c r="T1736" t="e">
        <f ca="1">BDS("873519RB Muni","ESG_PROJECT_SUBCATEGORY", "aggregate=y")</f>
        <v>#NAME?</v>
      </c>
    </row>
    <row r="1737" spans="1:20" x14ac:dyDescent="0.25">
      <c r="A1737" t="e">
        <f ca="1">BDP("88035RMQ Muni","ID_CUSIP")</f>
        <v>#NAME?</v>
      </c>
      <c r="B1737" t="e">
        <f ca="1">BDP("88035RMQ Muni","STATE_CODE")</f>
        <v>#NAME?</v>
      </c>
      <c r="C1737" t="s">
        <v>25</v>
      </c>
      <c r="D1737" t="e">
        <f ca="1">BDP("88035RMQ Muni","YIELD_ON_ISSUE_DATE")</f>
        <v>#NAME?</v>
      </c>
      <c r="E1737">
        <v>14250000</v>
      </c>
      <c r="F1737" t="e">
        <f ca="1">BDP("88035RMQ Muni","ISSUE_DT")</f>
        <v>#NAME?</v>
      </c>
      <c r="G1737" t="e">
        <f ca="1">BDP("88035RMQ Muni","MATURITY")</f>
        <v>#NAME?</v>
      </c>
      <c r="H1737" t="e">
        <f ca="1">BDP("88035RMQ Muni","MUNI_TAX_PROV")</f>
        <v>#NAME?</v>
      </c>
      <c r="I1737" t="e">
        <f ca="1">BDP("88035RMQ Muni","FINANCING_TYPE")</f>
        <v>#NAME?</v>
      </c>
      <c r="J1737" t="e">
        <f ca="1">BDP("88035RMQ Muni","BICS_LEVEL_2_INDUSTRY_GROUP_NAME")</f>
        <v>#NAME?</v>
      </c>
      <c r="K1737" t="e">
        <f ca="1">BDP("88035RMQ Muni","SELF_REPRTD_GREEN_INSTR_INDCTR")</f>
        <v>#NAME?</v>
      </c>
      <c r="L1737" t="e">
        <f ca="1">BDP("88035RMQ Muni","GB_MANAGEMENT_PROCEEDS")</f>
        <v>#NAME?</v>
      </c>
      <c r="M1737" t="e">
        <f ca="1">BDP("88035RMQ Muni","GB_REPORTING")</f>
        <v>#NAME?</v>
      </c>
      <c r="N1737" t="e">
        <f ca="1">BDP("88035RMQ Muni","GB_ASSURANCE_PROVIDERS")</f>
        <v>#NAME?</v>
      </c>
      <c r="O1737" t="e">
        <f ca="1">BDP("88035RMQ Muni","GB_PROJECT_SELECTION_PROCESS")</f>
        <v>#NAME?</v>
      </c>
      <c r="P1737" t="e">
        <f ca="1">BDP("88035RMQ Muni","ESG_FRAMEWORK_INDICATOR")</f>
        <v>#NAME?</v>
      </c>
      <c r="Q1737" t="e">
        <f ca="1">BDP("88035RMQ Muni","BLOOMBERG_SECTOR_CODE")</f>
        <v>#NAME?</v>
      </c>
      <c r="R1737" t="e">
        <f ca="1">BDP("88035RMQ Muni","ISSUER_TYPE")</f>
        <v>#NAME?</v>
      </c>
      <c r="S1737" t="e">
        <f ca="1">BDS("88035RMQ Muni","ESG_PROJECT_CATEGORY", "aggregate=y")</f>
        <v>#NAME?</v>
      </c>
      <c r="T1737" t="e">
        <f ca="1">BDS("88035RMQ Muni","ESG_PROJECT_SUBCATEGORY", "aggregate=y")</f>
        <v>#NAME?</v>
      </c>
    </row>
    <row r="1738" spans="1:20" x14ac:dyDescent="0.25">
      <c r="A1738" t="e">
        <f ca="1">BDP("873519QZ Muni","ID_CUSIP")</f>
        <v>#NAME?</v>
      </c>
      <c r="B1738" t="e">
        <f ca="1">BDP("873519QZ Muni","STATE_CODE")</f>
        <v>#NAME?</v>
      </c>
      <c r="C1738" t="s">
        <v>104</v>
      </c>
      <c r="D1738" t="e">
        <f ca="1">BDP("873519QZ Muni","YIELD_ON_ISSUE_DATE")</f>
        <v>#NAME?</v>
      </c>
      <c r="E1738">
        <v>8100000</v>
      </c>
      <c r="F1738" t="e">
        <f ca="1">BDP("873519QZ Muni","ISSUE_DT")</f>
        <v>#NAME?</v>
      </c>
      <c r="G1738" t="e">
        <f ca="1">BDP("873519QZ Muni","MATURITY")</f>
        <v>#NAME?</v>
      </c>
      <c r="H1738" t="e">
        <f ca="1">BDP("873519QZ Muni","MUNI_TAX_PROV")</f>
        <v>#NAME?</v>
      </c>
      <c r="I1738" t="e">
        <f ca="1">BDP("873519QZ Muni","FINANCING_TYPE")</f>
        <v>#NAME?</v>
      </c>
      <c r="J1738" t="e">
        <f ca="1">BDP("873519QZ Muni","BICS_LEVEL_2_INDUSTRY_GROUP_NAME")</f>
        <v>#NAME?</v>
      </c>
      <c r="K1738" t="e">
        <f ca="1">BDP("873519QZ Muni","SELF_REPRTD_GREEN_INSTR_INDCTR")</f>
        <v>#NAME?</v>
      </c>
      <c r="L1738" t="e">
        <f ca="1">BDP("873519QZ Muni","GB_MANAGEMENT_PROCEEDS")</f>
        <v>#NAME?</v>
      </c>
      <c r="M1738" t="e">
        <f ca="1">BDP("873519QZ Muni","GB_REPORTING")</f>
        <v>#NAME?</v>
      </c>
      <c r="N1738" t="e">
        <f ca="1">BDP("873519QZ Muni","GB_ASSURANCE_PROVIDERS")</f>
        <v>#NAME?</v>
      </c>
      <c r="O1738" t="e">
        <f ca="1">BDP("873519QZ Muni","GB_PROJECT_SELECTION_PROCESS")</f>
        <v>#NAME?</v>
      </c>
      <c r="P1738" t="e">
        <f ca="1">BDP("873519QZ Muni","ESG_FRAMEWORK_INDICATOR")</f>
        <v>#NAME?</v>
      </c>
      <c r="Q1738" t="e">
        <f ca="1">BDP("873519QZ Muni","BLOOMBERG_SECTOR_CODE")</f>
        <v>#NAME?</v>
      </c>
      <c r="R1738" t="e">
        <f ca="1">BDP("873519QZ Muni","ISSUER_TYPE")</f>
        <v>#NAME?</v>
      </c>
      <c r="S1738" t="e">
        <f ca="1">BDS("873519QZ Muni","ESG_PROJECT_CATEGORY", "aggregate=y")</f>
        <v>#NAME?</v>
      </c>
      <c r="T1738" t="e">
        <f ca="1">BDS("873519QZ Muni","ESG_PROJECT_SUBCATEGORY", "aggregate=y")</f>
        <v>#NAME?</v>
      </c>
    </row>
    <row r="1739" spans="1:20" x14ac:dyDescent="0.25">
      <c r="A1739" t="e">
        <f ca="1">BDP("873519RA Muni","ID_CUSIP")</f>
        <v>#NAME?</v>
      </c>
      <c r="B1739" t="e">
        <f ca="1">BDP("873519RA Muni","STATE_CODE")</f>
        <v>#NAME?</v>
      </c>
      <c r="C1739" t="s">
        <v>104</v>
      </c>
      <c r="D1739" t="e">
        <f ca="1">BDP("873519RA Muni","YIELD_ON_ISSUE_DATE")</f>
        <v>#NAME?</v>
      </c>
      <c r="E1739">
        <v>47225000</v>
      </c>
      <c r="F1739" t="e">
        <f ca="1">BDP("873519RA Muni","ISSUE_DT")</f>
        <v>#NAME?</v>
      </c>
      <c r="G1739" t="e">
        <f ca="1">BDP("873519RA Muni","MATURITY")</f>
        <v>#NAME?</v>
      </c>
      <c r="H1739" t="e">
        <f ca="1">BDP("873519RA Muni","MUNI_TAX_PROV")</f>
        <v>#NAME?</v>
      </c>
      <c r="I1739" t="e">
        <f ca="1">BDP("873519RA Muni","FINANCING_TYPE")</f>
        <v>#NAME?</v>
      </c>
      <c r="J1739" t="e">
        <f ca="1">BDP("873519RA Muni","BICS_LEVEL_2_INDUSTRY_GROUP_NAME")</f>
        <v>#NAME?</v>
      </c>
      <c r="K1739" t="e">
        <f ca="1">BDP("873519RA Muni","SELF_REPRTD_GREEN_INSTR_INDCTR")</f>
        <v>#NAME?</v>
      </c>
      <c r="L1739" t="e">
        <f ca="1">BDP("873519RA Muni","GB_MANAGEMENT_PROCEEDS")</f>
        <v>#NAME?</v>
      </c>
      <c r="M1739" t="e">
        <f ca="1">BDP("873519RA Muni","GB_REPORTING")</f>
        <v>#NAME?</v>
      </c>
      <c r="N1739" t="e">
        <f ca="1">BDP("873519RA Muni","GB_ASSURANCE_PROVIDERS")</f>
        <v>#NAME?</v>
      </c>
      <c r="O1739" t="e">
        <f ca="1">BDP("873519RA Muni","GB_PROJECT_SELECTION_PROCESS")</f>
        <v>#NAME?</v>
      </c>
      <c r="P1739" t="e">
        <f ca="1">BDP("873519RA Muni","ESG_FRAMEWORK_INDICATOR")</f>
        <v>#NAME?</v>
      </c>
      <c r="Q1739" t="e">
        <f ca="1">BDP("873519RA Muni","BLOOMBERG_SECTOR_CODE")</f>
        <v>#NAME?</v>
      </c>
      <c r="R1739" t="e">
        <f ca="1">BDP("873519RA Muni","ISSUER_TYPE")</f>
        <v>#NAME?</v>
      </c>
      <c r="S1739" t="e">
        <f ca="1">BDS("873519RA Muni","ESG_PROJECT_CATEGORY", "aggregate=y")</f>
        <v>#NAME?</v>
      </c>
      <c r="T1739" t="e">
        <f ca="1">BDS("873519RA Muni","ESG_PROJECT_SUBCATEGORY", "aggregate=y")</f>
        <v>#NAME?</v>
      </c>
    </row>
    <row r="1740" spans="1:20" x14ac:dyDescent="0.25">
      <c r="A1740" t="e">
        <f ca="1">BDP("873519RG Muni","ID_CUSIP")</f>
        <v>#NAME?</v>
      </c>
      <c r="B1740" t="e">
        <f ca="1">BDP("873519RG Muni","STATE_CODE")</f>
        <v>#NAME?</v>
      </c>
      <c r="C1740" t="s">
        <v>104</v>
      </c>
      <c r="D1740" t="e">
        <f ca="1">BDP("873519RG Muni","YIELD_ON_ISSUE_DATE")</f>
        <v>#NAME?</v>
      </c>
      <c r="E1740">
        <v>18995000</v>
      </c>
      <c r="F1740" t="e">
        <f ca="1">BDP("873519RG Muni","ISSUE_DT")</f>
        <v>#NAME?</v>
      </c>
      <c r="G1740" t="e">
        <f ca="1">BDP("873519RG Muni","MATURITY")</f>
        <v>#NAME?</v>
      </c>
      <c r="H1740" t="e">
        <f ca="1">BDP("873519RG Muni","MUNI_TAX_PROV")</f>
        <v>#NAME?</v>
      </c>
      <c r="I1740" t="e">
        <f ca="1">BDP("873519RG Muni","FINANCING_TYPE")</f>
        <v>#NAME?</v>
      </c>
      <c r="J1740" t="e">
        <f ca="1">BDP("873519RG Muni","BICS_LEVEL_2_INDUSTRY_GROUP_NAME")</f>
        <v>#NAME?</v>
      </c>
      <c r="K1740" t="e">
        <f ca="1">BDP("873519RG Muni","SELF_REPRTD_GREEN_INSTR_INDCTR")</f>
        <v>#NAME?</v>
      </c>
      <c r="L1740" t="e">
        <f ca="1">BDP("873519RG Muni","GB_MANAGEMENT_PROCEEDS")</f>
        <v>#NAME?</v>
      </c>
      <c r="M1740" t="e">
        <f ca="1">BDP("873519RG Muni","GB_REPORTING")</f>
        <v>#NAME?</v>
      </c>
      <c r="N1740" t="e">
        <f ca="1">BDP("873519RG Muni","GB_ASSURANCE_PROVIDERS")</f>
        <v>#NAME?</v>
      </c>
      <c r="O1740" t="e">
        <f ca="1">BDP("873519RG Muni","GB_PROJECT_SELECTION_PROCESS")</f>
        <v>#NAME?</v>
      </c>
      <c r="P1740" t="e">
        <f ca="1">BDP("873519RG Muni","ESG_FRAMEWORK_INDICATOR")</f>
        <v>#NAME?</v>
      </c>
      <c r="Q1740" t="e">
        <f ca="1">BDP("873519RG Muni","BLOOMBERG_SECTOR_CODE")</f>
        <v>#NAME?</v>
      </c>
      <c r="R1740" t="e">
        <f ca="1">BDP("873519RG Muni","ISSUER_TYPE")</f>
        <v>#NAME?</v>
      </c>
      <c r="S1740" t="e">
        <f ca="1">BDS("873519RG Muni","ESG_PROJECT_CATEGORY", "aggregate=y")</f>
        <v>#NAME?</v>
      </c>
      <c r="T1740" t="e">
        <f ca="1">BDS("873519RG Muni","ESG_PROJECT_SUBCATEGORY", "aggregate=y")</f>
        <v>#NAME?</v>
      </c>
    </row>
    <row r="1741" spans="1:20" x14ac:dyDescent="0.25">
      <c r="A1741" t="e">
        <f ca="1">BDP("88035PXT Muni","ID_CUSIP")</f>
        <v>#NAME?</v>
      </c>
      <c r="B1741" t="e">
        <f ca="1">BDP("88035PXT Muni","STATE_CODE")</f>
        <v>#NAME?</v>
      </c>
      <c r="C1741" t="s">
        <v>25</v>
      </c>
      <c r="D1741" t="e">
        <f ca="1">BDP("88035PXT Muni","YIELD_ON_ISSUE_DATE")</f>
        <v>#NAME?</v>
      </c>
      <c r="E1741">
        <v>2000000</v>
      </c>
      <c r="F1741" t="e">
        <f ca="1">BDP("88035PXT Muni","ISSUE_DT")</f>
        <v>#NAME?</v>
      </c>
      <c r="G1741" t="e">
        <f ca="1">BDP("88035PXT Muni","MATURITY")</f>
        <v>#NAME?</v>
      </c>
      <c r="H1741" t="e">
        <f ca="1">BDP("88035PXT Muni","MUNI_TAX_PROV")</f>
        <v>#NAME?</v>
      </c>
      <c r="I1741" t="e">
        <f ca="1">BDP("88035PXT Muni","FINANCING_TYPE")</f>
        <v>#NAME?</v>
      </c>
      <c r="J1741" t="e">
        <f ca="1">BDP("88035PXT Muni","BICS_LEVEL_2_INDUSTRY_GROUP_NAME")</f>
        <v>#NAME?</v>
      </c>
      <c r="K1741" t="e">
        <f ca="1">BDP("88035PXT Muni","SELF_REPRTD_GREEN_INSTR_INDCTR")</f>
        <v>#NAME?</v>
      </c>
      <c r="L1741" t="e">
        <f ca="1">BDP("88035PXT Muni","GB_MANAGEMENT_PROCEEDS")</f>
        <v>#NAME?</v>
      </c>
      <c r="M1741" t="e">
        <f ca="1">BDP("88035PXT Muni","GB_REPORTING")</f>
        <v>#NAME?</v>
      </c>
      <c r="N1741" t="e">
        <f ca="1">BDP("88035PXT Muni","GB_ASSURANCE_PROVIDERS")</f>
        <v>#NAME?</v>
      </c>
      <c r="O1741" t="e">
        <f ca="1">BDP("88035PXT Muni","GB_PROJECT_SELECTION_PROCESS")</f>
        <v>#NAME?</v>
      </c>
      <c r="P1741" t="e">
        <f ca="1">BDP("88035PXT Muni","ESG_FRAMEWORK_INDICATOR")</f>
        <v>#NAME?</v>
      </c>
      <c r="Q1741" t="e">
        <f ca="1">BDP("88035PXT Muni","BLOOMBERG_SECTOR_CODE")</f>
        <v>#NAME?</v>
      </c>
      <c r="R1741" t="e">
        <f ca="1">BDP("88035PXT Muni","ISSUER_TYPE")</f>
        <v>#NAME?</v>
      </c>
      <c r="S1741" t="e">
        <f ca="1">BDS("88035PXT Muni","ESG_PROJECT_CATEGORY", "aggregate=y")</f>
        <v>#NAME?</v>
      </c>
      <c r="T1741" t="e">
        <f ca="1">BDS("88035PXT Muni","ESG_PROJECT_SUBCATEGORY", "aggregate=y")</f>
        <v>#NAME?</v>
      </c>
    </row>
    <row r="1742" spans="1:20" x14ac:dyDescent="0.25">
      <c r="A1742" t="e">
        <f ca="1">BDP("88035PLK Muni","ID_CUSIP")</f>
        <v>#NAME?</v>
      </c>
      <c r="B1742" t="e">
        <f ca="1">BDP("88035PLK Muni","STATE_CODE")</f>
        <v>#NAME?</v>
      </c>
      <c r="C1742" t="s">
        <v>25</v>
      </c>
      <c r="D1742" t="e">
        <f ca="1">BDP("88035PLK Muni","YIELD_ON_ISSUE_DATE")</f>
        <v>#NAME?</v>
      </c>
      <c r="E1742">
        <v>650000</v>
      </c>
      <c r="F1742" t="e">
        <f ca="1">BDP("88035PLK Muni","ISSUE_DT")</f>
        <v>#NAME?</v>
      </c>
      <c r="G1742" t="e">
        <f ca="1">BDP("88035PLK Muni","MATURITY")</f>
        <v>#NAME?</v>
      </c>
      <c r="H1742" t="e">
        <f ca="1">BDP("88035PLK Muni","MUNI_TAX_PROV")</f>
        <v>#NAME?</v>
      </c>
      <c r="I1742" t="e">
        <f ca="1">BDP("88035PLK Muni","FINANCING_TYPE")</f>
        <v>#NAME?</v>
      </c>
      <c r="J1742" t="e">
        <f ca="1">BDP("88035PLK Muni","BICS_LEVEL_2_INDUSTRY_GROUP_NAME")</f>
        <v>#NAME?</v>
      </c>
      <c r="K1742" t="e">
        <f ca="1">BDP("88035PLK Muni","SELF_REPRTD_GREEN_INSTR_INDCTR")</f>
        <v>#NAME?</v>
      </c>
      <c r="L1742" t="e">
        <f ca="1">BDP("88035PLK Muni","GB_MANAGEMENT_PROCEEDS")</f>
        <v>#NAME?</v>
      </c>
      <c r="M1742" t="e">
        <f ca="1">BDP("88035PLK Muni","GB_REPORTING")</f>
        <v>#NAME?</v>
      </c>
      <c r="N1742" t="e">
        <f ca="1">BDP("88035PLK Muni","GB_ASSURANCE_PROVIDERS")</f>
        <v>#NAME?</v>
      </c>
      <c r="O1742" t="e">
        <f ca="1">BDP("88035PLK Muni","GB_PROJECT_SELECTION_PROCESS")</f>
        <v>#NAME?</v>
      </c>
      <c r="P1742" t="e">
        <f ca="1">BDP("88035PLK Muni","ESG_FRAMEWORK_INDICATOR")</f>
        <v>#NAME?</v>
      </c>
      <c r="Q1742" t="e">
        <f ca="1">BDP("88035PLK Muni","BLOOMBERG_SECTOR_CODE")</f>
        <v>#NAME?</v>
      </c>
      <c r="R1742" t="e">
        <f ca="1">BDP("88035PLK Muni","ISSUER_TYPE")</f>
        <v>#NAME?</v>
      </c>
      <c r="S1742" t="e">
        <f ca="1">BDS("88035PLK Muni","ESG_PROJECT_CATEGORY", "aggregate=y")</f>
        <v>#NAME?</v>
      </c>
      <c r="T1742" t="e">
        <f ca="1">BDS("88035PLK Muni","ESG_PROJECT_SUBCATEGORY", "aggregate=y")</f>
        <v>#NAME?</v>
      </c>
    </row>
    <row r="1743" spans="1:20" x14ac:dyDescent="0.25">
      <c r="A1743" t="e">
        <f ca="1">BDP("97709TEL Muni","ID_CUSIP")</f>
        <v>#NAME?</v>
      </c>
      <c r="B1743" t="e">
        <f ca="1">BDP("97709TEL Muni","STATE_CODE")</f>
        <v>#NAME?</v>
      </c>
      <c r="C1743" t="s">
        <v>105</v>
      </c>
      <c r="D1743" t="e">
        <f ca="1">BDP("97709TEL Muni","YIELD_ON_ISSUE_DATE")</f>
        <v>#NAME?</v>
      </c>
      <c r="E1743">
        <v>7790000</v>
      </c>
      <c r="F1743" t="e">
        <f ca="1">BDP("97709TEL Muni","ISSUE_DT")</f>
        <v>#NAME?</v>
      </c>
      <c r="G1743" t="e">
        <f ca="1">BDP("97709TEL Muni","MATURITY")</f>
        <v>#NAME?</v>
      </c>
      <c r="H1743" t="e">
        <f ca="1">BDP("97709TEL Muni","MUNI_TAX_PROV")</f>
        <v>#NAME?</v>
      </c>
      <c r="I1743" t="e">
        <f ca="1">BDP("97709TEL Muni","FINANCING_TYPE")</f>
        <v>#NAME?</v>
      </c>
      <c r="J1743" t="e">
        <f ca="1">BDP("97709TEL Muni","BICS_LEVEL_2_INDUSTRY_GROUP_NAME")</f>
        <v>#NAME?</v>
      </c>
      <c r="K1743" t="e">
        <f ca="1">BDP("97709TEL Muni","SELF_REPRTD_GREEN_INSTR_INDCTR")</f>
        <v>#NAME?</v>
      </c>
      <c r="L1743" t="e">
        <f ca="1">BDP("97709TEL Muni","GB_MANAGEMENT_PROCEEDS")</f>
        <v>#NAME?</v>
      </c>
      <c r="M1743" t="e">
        <f ca="1">BDP("97709TEL Muni","GB_REPORTING")</f>
        <v>#NAME?</v>
      </c>
      <c r="N1743" t="e">
        <f ca="1">BDP("97709TEL Muni","GB_ASSURANCE_PROVIDERS")</f>
        <v>#NAME?</v>
      </c>
      <c r="O1743" t="e">
        <f ca="1">BDP("97709TEL Muni","GB_PROJECT_SELECTION_PROCESS")</f>
        <v>#NAME?</v>
      </c>
      <c r="P1743" t="e">
        <f ca="1">BDP("97709TEL Muni","ESG_FRAMEWORK_INDICATOR")</f>
        <v>#NAME?</v>
      </c>
      <c r="Q1743" t="e">
        <f ca="1">BDP("97709TEL Muni","BLOOMBERG_SECTOR_CODE")</f>
        <v>#NAME?</v>
      </c>
      <c r="R1743" t="e">
        <f ca="1">BDP("97709TEL Muni","ISSUER_TYPE")</f>
        <v>#NAME?</v>
      </c>
      <c r="S1743" t="e">
        <f ca="1">BDS("97709TEL Muni","ESG_PROJECT_CATEGORY", "aggregate=y")</f>
        <v>#NAME?</v>
      </c>
      <c r="T1743" t="e">
        <f ca="1">BDS("97709TEL Muni","ESG_PROJECT_SUBCATEGORY", "aggregate=y")</f>
        <v>#NAME?</v>
      </c>
    </row>
    <row r="1744" spans="1:20" x14ac:dyDescent="0.25">
      <c r="A1744" t="e">
        <f ca="1">BDP("97709TEM Muni","ID_CUSIP")</f>
        <v>#NAME?</v>
      </c>
      <c r="B1744" t="e">
        <f ca="1">BDP("97709TEM Muni","STATE_CODE")</f>
        <v>#NAME?</v>
      </c>
      <c r="C1744" t="s">
        <v>105</v>
      </c>
      <c r="D1744" t="e">
        <f ca="1">BDP("97709TEM Muni","YIELD_ON_ISSUE_DATE")</f>
        <v>#NAME?</v>
      </c>
      <c r="E1744">
        <v>6550000</v>
      </c>
      <c r="F1744" t="e">
        <f ca="1">BDP("97709TEM Muni","ISSUE_DT")</f>
        <v>#NAME?</v>
      </c>
      <c r="G1744" t="e">
        <f ca="1">BDP("97709TEM Muni","MATURITY")</f>
        <v>#NAME?</v>
      </c>
      <c r="H1744" t="e">
        <f ca="1">BDP("97709TEM Muni","MUNI_TAX_PROV")</f>
        <v>#NAME?</v>
      </c>
      <c r="I1744" t="e">
        <f ca="1">BDP("97709TEM Muni","FINANCING_TYPE")</f>
        <v>#NAME?</v>
      </c>
      <c r="J1744" t="e">
        <f ca="1">BDP("97709TEM Muni","BICS_LEVEL_2_INDUSTRY_GROUP_NAME")</f>
        <v>#NAME?</v>
      </c>
      <c r="K1744" t="e">
        <f ca="1">BDP("97709TEM Muni","SELF_REPRTD_GREEN_INSTR_INDCTR")</f>
        <v>#NAME?</v>
      </c>
      <c r="L1744" t="e">
        <f ca="1">BDP("97709TEM Muni","GB_MANAGEMENT_PROCEEDS")</f>
        <v>#NAME?</v>
      </c>
      <c r="M1744" t="e">
        <f ca="1">BDP("97709TEM Muni","GB_REPORTING")</f>
        <v>#NAME?</v>
      </c>
      <c r="N1744" t="e">
        <f ca="1">BDP("97709TEM Muni","GB_ASSURANCE_PROVIDERS")</f>
        <v>#NAME?</v>
      </c>
      <c r="O1744" t="e">
        <f ca="1">BDP("97709TEM Muni","GB_PROJECT_SELECTION_PROCESS")</f>
        <v>#NAME?</v>
      </c>
      <c r="P1744" t="e">
        <f ca="1">BDP("97709TEM Muni","ESG_FRAMEWORK_INDICATOR")</f>
        <v>#NAME?</v>
      </c>
      <c r="Q1744" t="e">
        <f ca="1">BDP("97709TEM Muni","BLOOMBERG_SECTOR_CODE")</f>
        <v>#NAME?</v>
      </c>
      <c r="R1744" t="e">
        <f ca="1">BDP("97709TEM Muni","ISSUER_TYPE")</f>
        <v>#NAME?</v>
      </c>
      <c r="S1744" t="e">
        <f ca="1">BDS("97709TEM Muni","ESG_PROJECT_CATEGORY", "aggregate=y")</f>
        <v>#NAME?</v>
      </c>
      <c r="T1744" t="e">
        <f ca="1">BDS("97709TEM Muni","ESG_PROJECT_SUBCATEGORY", "aggregate=y")</f>
        <v>#NAME?</v>
      </c>
    </row>
    <row r="1745" spans="1:20" x14ac:dyDescent="0.25">
      <c r="A1745" t="e">
        <f ca="1">BDP("97709TEN Muni","ID_CUSIP")</f>
        <v>#NAME?</v>
      </c>
      <c r="B1745" t="e">
        <f ca="1">BDP("97709TEN Muni","STATE_CODE")</f>
        <v>#NAME?</v>
      </c>
      <c r="C1745" t="s">
        <v>105</v>
      </c>
      <c r="D1745" t="e">
        <f ca="1">BDP("97709TEN Muni","YIELD_ON_ISSUE_DATE")</f>
        <v>#NAME?</v>
      </c>
      <c r="E1745">
        <v>6885000</v>
      </c>
      <c r="F1745" t="e">
        <f ca="1">BDP("97709TEN Muni","ISSUE_DT")</f>
        <v>#NAME?</v>
      </c>
      <c r="G1745" t="e">
        <f ca="1">BDP("97709TEN Muni","MATURITY")</f>
        <v>#NAME?</v>
      </c>
      <c r="H1745" t="e">
        <f ca="1">BDP("97709TEN Muni","MUNI_TAX_PROV")</f>
        <v>#NAME?</v>
      </c>
      <c r="I1745" t="e">
        <f ca="1">BDP("97709TEN Muni","FINANCING_TYPE")</f>
        <v>#NAME?</v>
      </c>
      <c r="J1745" t="e">
        <f ca="1">BDP("97709TEN Muni","BICS_LEVEL_2_INDUSTRY_GROUP_NAME")</f>
        <v>#NAME?</v>
      </c>
      <c r="K1745" t="e">
        <f ca="1">BDP("97709TEN Muni","SELF_REPRTD_GREEN_INSTR_INDCTR")</f>
        <v>#NAME?</v>
      </c>
      <c r="L1745" t="e">
        <f ca="1">BDP("97709TEN Muni","GB_MANAGEMENT_PROCEEDS")</f>
        <v>#NAME?</v>
      </c>
      <c r="M1745" t="e">
        <f ca="1">BDP("97709TEN Muni","GB_REPORTING")</f>
        <v>#NAME?</v>
      </c>
      <c r="N1745" t="e">
        <f ca="1">BDP("97709TEN Muni","GB_ASSURANCE_PROVIDERS")</f>
        <v>#NAME?</v>
      </c>
      <c r="O1745" t="e">
        <f ca="1">BDP("97709TEN Muni","GB_PROJECT_SELECTION_PROCESS")</f>
        <v>#NAME?</v>
      </c>
      <c r="P1745" t="e">
        <f ca="1">BDP("97709TEN Muni","ESG_FRAMEWORK_INDICATOR")</f>
        <v>#NAME?</v>
      </c>
      <c r="Q1745" t="e">
        <f ca="1">BDP("97709TEN Muni","BLOOMBERG_SECTOR_CODE")</f>
        <v>#NAME?</v>
      </c>
      <c r="R1745" t="e">
        <f ca="1">BDP("97709TEN Muni","ISSUER_TYPE")</f>
        <v>#NAME?</v>
      </c>
      <c r="S1745" t="e">
        <f ca="1">BDS("97709TEN Muni","ESG_PROJECT_CATEGORY", "aggregate=y")</f>
        <v>#NAME?</v>
      </c>
      <c r="T1745" t="e">
        <f ca="1">BDS("97709TEN Muni","ESG_PROJECT_SUBCATEGORY", "aggregate=y")</f>
        <v>#NAME?</v>
      </c>
    </row>
    <row r="1746" spans="1:20" x14ac:dyDescent="0.25">
      <c r="A1746" t="e">
        <f ca="1">BDP("97709TER Muni","ID_CUSIP")</f>
        <v>#NAME?</v>
      </c>
      <c r="B1746" t="e">
        <f ca="1">BDP("97709TER Muni","STATE_CODE")</f>
        <v>#NAME?</v>
      </c>
      <c r="C1746" t="s">
        <v>105</v>
      </c>
      <c r="D1746" t="e">
        <f ca="1">BDP("97709TER Muni","YIELD_ON_ISSUE_DATE")</f>
        <v>#NAME?</v>
      </c>
      <c r="E1746">
        <v>5730000</v>
      </c>
      <c r="F1746" t="e">
        <f ca="1">BDP("97709TER Muni","ISSUE_DT")</f>
        <v>#NAME?</v>
      </c>
      <c r="G1746" t="e">
        <f ca="1">BDP("97709TER Muni","MATURITY")</f>
        <v>#NAME?</v>
      </c>
      <c r="H1746" t="e">
        <f ca="1">BDP("97709TER Muni","MUNI_TAX_PROV")</f>
        <v>#NAME?</v>
      </c>
      <c r="I1746" t="e">
        <f ca="1">BDP("97709TER Muni","FINANCING_TYPE")</f>
        <v>#NAME?</v>
      </c>
      <c r="J1746" t="e">
        <f ca="1">BDP("97709TER Muni","BICS_LEVEL_2_INDUSTRY_GROUP_NAME")</f>
        <v>#NAME?</v>
      </c>
      <c r="K1746" t="e">
        <f ca="1">BDP("97709TER Muni","SELF_REPRTD_GREEN_INSTR_INDCTR")</f>
        <v>#NAME?</v>
      </c>
      <c r="L1746" t="e">
        <f ca="1">BDP("97709TER Muni","GB_MANAGEMENT_PROCEEDS")</f>
        <v>#NAME?</v>
      </c>
      <c r="M1746" t="e">
        <f ca="1">BDP("97709TER Muni","GB_REPORTING")</f>
        <v>#NAME?</v>
      </c>
      <c r="N1746" t="e">
        <f ca="1">BDP("97709TER Muni","GB_ASSURANCE_PROVIDERS")</f>
        <v>#NAME?</v>
      </c>
      <c r="O1746" t="e">
        <f ca="1">BDP("97709TER Muni","GB_PROJECT_SELECTION_PROCESS")</f>
        <v>#NAME?</v>
      </c>
      <c r="P1746" t="e">
        <f ca="1">BDP("97709TER Muni","ESG_FRAMEWORK_INDICATOR")</f>
        <v>#NAME?</v>
      </c>
      <c r="Q1746" t="e">
        <f ca="1">BDP("97709TER Muni","BLOOMBERG_SECTOR_CODE")</f>
        <v>#NAME?</v>
      </c>
      <c r="R1746" t="e">
        <f ca="1">BDP("97709TER Muni","ISSUER_TYPE")</f>
        <v>#NAME?</v>
      </c>
      <c r="S1746" t="e">
        <f ca="1">BDS("97709TER Muni","ESG_PROJECT_CATEGORY", "aggregate=y")</f>
        <v>#NAME?</v>
      </c>
      <c r="T1746" t="e">
        <f ca="1">BDS("97709TER Muni","ESG_PROJECT_SUBCATEGORY", "aggregate=y")</f>
        <v>#NAME?</v>
      </c>
    </row>
    <row r="1747" spans="1:20" x14ac:dyDescent="0.25">
      <c r="A1747" t="e">
        <f ca="1">BDP("97709TES Muni","ID_CUSIP")</f>
        <v>#NAME?</v>
      </c>
      <c r="B1747" t="e">
        <f ca="1">BDP("97709TES Muni","STATE_CODE")</f>
        <v>#NAME?</v>
      </c>
      <c r="C1747" t="s">
        <v>105</v>
      </c>
      <c r="D1747" t="e">
        <f ca="1">BDP("97709TES Muni","YIELD_ON_ISSUE_DATE")</f>
        <v>#NAME?</v>
      </c>
      <c r="E1747">
        <v>5935000</v>
      </c>
      <c r="F1747" t="e">
        <f ca="1">BDP("97709TES Muni","ISSUE_DT")</f>
        <v>#NAME?</v>
      </c>
      <c r="G1747" t="e">
        <f ca="1">BDP("97709TES Muni","MATURITY")</f>
        <v>#NAME?</v>
      </c>
      <c r="H1747" t="e">
        <f ca="1">BDP("97709TES Muni","MUNI_TAX_PROV")</f>
        <v>#NAME?</v>
      </c>
      <c r="I1747" t="e">
        <f ca="1">BDP("97709TES Muni","FINANCING_TYPE")</f>
        <v>#NAME?</v>
      </c>
      <c r="J1747" t="e">
        <f ca="1">BDP("97709TES Muni","BICS_LEVEL_2_INDUSTRY_GROUP_NAME")</f>
        <v>#NAME?</v>
      </c>
      <c r="K1747" t="e">
        <f ca="1">BDP("97709TES Muni","SELF_REPRTD_GREEN_INSTR_INDCTR")</f>
        <v>#NAME?</v>
      </c>
      <c r="L1747" t="e">
        <f ca="1">BDP("97709TES Muni","GB_MANAGEMENT_PROCEEDS")</f>
        <v>#NAME?</v>
      </c>
      <c r="M1747" t="e">
        <f ca="1">BDP("97709TES Muni","GB_REPORTING")</f>
        <v>#NAME?</v>
      </c>
      <c r="N1747" t="e">
        <f ca="1">BDP("97709TES Muni","GB_ASSURANCE_PROVIDERS")</f>
        <v>#NAME?</v>
      </c>
      <c r="O1747" t="e">
        <f ca="1">BDP("97709TES Muni","GB_PROJECT_SELECTION_PROCESS")</f>
        <v>#NAME?</v>
      </c>
      <c r="P1747" t="e">
        <f ca="1">BDP("97709TES Muni","ESG_FRAMEWORK_INDICATOR")</f>
        <v>#NAME?</v>
      </c>
      <c r="Q1747" t="e">
        <f ca="1">BDP("97709TES Muni","BLOOMBERG_SECTOR_CODE")</f>
        <v>#NAME?</v>
      </c>
      <c r="R1747" t="e">
        <f ca="1">BDP("97709TES Muni","ISSUER_TYPE")</f>
        <v>#NAME?</v>
      </c>
      <c r="S1747" t="e">
        <f ca="1">BDS("97709TES Muni","ESG_PROJECT_CATEGORY", "aggregate=y")</f>
        <v>#NAME?</v>
      </c>
      <c r="T1747" t="e">
        <f ca="1">BDS("97709TES Muni","ESG_PROJECT_SUBCATEGORY", "aggregate=y")</f>
        <v>#NAME?</v>
      </c>
    </row>
    <row r="1748" spans="1:20" x14ac:dyDescent="0.25">
      <c r="A1748" t="e">
        <f ca="1">BDP("97709TEU Muni","ID_CUSIP")</f>
        <v>#NAME?</v>
      </c>
      <c r="B1748" t="e">
        <f ca="1">BDP("97709TEU Muni","STATE_CODE")</f>
        <v>#NAME?</v>
      </c>
      <c r="C1748" t="s">
        <v>105</v>
      </c>
      <c r="D1748" t="e">
        <f ca="1">BDP("97709TEU Muni","YIELD_ON_ISSUE_DATE")</f>
        <v>#NAME?</v>
      </c>
      <c r="E1748">
        <v>6355000</v>
      </c>
      <c r="F1748" t="e">
        <f ca="1">BDP("97709TEU Muni","ISSUE_DT")</f>
        <v>#NAME?</v>
      </c>
      <c r="G1748" t="e">
        <f ca="1">BDP("97709TEU Muni","MATURITY")</f>
        <v>#NAME?</v>
      </c>
      <c r="H1748" t="e">
        <f ca="1">BDP("97709TEU Muni","MUNI_TAX_PROV")</f>
        <v>#NAME?</v>
      </c>
      <c r="I1748" t="e">
        <f ca="1">BDP("97709TEU Muni","FINANCING_TYPE")</f>
        <v>#NAME?</v>
      </c>
      <c r="J1748" t="e">
        <f ca="1">BDP("97709TEU Muni","BICS_LEVEL_2_INDUSTRY_GROUP_NAME")</f>
        <v>#NAME?</v>
      </c>
      <c r="K1748" t="e">
        <f ca="1">BDP("97709TEU Muni","SELF_REPRTD_GREEN_INSTR_INDCTR")</f>
        <v>#NAME?</v>
      </c>
      <c r="L1748" t="e">
        <f ca="1">BDP("97709TEU Muni","GB_MANAGEMENT_PROCEEDS")</f>
        <v>#NAME?</v>
      </c>
      <c r="M1748" t="e">
        <f ca="1">BDP("97709TEU Muni","GB_REPORTING")</f>
        <v>#NAME?</v>
      </c>
      <c r="N1748" t="e">
        <f ca="1">BDP("97709TEU Muni","GB_ASSURANCE_PROVIDERS")</f>
        <v>#NAME?</v>
      </c>
      <c r="O1748" t="e">
        <f ca="1">BDP("97709TEU Muni","GB_PROJECT_SELECTION_PROCESS")</f>
        <v>#NAME?</v>
      </c>
      <c r="P1748" t="e">
        <f ca="1">BDP("97709TEU Muni","ESG_FRAMEWORK_INDICATOR")</f>
        <v>#NAME?</v>
      </c>
      <c r="Q1748" t="e">
        <f ca="1">BDP("97709TEU Muni","BLOOMBERG_SECTOR_CODE")</f>
        <v>#NAME?</v>
      </c>
      <c r="R1748" t="e">
        <f ca="1">BDP("97709TEU Muni","ISSUER_TYPE")</f>
        <v>#NAME?</v>
      </c>
      <c r="S1748" t="e">
        <f ca="1">BDS("97709TEU Muni","ESG_PROJECT_CATEGORY", "aggregate=y")</f>
        <v>#NAME?</v>
      </c>
      <c r="T1748" t="e">
        <f ca="1">BDS("97709TEU Muni","ESG_PROJECT_SUBCATEGORY", "aggregate=y")</f>
        <v>#NAME?</v>
      </c>
    </row>
    <row r="1749" spans="1:20" x14ac:dyDescent="0.25">
      <c r="A1749" t="e">
        <f ca="1">BDP("596697RL Muni","ID_CUSIP")</f>
        <v>#NAME?</v>
      </c>
      <c r="B1749" t="e">
        <f ca="1">BDP("596697RL Muni","STATE_CODE")</f>
        <v>#NAME?</v>
      </c>
      <c r="C1749" t="s">
        <v>106</v>
      </c>
      <c r="D1749" t="e">
        <f ca="1">BDP("596697RL Muni","YIELD_ON_ISSUE_DATE")</f>
        <v>#NAME?</v>
      </c>
      <c r="E1749">
        <v>140000</v>
      </c>
      <c r="F1749" t="e">
        <f ca="1">BDP("596697RL Muni","ISSUE_DT")</f>
        <v>#NAME?</v>
      </c>
      <c r="G1749" t="e">
        <f ca="1">BDP("596697RL Muni","MATURITY")</f>
        <v>#NAME?</v>
      </c>
      <c r="H1749" t="e">
        <f ca="1">BDP("596697RL Muni","MUNI_TAX_PROV")</f>
        <v>#NAME?</v>
      </c>
      <c r="I1749" t="e">
        <f ca="1">BDP("596697RL Muni","FINANCING_TYPE")</f>
        <v>#NAME?</v>
      </c>
      <c r="J1749" t="e">
        <f ca="1">BDP("596697RL Muni","BICS_LEVEL_2_INDUSTRY_GROUP_NAME")</f>
        <v>#NAME?</v>
      </c>
      <c r="K1749" t="e">
        <f ca="1">BDP("596697RL Muni","SELF_REPRTD_GREEN_INSTR_INDCTR")</f>
        <v>#NAME?</v>
      </c>
      <c r="L1749" t="e">
        <f ca="1">BDP("596697RL Muni","GB_MANAGEMENT_PROCEEDS")</f>
        <v>#NAME?</v>
      </c>
      <c r="M1749" t="e">
        <f ca="1">BDP("596697RL Muni","GB_REPORTING")</f>
        <v>#NAME?</v>
      </c>
      <c r="N1749" t="e">
        <f ca="1">BDP("596697RL Muni","GB_ASSURANCE_PROVIDERS")</f>
        <v>#NAME?</v>
      </c>
      <c r="O1749" t="e">
        <f ca="1">BDP("596697RL Muni","GB_PROJECT_SELECTION_PROCESS")</f>
        <v>#NAME?</v>
      </c>
      <c r="P1749" t="e">
        <f ca="1">BDP("596697RL Muni","ESG_FRAMEWORK_INDICATOR")</f>
        <v>#NAME?</v>
      </c>
      <c r="Q1749" t="e">
        <f ca="1">BDP("596697RL Muni","BLOOMBERG_SECTOR_CODE")</f>
        <v>#NAME?</v>
      </c>
      <c r="R1749" t="e">
        <f ca="1">BDP("596697RL Muni","ISSUER_TYPE")</f>
        <v>#NAME?</v>
      </c>
      <c r="S1749" t="e">
        <f ca="1">BDS("596697RL Muni","ESG_PROJECT_CATEGORY", "aggregate=y")</f>
        <v>#NAME?</v>
      </c>
      <c r="T1749" t="e">
        <f ca="1">BDS("596697RL Muni","ESG_PROJECT_SUBCATEGORY", "aggregate=y")</f>
        <v>#NAME?</v>
      </c>
    </row>
    <row r="1750" spans="1:20" x14ac:dyDescent="0.25">
      <c r="A1750" t="e">
        <f ca="1">BDP("596697RN Muni","ID_CUSIP")</f>
        <v>#NAME?</v>
      </c>
      <c r="B1750" t="e">
        <f ca="1">BDP("596697RN Muni","STATE_CODE")</f>
        <v>#NAME?</v>
      </c>
      <c r="C1750" t="s">
        <v>106</v>
      </c>
      <c r="D1750" t="e">
        <f ca="1">BDP("596697RN Muni","YIELD_ON_ISSUE_DATE")</f>
        <v>#NAME?</v>
      </c>
      <c r="E1750">
        <v>200000</v>
      </c>
      <c r="F1750" t="e">
        <f ca="1">BDP("596697RN Muni","ISSUE_DT")</f>
        <v>#NAME?</v>
      </c>
      <c r="G1750" t="e">
        <f ca="1">BDP("596697RN Muni","MATURITY")</f>
        <v>#NAME?</v>
      </c>
      <c r="H1750" t="e">
        <f ca="1">BDP("596697RN Muni","MUNI_TAX_PROV")</f>
        <v>#NAME?</v>
      </c>
      <c r="I1750" t="e">
        <f ca="1">BDP("596697RN Muni","FINANCING_TYPE")</f>
        <v>#NAME?</v>
      </c>
      <c r="J1750" t="e">
        <f ca="1">BDP("596697RN Muni","BICS_LEVEL_2_INDUSTRY_GROUP_NAME")</f>
        <v>#NAME?</v>
      </c>
      <c r="K1750" t="e">
        <f ca="1">BDP("596697RN Muni","SELF_REPRTD_GREEN_INSTR_INDCTR")</f>
        <v>#NAME?</v>
      </c>
      <c r="L1750" t="e">
        <f ca="1">BDP("596697RN Muni","GB_MANAGEMENT_PROCEEDS")</f>
        <v>#NAME?</v>
      </c>
      <c r="M1750" t="e">
        <f ca="1">BDP("596697RN Muni","GB_REPORTING")</f>
        <v>#NAME?</v>
      </c>
      <c r="N1750" t="e">
        <f ca="1">BDP("596697RN Muni","GB_ASSURANCE_PROVIDERS")</f>
        <v>#NAME?</v>
      </c>
      <c r="O1750" t="e">
        <f ca="1">BDP("596697RN Muni","GB_PROJECT_SELECTION_PROCESS")</f>
        <v>#NAME?</v>
      </c>
      <c r="P1750" t="e">
        <f ca="1">BDP("596697RN Muni","ESG_FRAMEWORK_INDICATOR")</f>
        <v>#NAME?</v>
      </c>
      <c r="Q1750" t="e">
        <f ca="1">BDP("596697RN Muni","BLOOMBERG_SECTOR_CODE")</f>
        <v>#NAME?</v>
      </c>
      <c r="R1750" t="e">
        <f ca="1">BDP("596697RN Muni","ISSUER_TYPE")</f>
        <v>#NAME?</v>
      </c>
      <c r="S1750" t="e">
        <f ca="1">BDS("596697RN Muni","ESG_PROJECT_CATEGORY", "aggregate=y")</f>
        <v>#NAME?</v>
      </c>
      <c r="T1750" t="e">
        <f ca="1">BDS("596697RN Muni","ESG_PROJECT_SUBCATEGORY", "aggregate=y")</f>
        <v>#NAME?</v>
      </c>
    </row>
    <row r="1751" spans="1:20" x14ac:dyDescent="0.25">
      <c r="A1751" t="e">
        <f ca="1">BDP("596697RP Muni","ID_CUSIP")</f>
        <v>#NAME?</v>
      </c>
      <c r="B1751" t="e">
        <f ca="1">BDP("596697RP Muni","STATE_CODE")</f>
        <v>#NAME?</v>
      </c>
      <c r="C1751" t="s">
        <v>106</v>
      </c>
      <c r="D1751" t="e">
        <f ca="1">BDP("596697RP Muni","YIELD_ON_ISSUE_DATE")</f>
        <v>#NAME?</v>
      </c>
      <c r="E1751">
        <v>215000</v>
      </c>
      <c r="F1751" t="e">
        <f ca="1">BDP("596697RP Muni","ISSUE_DT")</f>
        <v>#NAME?</v>
      </c>
      <c r="G1751" t="e">
        <f ca="1">BDP("596697RP Muni","MATURITY")</f>
        <v>#NAME?</v>
      </c>
      <c r="H1751" t="e">
        <f ca="1">BDP("596697RP Muni","MUNI_TAX_PROV")</f>
        <v>#NAME?</v>
      </c>
      <c r="I1751" t="e">
        <f ca="1">BDP("596697RP Muni","FINANCING_TYPE")</f>
        <v>#NAME?</v>
      </c>
      <c r="J1751" t="e">
        <f ca="1">BDP("596697RP Muni","BICS_LEVEL_2_INDUSTRY_GROUP_NAME")</f>
        <v>#NAME?</v>
      </c>
      <c r="K1751" t="e">
        <f ca="1">BDP("596697RP Muni","SELF_REPRTD_GREEN_INSTR_INDCTR")</f>
        <v>#NAME?</v>
      </c>
      <c r="L1751" t="e">
        <f ca="1">BDP("596697RP Muni","GB_MANAGEMENT_PROCEEDS")</f>
        <v>#NAME?</v>
      </c>
      <c r="M1751" t="e">
        <f ca="1">BDP("596697RP Muni","GB_REPORTING")</f>
        <v>#NAME?</v>
      </c>
      <c r="N1751" t="e">
        <f ca="1">BDP("596697RP Muni","GB_ASSURANCE_PROVIDERS")</f>
        <v>#NAME?</v>
      </c>
      <c r="O1751" t="e">
        <f ca="1">BDP("596697RP Muni","GB_PROJECT_SELECTION_PROCESS")</f>
        <v>#NAME?</v>
      </c>
      <c r="P1751" t="e">
        <f ca="1">BDP("596697RP Muni","ESG_FRAMEWORK_INDICATOR")</f>
        <v>#NAME?</v>
      </c>
      <c r="Q1751" t="e">
        <f ca="1">BDP("596697RP Muni","BLOOMBERG_SECTOR_CODE")</f>
        <v>#NAME?</v>
      </c>
      <c r="R1751" t="e">
        <f ca="1">BDP("596697RP Muni","ISSUER_TYPE")</f>
        <v>#NAME?</v>
      </c>
      <c r="S1751" t="e">
        <f ca="1">BDS("596697RP Muni","ESG_PROJECT_CATEGORY", "aggregate=y")</f>
        <v>#NAME?</v>
      </c>
      <c r="T1751" t="e">
        <f ca="1">BDS("596697RP Muni","ESG_PROJECT_SUBCATEGORY", "aggregate=y")</f>
        <v>#NAME?</v>
      </c>
    </row>
    <row r="1752" spans="1:20" x14ac:dyDescent="0.25">
      <c r="A1752" t="e">
        <f ca="1">BDP("596697RQ Muni","ID_CUSIP")</f>
        <v>#NAME?</v>
      </c>
      <c r="B1752" t="e">
        <f ca="1">BDP("596697RQ Muni","STATE_CODE")</f>
        <v>#NAME?</v>
      </c>
      <c r="C1752" t="s">
        <v>106</v>
      </c>
      <c r="D1752" t="e">
        <f ca="1">BDP("596697RQ Muni","YIELD_ON_ISSUE_DATE")</f>
        <v>#NAME?</v>
      </c>
      <c r="E1752">
        <v>225000</v>
      </c>
      <c r="F1752" t="e">
        <f ca="1">BDP("596697RQ Muni","ISSUE_DT")</f>
        <v>#NAME?</v>
      </c>
      <c r="G1752" t="e">
        <f ca="1">BDP("596697RQ Muni","MATURITY")</f>
        <v>#NAME?</v>
      </c>
      <c r="H1752" t="e">
        <f ca="1">BDP("596697RQ Muni","MUNI_TAX_PROV")</f>
        <v>#NAME?</v>
      </c>
      <c r="I1752" t="e">
        <f ca="1">BDP("596697RQ Muni","FINANCING_TYPE")</f>
        <v>#NAME?</v>
      </c>
      <c r="J1752" t="e">
        <f ca="1">BDP("596697RQ Muni","BICS_LEVEL_2_INDUSTRY_GROUP_NAME")</f>
        <v>#NAME?</v>
      </c>
      <c r="K1752" t="e">
        <f ca="1">BDP("596697RQ Muni","SELF_REPRTD_GREEN_INSTR_INDCTR")</f>
        <v>#NAME?</v>
      </c>
      <c r="L1752" t="e">
        <f ca="1">BDP("596697RQ Muni","GB_MANAGEMENT_PROCEEDS")</f>
        <v>#NAME?</v>
      </c>
      <c r="M1752" t="e">
        <f ca="1">BDP("596697RQ Muni","GB_REPORTING")</f>
        <v>#NAME?</v>
      </c>
      <c r="N1752" t="e">
        <f ca="1">BDP("596697RQ Muni","GB_ASSURANCE_PROVIDERS")</f>
        <v>#NAME?</v>
      </c>
      <c r="O1752" t="e">
        <f ca="1">BDP("596697RQ Muni","GB_PROJECT_SELECTION_PROCESS")</f>
        <v>#NAME?</v>
      </c>
      <c r="P1752" t="e">
        <f ca="1">BDP("596697RQ Muni","ESG_FRAMEWORK_INDICATOR")</f>
        <v>#NAME?</v>
      </c>
      <c r="Q1752" t="e">
        <f ca="1">BDP("596697RQ Muni","BLOOMBERG_SECTOR_CODE")</f>
        <v>#NAME?</v>
      </c>
      <c r="R1752" t="e">
        <f ca="1">BDP("596697RQ Muni","ISSUER_TYPE")</f>
        <v>#NAME?</v>
      </c>
      <c r="S1752" t="e">
        <f ca="1">BDS("596697RQ Muni","ESG_PROJECT_CATEGORY", "aggregate=y")</f>
        <v>#NAME?</v>
      </c>
      <c r="T1752" t="e">
        <f ca="1">BDS("596697RQ Muni","ESG_PROJECT_SUBCATEGORY", "aggregate=y")</f>
        <v>#NAME?</v>
      </c>
    </row>
    <row r="1753" spans="1:20" x14ac:dyDescent="0.25">
      <c r="A1753" t="e">
        <f ca="1">BDP("596697RT Muni","ID_CUSIP")</f>
        <v>#NAME?</v>
      </c>
      <c r="B1753" t="e">
        <f ca="1">BDP("596697RT Muni","STATE_CODE")</f>
        <v>#NAME?</v>
      </c>
      <c r="C1753" t="s">
        <v>106</v>
      </c>
      <c r="D1753" t="e">
        <f ca="1">BDP("596697RT Muni","YIELD_ON_ISSUE_DATE")</f>
        <v>#NAME?</v>
      </c>
      <c r="E1753">
        <v>260000</v>
      </c>
      <c r="F1753" t="e">
        <f ca="1">BDP("596697RT Muni","ISSUE_DT")</f>
        <v>#NAME?</v>
      </c>
      <c r="G1753" t="e">
        <f ca="1">BDP("596697RT Muni","MATURITY")</f>
        <v>#NAME?</v>
      </c>
      <c r="H1753" t="e">
        <f ca="1">BDP("596697RT Muni","MUNI_TAX_PROV")</f>
        <v>#NAME?</v>
      </c>
      <c r="I1753" t="e">
        <f ca="1">BDP("596697RT Muni","FINANCING_TYPE")</f>
        <v>#NAME?</v>
      </c>
      <c r="J1753" t="e">
        <f ca="1">BDP("596697RT Muni","BICS_LEVEL_2_INDUSTRY_GROUP_NAME")</f>
        <v>#NAME?</v>
      </c>
      <c r="K1753" t="e">
        <f ca="1">BDP("596697RT Muni","SELF_REPRTD_GREEN_INSTR_INDCTR")</f>
        <v>#NAME?</v>
      </c>
      <c r="L1753" t="e">
        <f ca="1">BDP("596697RT Muni","GB_MANAGEMENT_PROCEEDS")</f>
        <v>#NAME?</v>
      </c>
      <c r="M1753" t="e">
        <f ca="1">BDP("596697RT Muni","GB_REPORTING")</f>
        <v>#NAME?</v>
      </c>
      <c r="N1753" t="e">
        <f ca="1">BDP("596697RT Muni","GB_ASSURANCE_PROVIDERS")</f>
        <v>#NAME?</v>
      </c>
      <c r="O1753" t="e">
        <f ca="1">BDP("596697RT Muni","GB_PROJECT_SELECTION_PROCESS")</f>
        <v>#NAME?</v>
      </c>
      <c r="P1753" t="e">
        <f ca="1">BDP("596697RT Muni","ESG_FRAMEWORK_INDICATOR")</f>
        <v>#NAME?</v>
      </c>
      <c r="Q1753" t="e">
        <f ca="1">BDP("596697RT Muni","BLOOMBERG_SECTOR_CODE")</f>
        <v>#NAME?</v>
      </c>
      <c r="R1753" t="e">
        <f ca="1">BDP("596697RT Muni","ISSUER_TYPE")</f>
        <v>#NAME?</v>
      </c>
      <c r="S1753" t="e">
        <f ca="1">BDS("596697RT Muni","ESG_PROJECT_CATEGORY", "aggregate=y")</f>
        <v>#NAME?</v>
      </c>
      <c r="T1753" t="e">
        <f ca="1">BDS("596697RT Muni","ESG_PROJECT_SUBCATEGORY", "aggregate=y")</f>
        <v>#NAME?</v>
      </c>
    </row>
    <row r="1754" spans="1:20" x14ac:dyDescent="0.25">
      <c r="A1754" t="e">
        <f ca="1">BDP("596697RW Muni","ID_CUSIP")</f>
        <v>#NAME?</v>
      </c>
      <c r="B1754" t="e">
        <f ca="1">BDP("596697RW Muni","STATE_CODE")</f>
        <v>#NAME?</v>
      </c>
      <c r="C1754" t="s">
        <v>106</v>
      </c>
      <c r="D1754" t="e">
        <f ca="1">BDP("596697RW Muni","YIELD_ON_ISSUE_DATE")</f>
        <v>#NAME?</v>
      </c>
      <c r="E1754">
        <v>600000</v>
      </c>
      <c r="F1754" t="e">
        <f ca="1">BDP("596697RW Muni","ISSUE_DT")</f>
        <v>#NAME?</v>
      </c>
      <c r="G1754" t="e">
        <f ca="1">BDP("596697RW Muni","MATURITY")</f>
        <v>#NAME?</v>
      </c>
      <c r="H1754" t="e">
        <f ca="1">BDP("596697RW Muni","MUNI_TAX_PROV")</f>
        <v>#NAME?</v>
      </c>
      <c r="I1754" t="e">
        <f ca="1">BDP("596697RW Muni","FINANCING_TYPE")</f>
        <v>#NAME?</v>
      </c>
      <c r="J1754" t="e">
        <f ca="1">BDP("596697RW Muni","BICS_LEVEL_2_INDUSTRY_GROUP_NAME")</f>
        <v>#NAME?</v>
      </c>
      <c r="K1754" t="e">
        <f ca="1">BDP("596697RW Muni","SELF_REPRTD_GREEN_INSTR_INDCTR")</f>
        <v>#NAME?</v>
      </c>
      <c r="L1754" t="e">
        <f ca="1">BDP("596697RW Muni","GB_MANAGEMENT_PROCEEDS")</f>
        <v>#NAME?</v>
      </c>
      <c r="M1754" t="e">
        <f ca="1">BDP("596697RW Muni","GB_REPORTING")</f>
        <v>#NAME?</v>
      </c>
      <c r="N1754" t="e">
        <f ca="1">BDP("596697RW Muni","GB_ASSURANCE_PROVIDERS")</f>
        <v>#NAME?</v>
      </c>
      <c r="O1754" t="e">
        <f ca="1">BDP("596697RW Muni","GB_PROJECT_SELECTION_PROCESS")</f>
        <v>#NAME?</v>
      </c>
      <c r="P1754" t="e">
        <f ca="1">BDP("596697RW Muni","ESG_FRAMEWORK_INDICATOR")</f>
        <v>#NAME?</v>
      </c>
      <c r="Q1754" t="e">
        <f ca="1">BDP("596697RW Muni","BLOOMBERG_SECTOR_CODE")</f>
        <v>#NAME?</v>
      </c>
      <c r="R1754" t="e">
        <f ca="1">BDP("596697RW Muni","ISSUER_TYPE")</f>
        <v>#NAME?</v>
      </c>
      <c r="S1754" t="e">
        <f ca="1">BDS("596697RW Muni","ESG_PROJECT_CATEGORY", "aggregate=y")</f>
        <v>#NAME?</v>
      </c>
      <c r="T1754" t="e">
        <f ca="1">BDS("596697RW Muni","ESG_PROJECT_SUBCATEGORY", "aggregate=y")</f>
        <v>#NAME?</v>
      </c>
    </row>
    <row r="1755" spans="1:20" x14ac:dyDescent="0.25">
      <c r="A1755" t="e">
        <f ca="1">BDP("596697RZ Muni","ID_CUSIP")</f>
        <v>#NAME?</v>
      </c>
      <c r="B1755" t="e">
        <f ca="1">BDP("596697RZ Muni","STATE_CODE")</f>
        <v>#NAME?</v>
      </c>
      <c r="C1755" t="s">
        <v>106</v>
      </c>
      <c r="D1755" t="e">
        <f ca="1">BDP("596697RZ Muni","YIELD_ON_ISSUE_DATE")</f>
        <v>#NAME?</v>
      </c>
      <c r="E1755">
        <v>375000</v>
      </c>
      <c r="F1755" t="e">
        <f ca="1">BDP("596697RZ Muni","ISSUE_DT")</f>
        <v>#NAME?</v>
      </c>
      <c r="G1755" t="e">
        <f ca="1">BDP("596697RZ Muni","MATURITY")</f>
        <v>#NAME?</v>
      </c>
      <c r="H1755" t="e">
        <f ca="1">BDP("596697RZ Muni","MUNI_TAX_PROV")</f>
        <v>#NAME?</v>
      </c>
      <c r="I1755" t="e">
        <f ca="1">BDP("596697RZ Muni","FINANCING_TYPE")</f>
        <v>#NAME?</v>
      </c>
      <c r="J1755" t="e">
        <f ca="1">BDP("596697RZ Muni","BICS_LEVEL_2_INDUSTRY_GROUP_NAME")</f>
        <v>#NAME?</v>
      </c>
      <c r="K1755" t="e">
        <f ca="1">BDP("596697RZ Muni","SELF_REPRTD_GREEN_INSTR_INDCTR")</f>
        <v>#NAME?</v>
      </c>
      <c r="L1755" t="e">
        <f ca="1">BDP("596697RZ Muni","GB_MANAGEMENT_PROCEEDS")</f>
        <v>#NAME?</v>
      </c>
      <c r="M1755" t="e">
        <f ca="1">BDP("596697RZ Muni","GB_REPORTING")</f>
        <v>#NAME?</v>
      </c>
      <c r="N1755" t="e">
        <f ca="1">BDP("596697RZ Muni","GB_ASSURANCE_PROVIDERS")</f>
        <v>#NAME?</v>
      </c>
      <c r="O1755" t="e">
        <f ca="1">BDP("596697RZ Muni","GB_PROJECT_SELECTION_PROCESS")</f>
        <v>#NAME?</v>
      </c>
      <c r="P1755" t="e">
        <f ca="1">BDP("596697RZ Muni","ESG_FRAMEWORK_INDICATOR")</f>
        <v>#NAME?</v>
      </c>
      <c r="Q1755" t="e">
        <f ca="1">BDP("596697RZ Muni","BLOOMBERG_SECTOR_CODE")</f>
        <v>#NAME?</v>
      </c>
      <c r="R1755" t="e">
        <f ca="1">BDP("596697RZ Muni","ISSUER_TYPE")</f>
        <v>#NAME?</v>
      </c>
      <c r="S1755" t="e">
        <f ca="1">BDS("596697RZ Muni","ESG_PROJECT_CATEGORY", "aggregate=y")</f>
        <v>#NAME?</v>
      </c>
      <c r="T1755" t="e">
        <f ca="1">BDS("596697RZ Muni","ESG_PROJECT_SUBCATEGORY", "aggregate=y")</f>
        <v>#NAME?</v>
      </c>
    </row>
    <row r="1756" spans="1:20" x14ac:dyDescent="0.25">
      <c r="A1756" t="e">
        <f ca="1">BDP("596697SA Muni","ID_CUSIP")</f>
        <v>#NAME?</v>
      </c>
      <c r="B1756" t="e">
        <f ca="1">BDP("596697SA Muni","STATE_CODE")</f>
        <v>#NAME?</v>
      </c>
      <c r="C1756" t="s">
        <v>106</v>
      </c>
      <c r="D1756" t="e">
        <f ca="1">BDP("596697SA Muni","YIELD_ON_ISSUE_DATE")</f>
        <v>#NAME?</v>
      </c>
      <c r="E1756">
        <v>390000</v>
      </c>
      <c r="F1756" t="e">
        <f ca="1">BDP("596697SA Muni","ISSUE_DT")</f>
        <v>#NAME?</v>
      </c>
      <c r="G1756" t="e">
        <f ca="1">BDP("596697SA Muni","MATURITY")</f>
        <v>#NAME?</v>
      </c>
      <c r="H1756" t="e">
        <f ca="1">BDP("596697SA Muni","MUNI_TAX_PROV")</f>
        <v>#NAME?</v>
      </c>
      <c r="I1756" t="e">
        <f ca="1">BDP("596697SA Muni","FINANCING_TYPE")</f>
        <v>#NAME?</v>
      </c>
      <c r="J1756" t="e">
        <f ca="1">BDP("596697SA Muni","BICS_LEVEL_2_INDUSTRY_GROUP_NAME")</f>
        <v>#NAME?</v>
      </c>
      <c r="K1756" t="e">
        <f ca="1">BDP("596697SA Muni","SELF_REPRTD_GREEN_INSTR_INDCTR")</f>
        <v>#NAME?</v>
      </c>
      <c r="L1756" t="e">
        <f ca="1">BDP("596697SA Muni","GB_MANAGEMENT_PROCEEDS")</f>
        <v>#NAME?</v>
      </c>
      <c r="M1756" t="e">
        <f ca="1">BDP("596697SA Muni","GB_REPORTING")</f>
        <v>#NAME?</v>
      </c>
      <c r="N1756" t="e">
        <f ca="1">BDP("596697SA Muni","GB_ASSURANCE_PROVIDERS")</f>
        <v>#NAME?</v>
      </c>
      <c r="O1756" t="e">
        <f ca="1">BDP("596697SA Muni","GB_PROJECT_SELECTION_PROCESS")</f>
        <v>#NAME?</v>
      </c>
      <c r="P1756" t="e">
        <f ca="1">BDP("596697SA Muni","ESG_FRAMEWORK_INDICATOR")</f>
        <v>#NAME?</v>
      </c>
      <c r="Q1756" t="e">
        <f ca="1">BDP("596697SA Muni","BLOOMBERG_SECTOR_CODE")</f>
        <v>#NAME?</v>
      </c>
      <c r="R1756" t="e">
        <f ca="1">BDP("596697SA Muni","ISSUER_TYPE")</f>
        <v>#NAME?</v>
      </c>
      <c r="S1756" t="e">
        <f ca="1">BDS("596697SA Muni","ESG_PROJECT_CATEGORY", "aggregate=y")</f>
        <v>#NAME?</v>
      </c>
      <c r="T1756" t="e">
        <f ca="1">BDS("596697SA Muni","ESG_PROJECT_SUBCATEGORY", "aggregate=y")</f>
        <v>#NAME?</v>
      </c>
    </row>
    <row r="1757" spans="1:20" x14ac:dyDescent="0.25">
      <c r="A1757" t="e">
        <f ca="1">BDP("596697SB Muni","ID_CUSIP")</f>
        <v>#NAME?</v>
      </c>
      <c r="B1757" t="e">
        <f ca="1">BDP("596697SB Muni","STATE_CODE")</f>
        <v>#NAME?</v>
      </c>
      <c r="C1757" t="s">
        <v>106</v>
      </c>
      <c r="D1757" t="e">
        <f ca="1">BDP("596697SB Muni","YIELD_ON_ISSUE_DATE")</f>
        <v>#NAME?</v>
      </c>
      <c r="E1757">
        <v>405000</v>
      </c>
      <c r="F1757" t="e">
        <f ca="1">BDP("596697SB Muni","ISSUE_DT")</f>
        <v>#NAME?</v>
      </c>
      <c r="G1757" t="e">
        <f ca="1">BDP("596697SB Muni","MATURITY")</f>
        <v>#NAME?</v>
      </c>
      <c r="H1757" t="e">
        <f ca="1">BDP("596697SB Muni","MUNI_TAX_PROV")</f>
        <v>#NAME?</v>
      </c>
      <c r="I1757" t="e">
        <f ca="1">BDP("596697SB Muni","FINANCING_TYPE")</f>
        <v>#NAME?</v>
      </c>
      <c r="J1757" t="e">
        <f ca="1">BDP("596697SB Muni","BICS_LEVEL_2_INDUSTRY_GROUP_NAME")</f>
        <v>#NAME?</v>
      </c>
      <c r="K1757" t="e">
        <f ca="1">BDP("596697SB Muni","SELF_REPRTD_GREEN_INSTR_INDCTR")</f>
        <v>#NAME?</v>
      </c>
      <c r="L1757" t="e">
        <f ca="1">BDP("596697SB Muni","GB_MANAGEMENT_PROCEEDS")</f>
        <v>#NAME?</v>
      </c>
      <c r="M1757" t="e">
        <f ca="1">BDP("596697SB Muni","GB_REPORTING")</f>
        <v>#NAME?</v>
      </c>
      <c r="N1757" t="e">
        <f ca="1">BDP("596697SB Muni","GB_ASSURANCE_PROVIDERS")</f>
        <v>#NAME?</v>
      </c>
      <c r="O1757" t="e">
        <f ca="1">BDP("596697SB Muni","GB_PROJECT_SELECTION_PROCESS")</f>
        <v>#NAME?</v>
      </c>
      <c r="P1757" t="e">
        <f ca="1">BDP("596697SB Muni","ESG_FRAMEWORK_INDICATOR")</f>
        <v>#NAME?</v>
      </c>
      <c r="Q1757" t="e">
        <f ca="1">BDP("596697SB Muni","BLOOMBERG_SECTOR_CODE")</f>
        <v>#NAME?</v>
      </c>
      <c r="R1757" t="e">
        <f ca="1">BDP("596697SB Muni","ISSUER_TYPE")</f>
        <v>#NAME?</v>
      </c>
      <c r="S1757" t="e">
        <f ca="1">BDS("596697SB Muni","ESG_PROJECT_CATEGORY", "aggregate=y")</f>
        <v>#NAME?</v>
      </c>
      <c r="T1757" t="e">
        <f ca="1">BDS("596697SB Muni","ESG_PROJECT_SUBCATEGORY", "aggregate=y")</f>
        <v>#NAME?</v>
      </c>
    </row>
    <row r="1758" spans="1:20" x14ac:dyDescent="0.25">
      <c r="A1758" t="e">
        <f ca="1">BDP("596697SC Muni","ID_CUSIP")</f>
        <v>#NAME?</v>
      </c>
      <c r="B1758" t="e">
        <f ca="1">BDP("596697SC Muni","STATE_CODE")</f>
        <v>#NAME?</v>
      </c>
      <c r="C1758" t="s">
        <v>106</v>
      </c>
      <c r="D1758" t="e">
        <f ca="1">BDP("596697SC Muni","YIELD_ON_ISSUE_DATE")</f>
        <v>#NAME?</v>
      </c>
      <c r="E1758">
        <v>420000</v>
      </c>
      <c r="F1758" t="e">
        <f ca="1">BDP("596697SC Muni","ISSUE_DT")</f>
        <v>#NAME?</v>
      </c>
      <c r="G1758" t="e">
        <f ca="1">BDP("596697SC Muni","MATURITY")</f>
        <v>#NAME?</v>
      </c>
      <c r="H1758" t="e">
        <f ca="1">BDP("596697SC Muni","MUNI_TAX_PROV")</f>
        <v>#NAME?</v>
      </c>
      <c r="I1758" t="e">
        <f ca="1">BDP("596697SC Muni","FINANCING_TYPE")</f>
        <v>#NAME?</v>
      </c>
      <c r="J1758" t="e">
        <f ca="1">BDP("596697SC Muni","BICS_LEVEL_2_INDUSTRY_GROUP_NAME")</f>
        <v>#NAME?</v>
      </c>
      <c r="K1758" t="e">
        <f ca="1">BDP("596697SC Muni","SELF_REPRTD_GREEN_INSTR_INDCTR")</f>
        <v>#NAME?</v>
      </c>
      <c r="L1758" t="e">
        <f ca="1">BDP("596697SC Muni","GB_MANAGEMENT_PROCEEDS")</f>
        <v>#NAME?</v>
      </c>
      <c r="M1758" t="e">
        <f ca="1">BDP("596697SC Muni","GB_REPORTING")</f>
        <v>#NAME?</v>
      </c>
      <c r="N1758" t="e">
        <f ca="1">BDP("596697SC Muni","GB_ASSURANCE_PROVIDERS")</f>
        <v>#NAME?</v>
      </c>
      <c r="O1758" t="e">
        <f ca="1">BDP("596697SC Muni","GB_PROJECT_SELECTION_PROCESS")</f>
        <v>#NAME?</v>
      </c>
      <c r="P1758" t="e">
        <f ca="1">BDP("596697SC Muni","ESG_FRAMEWORK_INDICATOR")</f>
        <v>#NAME?</v>
      </c>
      <c r="Q1758" t="e">
        <f ca="1">BDP("596697SC Muni","BLOOMBERG_SECTOR_CODE")</f>
        <v>#NAME?</v>
      </c>
      <c r="R1758" t="e">
        <f ca="1">BDP("596697SC Muni","ISSUER_TYPE")</f>
        <v>#NAME?</v>
      </c>
      <c r="S1758" t="e">
        <f ca="1">BDS("596697SC Muni","ESG_PROJECT_CATEGORY", "aggregate=y")</f>
        <v>#NAME?</v>
      </c>
      <c r="T1758" t="e">
        <f ca="1">BDS("596697SC Muni","ESG_PROJECT_SUBCATEGORY", "aggregate=y")</f>
        <v>#NAME?</v>
      </c>
    </row>
    <row r="1759" spans="1:20" x14ac:dyDescent="0.25">
      <c r="A1759" t="e">
        <f ca="1">BDP("602409QN Muni","ID_CUSIP")</f>
        <v>#NAME?</v>
      </c>
      <c r="B1759" t="e">
        <f ca="1">BDP("602409QN Muni","STATE_CODE")</f>
        <v>#NAME?</v>
      </c>
      <c r="C1759" t="s">
        <v>107</v>
      </c>
      <c r="D1759" t="e">
        <f ca="1">BDP("602409QN Muni","YIELD_ON_ISSUE_DATE")</f>
        <v>#NAME?</v>
      </c>
      <c r="E1759">
        <v>3225000</v>
      </c>
      <c r="F1759" t="e">
        <f ca="1">BDP("602409QN Muni","ISSUE_DT")</f>
        <v>#NAME?</v>
      </c>
      <c r="G1759" t="e">
        <f ca="1">BDP("602409QN Muni","MATURITY")</f>
        <v>#NAME?</v>
      </c>
      <c r="H1759" t="e">
        <f ca="1">BDP("602409QN Muni","MUNI_TAX_PROV")</f>
        <v>#NAME?</v>
      </c>
      <c r="I1759" t="e">
        <f ca="1">BDP("602409QN Muni","FINANCING_TYPE")</f>
        <v>#NAME?</v>
      </c>
      <c r="J1759" t="e">
        <f ca="1">BDP("602409QN Muni","BICS_LEVEL_2_INDUSTRY_GROUP_NAME")</f>
        <v>#NAME?</v>
      </c>
      <c r="K1759" t="e">
        <f ca="1">BDP("602409QN Muni","SELF_REPRTD_GREEN_INSTR_INDCTR")</f>
        <v>#NAME?</v>
      </c>
      <c r="L1759" t="e">
        <f ca="1">BDP("602409QN Muni","GB_MANAGEMENT_PROCEEDS")</f>
        <v>#NAME?</v>
      </c>
      <c r="M1759" t="e">
        <f ca="1">BDP("602409QN Muni","GB_REPORTING")</f>
        <v>#NAME?</v>
      </c>
      <c r="N1759" t="e">
        <f ca="1">BDP("602409QN Muni","GB_ASSURANCE_PROVIDERS")</f>
        <v>#NAME?</v>
      </c>
      <c r="O1759" t="e">
        <f ca="1">BDP("602409QN Muni","GB_PROJECT_SELECTION_PROCESS")</f>
        <v>#NAME?</v>
      </c>
      <c r="P1759" t="e">
        <f ca="1">BDP("602409QN Muni","ESG_FRAMEWORK_INDICATOR")</f>
        <v>#NAME?</v>
      </c>
      <c r="Q1759" t="e">
        <f ca="1">BDP("602409QN Muni","BLOOMBERG_SECTOR_CODE")</f>
        <v>#NAME?</v>
      </c>
      <c r="R1759" t="e">
        <f ca="1">BDP("602409QN Muni","ISSUER_TYPE")</f>
        <v>#NAME?</v>
      </c>
      <c r="S1759" t="e">
        <f ca="1">BDS("602409QN Muni","ESG_PROJECT_CATEGORY", "aggregate=y")</f>
        <v>#NAME?</v>
      </c>
      <c r="T1759" t="e">
        <f ca="1">BDS("602409QN Muni","ESG_PROJECT_SUBCATEGORY", "aggregate=y")</f>
        <v>#NAME?</v>
      </c>
    </row>
    <row r="1760" spans="1:20" x14ac:dyDescent="0.25">
      <c r="A1760" t="e">
        <f ca="1">BDP("602409QQ Muni","ID_CUSIP")</f>
        <v>#NAME?</v>
      </c>
      <c r="B1760" t="e">
        <f ca="1">BDP("602409QQ Muni","STATE_CODE")</f>
        <v>#NAME?</v>
      </c>
      <c r="C1760" t="s">
        <v>107</v>
      </c>
      <c r="D1760" t="e">
        <f ca="1">BDP("602409QQ Muni","YIELD_ON_ISSUE_DATE")</f>
        <v>#NAME?</v>
      </c>
      <c r="E1760">
        <v>3555000</v>
      </c>
      <c r="F1760" t="e">
        <f ca="1">BDP("602409QQ Muni","ISSUE_DT")</f>
        <v>#NAME?</v>
      </c>
      <c r="G1760" t="e">
        <f ca="1">BDP("602409QQ Muni","MATURITY")</f>
        <v>#NAME?</v>
      </c>
      <c r="H1760" t="e">
        <f ca="1">BDP("602409QQ Muni","MUNI_TAX_PROV")</f>
        <v>#NAME?</v>
      </c>
      <c r="I1760" t="e">
        <f ca="1">BDP("602409QQ Muni","FINANCING_TYPE")</f>
        <v>#NAME?</v>
      </c>
      <c r="J1760" t="e">
        <f ca="1">BDP("602409QQ Muni","BICS_LEVEL_2_INDUSTRY_GROUP_NAME")</f>
        <v>#NAME?</v>
      </c>
      <c r="K1760" t="e">
        <f ca="1">BDP("602409QQ Muni","SELF_REPRTD_GREEN_INSTR_INDCTR")</f>
        <v>#NAME?</v>
      </c>
      <c r="L1760" t="e">
        <f ca="1">BDP("602409QQ Muni","GB_MANAGEMENT_PROCEEDS")</f>
        <v>#NAME?</v>
      </c>
      <c r="M1760" t="e">
        <f ca="1">BDP("602409QQ Muni","GB_REPORTING")</f>
        <v>#NAME?</v>
      </c>
      <c r="N1760" t="e">
        <f ca="1">BDP("602409QQ Muni","GB_ASSURANCE_PROVIDERS")</f>
        <v>#NAME?</v>
      </c>
      <c r="O1760" t="e">
        <f ca="1">BDP("602409QQ Muni","GB_PROJECT_SELECTION_PROCESS")</f>
        <v>#NAME?</v>
      </c>
      <c r="P1760" t="e">
        <f ca="1">BDP("602409QQ Muni","ESG_FRAMEWORK_INDICATOR")</f>
        <v>#NAME?</v>
      </c>
      <c r="Q1760" t="e">
        <f ca="1">BDP("602409QQ Muni","BLOOMBERG_SECTOR_CODE")</f>
        <v>#NAME?</v>
      </c>
      <c r="R1760" t="e">
        <f ca="1">BDP("602409QQ Muni","ISSUER_TYPE")</f>
        <v>#NAME?</v>
      </c>
      <c r="S1760" t="e">
        <f ca="1">BDS("602409QQ Muni","ESG_PROJECT_CATEGORY", "aggregate=y")</f>
        <v>#NAME?</v>
      </c>
      <c r="T1760" t="e">
        <f ca="1">BDS("602409QQ Muni","ESG_PROJECT_SUBCATEGORY", "aggregate=y")</f>
        <v>#NAME?</v>
      </c>
    </row>
    <row r="1761" spans="1:20" x14ac:dyDescent="0.25">
      <c r="A1761" t="e">
        <f ca="1">BDP("602409QR Muni","ID_CUSIP")</f>
        <v>#NAME?</v>
      </c>
      <c r="B1761" t="e">
        <f ca="1">BDP("602409QR Muni","STATE_CODE")</f>
        <v>#NAME?</v>
      </c>
      <c r="C1761" t="s">
        <v>107</v>
      </c>
      <c r="D1761" t="e">
        <f ca="1">BDP("602409QR Muni","YIELD_ON_ISSUE_DATE")</f>
        <v>#NAME?</v>
      </c>
      <c r="E1761">
        <v>3730000</v>
      </c>
      <c r="F1761" t="e">
        <f ca="1">BDP("602409QR Muni","ISSUE_DT")</f>
        <v>#NAME?</v>
      </c>
      <c r="G1761" t="e">
        <f ca="1">BDP("602409QR Muni","MATURITY")</f>
        <v>#NAME?</v>
      </c>
      <c r="H1761" t="e">
        <f ca="1">BDP("602409QR Muni","MUNI_TAX_PROV")</f>
        <v>#NAME?</v>
      </c>
      <c r="I1761" t="e">
        <f ca="1">BDP("602409QR Muni","FINANCING_TYPE")</f>
        <v>#NAME?</v>
      </c>
      <c r="J1761" t="e">
        <f ca="1">BDP("602409QR Muni","BICS_LEVEL_2_INDUSTRY_GROUP_NAME")</f>
        <v>#NAME?</v>
      </c>
      <c r="K1761" t="e">
        <f ca="1">BDP("602409QR Muni","SELF_REPRTD_GREEN_INSTR_INDCTR")</f>
        <v>#NAME?</v>
      </c>
      <c r="L1761" t="e">
        <f ca="1">BDP("602409QR Muni","GB_MANAGEMENT_PROCEEDS")</f>
        <v>#NAME?</v>
      </c>
      <c r="M1761" t="e">
        <f ca="1">BDP("602409QR Muni","GB_REPORTING")</f>
        <v>#NAME?</v>
      </c>
      <c r="N1761" t="e">
        <f ca="1">BDP("602409QR Muni","GB_ASSURANCE_PROVIDERS")</f>
        <v>#NAME?</v>
      </c>
      <c r="O1761" t="e">
        <f ca="1">BDP("602409QR Muni","GB_PROJECT_SELECTION_PROCESS")</f>
        <v>#NAME?</v>
      </c>
      <c r="P1761" t="e">
        <f ca="1">BDP("602409QR Muni","ESG_FRAMEWORK_INDICATOR")</f>
        <v>#NAME?</v>
      </c>
      <c r="Q1761" t="e">
        <f ca="1">BDP("602409QR Muni","BLOOMBERG_SECTOR_CODE")</f>
        <v>#NAME?</v>
      </c>
      <c r="R1761" t="e">
        <f ca="1">BDP("602409QR Muni","ISSUER_TYPE")</f>
        <v>#NAME?</v>
      </c>
      <c r="S1761" t="e">
        <f ca="1">BDS("602409QR Muni","ESG_PROJECT_CATEGORY", "aggregate=y")</f>
        <v>#NAME?</v>
      </c>
      <c r="T1761" t="e">
        <f ca="1">BDS("602409QR Muni","ESG_PROJECT_SUBCATEGORY", "aggregate=y")</f>
        <v>#NAME?</v>
      </c>
    </row>
    <row r="1762" spans="1:20" x14ac:dyDescent="0.25">
      <c r="A1762" t="e">
        <f ca="1">BDP("602409QT Muni","ID_CUSIP")</f>
        <v>#NAME?</v>
      </c>
      <c r="B1762" t="e">
        <f ca="1">BDP("602409QT Muni","STATE_CODE")</f>
        <v>#NAME?</v>
      </c>
      <c r="C1762" t="s">
        <v>107</v>
      </c>
      <c r="D1762" t="e">
        <f ca="1">BDP("602409QT Muni","YIELD_ON_ISSUE_DATE")</f>
        <v>#NAME?</v>
      </c>
      <c r="E1762">
        <v>4115000</v>
      </c>
      <c r="F1762" t="e">
        <f ca="1">BDP("602409QT Muni","ISSUE_DT")</f>
        <v>#NAME?</v>
      </c>
      <c r="G1762" t="e">
        <f ca="1">BDP("602409QT Muni","MATURITY")</f>
        <v>#NAME?</v>
      </c>
      <c r="H1762" t="e">
        <f ca="1">BDP("602409QT Muni","MUNI_TAX_PROV")</f>
        <v>#NAME?</v>
      </c>
      <c r="I1762" t="e">
        <f ca="1">BDP("602409QT Muni","FINANCING_TYPE")</f>
        <v>#NAME?</v>
      </c>
      <c r="J1762" t="e">
        <f ca="1">BDP("602409QT Muni","BICS_LEVEL_2_INDUSTRY_GROUP_NAME")</f>
        <v>#NAME?</v>
      </c>
      <c r="K1762" t="e">
        <f ca="1">BDP("602409QT Muni","SELF_REPRTD_GREEN_INSTR_INDCTR")</f>
        <v>#NAME?</v>
      </c>
      <c r="L1762" t="e">
        <f ca="1">BDP("602409QT Muni","GB_MANAGEMENT_PROCEEDS")</f>
        <v>#NAME?</v>
      </c>
      <c r="M1762" t="e">
        <f ca="1">BDP("602409QT Muni","GB_REPORTING")</f>
        <v>#NAME?</v>
      </c>
      <c r="N1762" t="e">
        <f ca="1">BDP("602409QT Muni","GB_ASSURANCE_PROVIDERS")</f>
        <v>#NAME?</v>
      </c>
      <c r="O1762" t="e">
        <f ca="1">BDP("602409QT Muni","GB_PROJECT_SELECTION_PROCESS")</f>
        <v>#NAME?</v>
      </c>
      <c r="P1762" t="e">
        <f ca="1">BDP("602409QT Muni","ESG_FRAMEWORK_INDICATOR")</f>
        <v>#NAME?</v>
      </c>
      <c r="Q1762" t="e">
        <f ca="1">BDP("602409QT Muni","BLOOMBERG_SECTOR_CODE")</f>
        <v>#NAME?</v>
      </c>
      <c r="R1762" t="e">
        <f ca="1">BDP("602409QT Muni","ISSUER_TYPE")</f>
        <v>#NAME?</v>
      </c>
      <c r="S1762" t="e">
        <f ca="1">BDS("602409QT Muni","ESG_PROJECT_CATEGORY", "aggregate=y")</f>
        <v>#NAME?</v>
      </c>
      <c r="T1762" t="e">
        <f ca="1">BDS("602409QT Muni","ESG_PROJECT_SUBCATEGORY", "aggregate=y")</f>
        <v>#NAME?</v>
      </c>
    </row>
    <row r="1763" spans="1:20" x14ac:dyDescent="0.25">
      <c r="A1763" t="e">
        <f ca="1">BDP("602409QU Muni","ID_CUSIP")</f>
        <v>#NAME?</v>
      </c>
      <c r="B1763" t="e">
        <f ca="1">BDP("602409QU Muni","STATE_CODE")</f>
        <v>#NAME?</v>
      </c>
      <c r="C1763" t="s">
        <v>107</v>
      </c>
      <c r="D1763" t="e">
        <f ca="1">BDP("602409QU Muni","YIELD_ON_ISSUE_DATE")</f>
        <v>#NAME?</v>
      </c>
      <c r="E1763">
        <v>4320000</v>
      </c>
      <c r="F1763" t="e">
        <f ca="1">BDP("602409QU Muni","ISSUE_DT")</f>
        <v>#NAME?</v>
      </c>
      <c r="G1763" t="e">
        <f ca="1">BDP("602409QU Muni","MATURITY")</f>
        <v>#NAME?</v>
      </c>
      <c r="H1763" t="e">
        <f ca="1">BDP("602409QU Muni","MUNI_TAX_PROV")</f>
        <v>#NAME?</v>
      </c>
      <c r="I1763" t="e">
        <f ca="1">BDP("602409QU Muni","FINANCING_TYPE")</f>
        <v>#NAME?</v>
      </c>
      <c r="J1763" t="e">
        <f ca="1">BDP("602409QU Muni","BICS_LEVEL_2_INDUSTRY_GROUP_NAME")</f>
        <v>#NAME?</v>
      </c>
      <c r="K1763" t="e">
        <f ca="1">BDP("602409QU Muni","SELF_REPRTD_GREEN_INSTR_INDCTR")</f>
        <v>#NAME?</v>
      </c>
      <c r="L1763" t="e">
        <f ca="1">BDP("602409QU Muni","GB_MANAGEMENT_PROCEEDS")</f>
        <v>#NAME?</v>
      </c>
      <c r="M1763" t="e">
        <f ca="1">BDP("602409QU Muni","GB_REPORTING")</f>
        <v>#NAME?</v>
      </c>
      <c r="N1763" t="e">
        <f ca="1">BDP("602409QU Muni","GB_ASSURANCE_PROVIDERS")</f>
        <v>#NAME?</v>
      </c>
      <c r="O1763" t="e">
        <f ca="1">BDP("602409QU Muni","GB_PROJECT_SELECTION_PROCESS")</f>
        <v>#NAME?</v>
      </c>
      <c r="P1763" t="e">
        <f ca="1">BDP("602409QU Muni","ESG_FRAMEWORK_INDICATOR")</f>
        <v>#NAME?</v>
      </c>
      <c r="Q1763" t="e">
        <f ca="1">BDP("602409QU Muni","BLOOMBERG_SECTOR_CODE")</f>
        <v>#NAME?</v>
      </c>
      <c r="R1763" t="e">
        <f ca="1">BDP("602409QU Muni","ISSUER_TYPE")</f>
        <v>#NAME?</v>
      </c>
      <c r="S1763" t="e">
        <f ca="1">BDS("602409QU Muni","ESG_PROJECT_CATEGORY", "aggregate=y")</f>
        <v>#NAME?</v>
      </c>
      <c r="T1763" t="e">
        <f ca="1">BDS("602409QU Muni","ESG_PROJECT_SUBCATEGORY", "aggregate=y")</f>
        <v>#NAME?</v>
      </c>
    </row>
    <row r="1764" spans="1:20" x14ac:dyDescent="0.25">
      <c r="A1764" t="e">
        <f ca="1">BDP("602409QW Muni","ID_CUSIP")</f>
        <v>#NAME?</v>
      </c>
      <c r="B1764" t="e">
        <f ca="1">BDP("602409QW Muni","STATE_CODE")</f>
        <v>#NAME?</v>
      </c>
      <c r="C1764" t="s">
        <v>107</v>
      </c>
      <c r="D1764" t="e">
        <f ca="1">BDP("602409QW Muni","YIELD_ON_ISSUE_DATE")</f>
        <v>#NAME?</v>
      </c>
      <c r="E1764">
        <v>4760000</v>
      </c>
      <c r="F1764" t="e">
        <f ca="1">BDP("602409QW Muni","ISSUE_DT")</f>
        <v>#NAME?</v>
      </c>
      <c r="G1764" t="e">
        <f ca="1">BDP("602409QW Muni","MATURITY")</f>
        <v>#NAME?</v>
      </c>
      <c r="H1764" t="e">
        <f ca="1">BDP("602409QW Muni","MUNI_TAX_PROV")</f>
        <v>#NAME?</v>
      </c>
      <c r="I1764" t="e">
        <f ca="1">BDP("602409QW Muni","FINANCING_TYPE")</f>
        <v>#NAME?</v>
      </c>
      <c r="J1764" t="e">
        <f ca="1">BDP("602409QW Muni","BICS_LEVEL_2_INDUSTRY_GROUP_NAME")</f>
        <v>#NAME?</v>
      </c>
      <c r="K1764" t="e">
        <f ca="1">BDP("602409QW Muni","SELF_REPRTD_GREEN_INSTR_INDCTR")</f>
        <v>#NAME?</v>
      </c>
      <c r="L1764" t="e">
        <f ca="1">BDP("602409QW Muni","GB_MANAGEMENT_PROCEEDS")</f>
        <v>#NAME?</v>
      </c>
      <c r="M1764" t="e">
        <f ca="1">BDP("602409QW Muni","GB_REPORTING")</f>
        <v>#NAME?</v>
      </c>
      <c r="N1764" t="e">
        <f ca="1">BDP("602409QW Muni","GB_ASSURANCE_PROVIDERS")</f>
        <v>#NAME?</v>
      </c>
      <c r="O1764" t="e">
        <f ca="1">BDP("602409QW Muni","GB_PROJECT_SELECTION_PROCESS")</f>
        <v>#NAME?</v>
      </c>
      <c r="P1764" t="e">
        <f ca="1">BDP("602409QW Muni","ESG_FRAMEWORK_INDICATOR")</f>
        <v>#NAME?</v>
      </c>
      <c r="Q1764" t="e">
        <f ca="1">BDP("602409QW Muni","BLOOMBERG_SECTOR_CODE")</f>
        <v>#NAME?</v>
      </c>
      <c r="R1764" t="e">
        <f ca="1">BDP("602409QW Muni","ISSUER_TYPE")</f>
        <v>#NAME?</v>
      </c>
      <c r="S1764" t="e">
        <f ca="1">BDS("602409QW Muni","ESG_PROJECT_CATEGORY", "aggregate=y")</f>
        <v>#NAME?</v>
      </c>
      <c r="T1764" t="e">
        <f ca="1">BDS("602409QW Muni","ESG_PROJECT_SUBCATEGORY", "aggregate=y")</f>
        <v>#NAME?</v>
      </c>
    </row>
    <row r="1765" spans="1:20" x14ac:dyDescent="0.25">
      <c r="A1765" t="e">
        <f ca="1">BDP("602409QX Muni","ID_CUSIP")</f>
        <v>#NAME?</v>
      </c>
      <c r="B1765" t="e">
        <f ca="1">BDP("602409QX Muni","STATE_CODE")</f>
        <v>#NAME?</v>
      </c>
      <c r="C1765" t="s">
        <v>107</v>
      </c>
      <c r="D1765" t="e">
        <f ca="1">BDP("602409QX Muni","YIELD_ON_ISSUE_DATE")</f>
        <v>#NAME?</v>
      </c>
      <c r="E1765">
        <v>5000000</v>
      </c>
      <c r="F1765" t="e">
        <f ca="1">BDP("602409QX Muni","ISSUE_DT")</f>
        <v>#NAME?</v>
      </c>
      <c r="G1765" t="e">
        <f ca="1">BDP("602409QX Muni","MATURITY")</f>
        <v>#NAME?</v>
      </c>
      <c r="H1765" t="e">
        <f ca="1">BDP("602409QX Muni","MUNI_TAX_PROV")</f>
        <v>#NAME?</v>
      </c>
      <c r="I1765" t="e">
        <f ca="1">BDP("602409QX Muni","FINANCING_TYPE")</f>
        <v>#NAME?</v>
      </c>
      <c r="J1765" t="e">
        <f ca="1">BDP("602409QX Muni","BICS_LEVEL_2_INDUSTRY_GROUP_NAME")</f>
        <v>#NAME?</v>
      </c>
      <c r="K1765" t="e">
        <f ca="1">BDP("602409QX Muni","SELF_REPRTD_GREEN_INSTR_INDCTR")</f>
        <v>#NAME?</v>
      </c>
      <c r="L1765" t="e">
        <f ca="1">BDP("602409QX Muni","GB_MANAGEMENT_PROCEEDS")</f>
        <v>#NAME?</v>
      </c>
      <c r="M1765" t="e">
        <f ca="1">BDP("602409QX Muni","GB_REPORTING")</f>
        <v>#NAME?</v>
      </c>
      <c r="N1765" t="e">
        <f ca="1">BDP("602409QX Muni","GB_ASSURANCE_PROVIDERS")</f>
        <v>#NAME?</v>
      </c>
      <c r="O1765" t="e">
        <f ca="1">BDP("602409QX Muni","GB_PROJECT_SELECTION_PROCESS")</f>
        <v>#NAME?</v>
      </c>
      <c r="P1765" t="e">
        <f ca="1">BDP("602409QX Muni","ESG_FRAMEWORK_INDICATOR")</f>
        <v>#NAME?</v>
      </c>
      <c r="Q1765" t="e">
        <f ca="1">BDP("602409QX Muni","BLOOMBERG_SECTOR_CODE")</f>
        <v>#NAME?</v>
      </c>
      <c r="R1765" t="e">
        <f ca="1">BDP("602409QX Muni","ISSUER_TYPE")</f>
        <v>#NAME?</v>
      </c>
      <c r="S1765" t="e">
        <f ca="1">BDS("602409QX Muni","ESG_PROJECT_CATEGORY", "aggregate=y")</f>
        <v>#NAME?</v>
      </c>
      <c r="T1765" t="e">
        <f ca="1">BDS("602409QX Muni","ESG_PROJECT_SUBCATEGORY", "aggregate=y")</f>
        <v>#NAME?</v>
      </c>
    </row>
    <row r="1766" spans="1:20" x14ac:dyDescent="0.25">
      <c r="A1766" t="e">
        <f ca="1">BDP("602409QY Muni","ID_CUSIP")</f>
        <v>#NAME?</v>
      </c>
      <c r="B1766" t="e">
        <f ca="1">BDP("602409QY Muni","STATE_CODE")</f>
        <v>#NAME?</v>
      </c>
      <c r="C1766" t="s">
        <v>107</v>
      </c>
      <c r="D1766" t="e">
        <f ca="1">BDP("602409QY Muni","YIELD_ON_ISSUE_DATE")</f>
        <v>#NAME?</v>
      </c>
      <c r="E1766">
        <v>5250000</v>
      </c>
      <c r="F1766" t="e">
        <f ca="1">BDP("602409QY Muni","ISSUE_DT")</f>
        <v>#NAME?</v>
      </c>
      <c r="G1766" t="e">
        <f ca="1">BDP("602409QY Muni","MATURITY")</f>
        <v>#NAME?</v>
      </c>
      <c r="H1766" t="e">
        <f ca="1">BDP("602409QY Muni","MUNI_TAX_PROV")</f>
        <v>#NAME?</v>
      </c>
      <c r="I1766" t="e">
        <f ca="1">BDP("602409QY Muni","FINANCING_TYPE")</f>
        <v>#NAME?</v>
      </c>
      <c r="J1766" t="e">
        <f ca="1">BDP("602409QY Muni","BICS_LEVEL_2_INDUSTRY_GROUP_NAME")</f>
        <v>#NAME?</v>
      </c>
      <c r="K1766" t="e">
        <f ca="1">BDP("602409QY Muni","SELF_REPRTD_GREEN_INSTR_INDCTR")</f>
        <v>#NAME?</v>
      </c>
      <c r="L1766" t="e">
        <f ca="1">BDP("602409QY Muni","GB_MANAGEMENT_PROCEEDS")</f>
        <v>#NAME?</v>
      </c>
      <c r="M1766" t="e">
        <f ca="1">BDP("602409QY Muni","GB_REPORTING")</f>
        <v>#NAME?</v>
      </c>
      <c r="N1766" t="e">
        <f ca="1">BDP("602409QY Muni","GB_ASSURANCE_PROVIDERS")</f>
        <v>#NAME?</v>
      </c>
      <c r="O1766" t="e">
        <f ca="1">BDP("602409QY Muni","GB_PROJECT_SELECTION_PROCESS")</f>
        <v>#NAME?</v>
      </c>
      <c r="P1766" t="e">
        <f ca="1">BDP("602409QY Muni","ESG_FRAMEWORK_INDICATOR")</f>
        <v>#NAME?</v>
      </c>
      <c r="Q1766" t="e">
        <f ca="1">BDP("602409QY Muni","BLOOMBERG_SECTOR_CODE")</f>
        <v>#NAME?</v>
      </c>
      <c r="R1766" t="e">
        <f ca="1">BDP("602409QY Muni","ISSUER_TYPE")</f>
        <v>#NAME?</v>
      </c>
      <c r="S1766" t="e">
        <f ca="1">BDS("602409QY Muni","ESG_PROJECT_CATEGORY", "aggregate=y")</f>
        <v>#NAME?</v>
      </c>
      <c r="T1766" t="e">
        <f ca="1">BDS("602409QY Muni","ESG_PROJECT_SUBCATEGORY", "aggregate=y")</f>
        <v>#NAME?</v>
      </c>
    </row>
    <row r="1767" spans="1:20" x14ac:dyDescent="0.25">
      <c r="A1767" t="e">
        <f ca="1">BDP("602409QZ Muni","ID_CUSIP")</f>
        <v>#NAME?</v>
      </c>
      <c r="B1767" t="e">
        <f ca="1">BDP("602409QZ Muni","STATE_CODE")</f>
        <v>#NAME?</v>
      </c>
      <c r="C1767" t="s">
        <v>107</v>
      </c>
      <c r="D1767" t="e">
        <f ca="1">BDP("602409QZ Muni","YIELD_ON_ISSUE_DATE")</f>
        <v>#NAME?</v>
      </c>
      <c r="E1767">
        <v>5510000</v>
      </c>
      <c r="F1767" t="e">
        <f ca="1">BDP("602409QZ Muni","ISSUE_DT")</f>
        <v>#NAME?</v>
      </c>
      <c r="G1767" t="e">
        <f ca="1">BDP("602409QZ Muni","MATURITY")</f>
        <v>#NAME?</v>
      </c>
      <c r="H1767" t="e">
        <f ca="1">BDP("602409QZ Muni","MUNI_TAX_PROV")</f>
        <v>#NAME?</v>
      </c>
      <c r="I1767" t="e">
        <f ca="1">BDP("602409QZ Muni","FINANCING_TYPE")</f>
        <v>#NAME?</v>
      </c>
      <c r="J1767" t="e">
        <f ca="1">BDP("602409QZ Muni","BICS_LEVEL_2_INDUSTRY_GROUP_NAME")</f>
        <v>#NAME?</v>
      </c>
      <c r="K1767" t="e">
        <f ca="1">BDP("602409QZ Muni","SELF_REPRTD_GREEN_INSTR_INDCTR")</f>
        <v>#NAME?</v>
      </c>
      <c r="L1767" t="e">
        <f ca="1">BDP("602409QZ Muni","GB_MANAGEMENT_PROCEEDS")</f>
        <v>#NAME?</v>
      </c>
      <c r="M1767" t="e">
        <f ca="1">BDP("602409QZ Muni","GB_REPORTING")</f>
        <v>#NAME?</v>
      </c>
      <c r="N1767" t="e">
        <f ca="1">BDP("602409QZ Muni","GB_ASSURANCE_PROVIDERS")</f>
        <v>#NAME?</v>
      </c>
      <c r="O1767" t="e">
        <f ca="1">BDP("602409QZ Muni","GB_PROJECT_SELECTION_PROCESS")</f>
        <v>#NAME?</v>
      </c>
      <c r="P1767" t="e">
        <f ca="1">BDP("602409QZ Muni","ESG_FRAMEWORK_INDICATOR")</f>
        <v>#NAME?</v>
      </c>
      <c r="Q1767" t="e">
        <f ca="1">BDP("602409QZ Muni","BLOOMBERG_SECTOR_CODE")</f>
        <v>#NAME?</v>
      </c>
      <c r="R1767" t="e">
        <f ca="1">BDP("602409QZ Muni","ISSUER_TYPE")</f>
        <v>#NAME?</v>
      </c>
      <c r="S1767" t="e">
        <f ca="1">BDS("602409QZ Muni","ESG_PROJECT_CATEGORY", "aggregate=y")</f>
        <v>#NAME?</v>
      </c>
      <c r="T1767" t="e">
        <f ca="1">BDS("602409QZ Muni","ESG_PROJECT_SUBCATEGORY", "aggregate=y")</f>
        <v>#NAME?</v>
      </c>
    </row>
    <row r="1768" spans="1:20" x14ac:dyDescent="0.25">
      <c r="A1768" t="e">
        <f ca="1">BDP("602409RB Muni","ID_CUSIP")</f>
        <v>#NAME?</v>
      </c>
      <c r="B1768" t="e">
        <f ca="1">BDP("602409RB Muni","STATE_CODE")</f>
        <v>#NAME?</v>
      </c>
      <c r="C1768" t="s">
        <v>107</v>
      </c>
      <c r="D1768" t="e">
        <f ca="1">BDP("602409RB Muni","YIELD_ON_ISSUE_DATE")</f>
        <v>#NAME?</v>
      </c>
      <c r="E1768">
        <v>6075000</v>
      </c>
      <c r="F1768" t="e">
        <f ca="1">BDP("602409RB Muni","ISSUE_DT")</f>
        <v>#NAME?</v>
      </c>
      <c r="G1768" t="e">
        <f ca="1">BDP("602409RB Muni","MATURITY")</f>
        <v>#NAME?</v>
      </c>
      <c r="H1768" t="e">
        <f ca="1">BDP("602409RB Muni","MUNI_TAX_PROV")</f>
        <v>#NAME?</v>
      </c>
      <c r="I1768" t="e">
        <f ca="1">BDP("602409RB Muni","FINANCING_TYPE")</f>
        <v>#NAME?</v>
      </c>
      <c r="J1768" t="e">
        <f ca="1">BDP("602409RB Muni","BICS_LEVEL_2_INDUSTRY_GROUP_NAME")</f>
        <v>#NAME?</v>
      </c>
      <c r="K1768" t="e">
        <f ca="1">BDP("602409RB Muni","SELF_REPRTD_GREEN_INSTR_INDCTR")</f>
        <v>#NAME?</v>
      </c>
      <c r="L1768" t="e">
        <f ca="1">BDP("602409RB Muni","GB_MANAGEMENT_PROCEEDS")</f>
        <v>#NAME?</v>
      </c>
      <c r="M1768" t="e">
        <f ca="1">BDP("602409RB Muni","GB_REPORTING")</f>
        <v>#NAME?</v>
      </c>
      <c r="N1768" t="e">
        <f ca="1">BDP("602409RB Muni","GB_ASSURANCE_PROVIDERS")</f>
        <v>#NAME?</v>
      </c>
      <c r="O1768" t="e">
        <f ca="1">BDP("602409RB Muni","GB_PROJECT_SELECTION_PROCESS")</f>
        <v>#NAME?</v>
      </c>
      <c r="P1768" t="e">
        <f ca="1">BDP("602409RB Muni","ESG_FRAMEWORK_INDICATOR")</f>
        <v>#NAME?</v>
      </c>
      <c r="Q1768" t="e">
        <f ca="1">BDP("602409RB Muni","BLOOMBERG_SECTOR_CODE")</f>
        <v>#NAME?</v>
      </c>
      <c r="R1768" t="e">
        <f ca="1">BDP("602409RB Muni","ISSUER_TYPE")</f>
        <v>#NAME?</v>
      </c>
      <c r="S1768" t="e">
        <f ca="1">BDS("602409RB Muni","ESG_PROJECT_CATEGORY", "aggregate=y")</f>
        <v>#NAME?</v>
      </c>
      <c r="T1768" t="e">
        <f ca="1">BDS("602409RB Muni","ESG_PROJECT_SUBCATEGORY", "aggregate=y")</f>
        <v>#NAME?</v>
      </c>
    </row>
    <row r="1769" spans="1:20" x14ac:dyDescent="0.25">
      <c r="A1769" t="e">
        <f ca="1">BDP("602409RF Muni","ID_CUSIP")</f>
        <v>#NAME?</v>
      </c>
      <c r="B1769" t="e">
        <f ca="1">BDP("602409RF Muni","STATE_CODE")</f>
        <v>#NAME?</v>
      </c>
      <c r="C1769" t="s">
        <v>107</v>
      </c>
      <c r="D1769" t="e">
        <f ca="1">BDP("602409RF Muni","YIELD_ON_ISSUE_DATE")</f>
        <v>#NAME?</v>
      </c>
      <c r="E1769">
        <v>20520000</v>
      </c>
      <c r="F1769" t="e">
        <f ca="1">BDP("602409RF Muni","ISSUE_DT")</f>
        <v>#NAME?</v>
      </c>
      <c r="G1769" t="e">
        <f ca="1">BDP("602409RF Muni","MATURITY")</f>
        <v>#NAME?</v>
      </c>
      <c r="H1769" t="e">
        <f ca="1">BDP("602409RF Muni","MUNI_TAX_PROV")</f>
        <v>#NAME?</v>
      </c>
      <c r="I1769" t="e">
        <f ca="1">BDP("602409RF Muni","FINANCING_TYPE")</f>
        <v>#NAME?</v>
      </c>
      <c r="J1769" t="e">
        <f ca="1">BDP("602409RF Muni","BICS_LEVEL_2_INDUSTRY_GROUP_NAME")</f>
        <v>#NAME?</v>
      </c>
      <c r="K1769" t="e">
        <f ca="1">BDP("602409RF Muni","SELF_REPRTD_GREEN_INSTR_INDCTR")</f>
        <v>#NAME?</v>
      </c>
      <c r="L1769" t="e">
        <f ca="1">BDP("602409RF Muni","GB_MANAGEMENT_PROCEEDS")</f>
        <v>#NAME?</v>
      </c>
      <c r="M1769" t="e">
        <f ca="1">BDP("602409RF Muni","GB_REPORTING")</f>
        <v>#NAME?</v>
      </c>
      <c r="N1769" t="e">
        <f ca="1">BDP("602409RF Muni","GB_ASSURANCE_PROVIDERS")</f>
        <v>#NAME?</v>
      </c>
      <c r="O1769" t="e">
        <f ca="1">BDP("602409RF Muni","GB_PROJECT_SELECTION_PROCESS")</f>
        <v>#NAME?</v>
      </c>
      <c r="P1769" t="e">
        <f ca="1">BDP("602409RF Muni","ESG_FRAMEWORK_INDICATOR")</f>
        <v>#NAME?</v>
      </c>
      <c r="Q1769" t="e">
        <f ca="1">BDP("602409RF Muni","BLOOMBERG_SECTOR_CODE")</f>
        <v>#NAME?</v>
      </c>
      <c r="R1769" t="e">
        <f ca="1">BDP("602409RF Muni","ISSUER_TYPE")</f>
        <v>#NAME?</v>
      </c>
      <c r="S1769" t="e">
        <f ca="1">BDS("602409RF Muni","ESG_PROJECT_CATEGORY", "aggregate=y")</f>
        <v>#NAME?</v>
      </c>
      <c r="T1769" t="e">
        <f ca="1">BDS("602409RF Muni","ESG_PROJECT_SUBCATEGORY", "aggregate=y")</f>
        <v>#NAME?</v>
      </c>
    </row>
    <row r="1770" spans="1:20" x14ac:dyDescent="0.25">
      <c r="A1770" t="e">
        <f ca="1">BDP("97709TEW Muni","ID_CUSIP")</f>
        <v>#NAME?</v>
      </c>
      <c r="B1770" t="e">
        <f ca="1">BDP("97709TEW Muni","STATE_CODE")</f>
        <v>#NAME?</v>
      </c>
      <c r="C1770" t="s">
        <v>105</v>
      </c>
      <c r="D1770" t="e">
        <f ca="1">BDP("97709TEW Muni","YIELD_ON_ISSUE_DATE")</f>
        <v>#NAME?</v>
      </c>
      <c r="E1770">
        <v>58565000</v>
      </c>
      <c r="F1770" t="e">
        <f ca="1">BDP("97709TEW Muni","ISSUE_DT")</f>
        <v>#NAME?</v>
      </c>
      <c r="G1770" t="e">
        <f ca="1">BDP("97709TEW Muni","MATURITY")</f>
        <v>#NAME?</v>
      </c>
      <c r="H1770" t="e">
        <f ca="1">BDP("97709TEW Muni","MUNI_TAX_PROV")</f>
        <v>#NAME?</v>
      </c>
      <c r="I1770" t="e">
        <f ca="1">BDP("97709TEW Muni","FINANCING_TYPE")</f>
        <v>#NAME?</v>
      </c>
      <c r="J1770" t="e">
        <f ca="1">BDP("97709TEW Muni","BICS_LEVEL_2_INDUSTRY_GROUP_NAME")</f>
        <v>#NAME?</v>
      </c>
      <c r="K1770" t="e">
        <f ca="1">BDP("97709TEW Muni","SELF_REPRTD_GREEN_INSTR_INDCTR")</f>
        <v>#NAME?</v>
      </c>
      <c r="L1770" t="e">
        <f ca="1">BDP("97709TEW Muni","GB_MANAGEMENT_PROCEEDS")</f>
        <v>#NAME?</v>
      </c>
      <c r="M1770" t="e">
        <f ca="1">BDP("97709TEW Muni","GB_REPORTING")</f>
        <v>#NAME?</v>
      </c>
      <c r="N1770" t="e">
        <f ca="1">BDP("97709TEW Muni","GB_ASSURANCE_PROVIDERS")</f>
        <v>#NAME?</v>
      </c>
      <c r="O1770" t="e">
        <f ca="1">BDP("97709TEW Muni","GB_PROJECT_SELECTION_PROCESS")</f>
        <v>#NAME?</v>
      </c>
      <c r="P1770" t="e">
        <f ca="1">BDP("97709TEW Muni","ESG_FRAMEWORK_INDICATOR")</f>
        <v>#NAME?</v>
      </c>
      <c r="Q1770" t="e">
        <f ca="1">BDP("97709TEW Muni","BLOOMBERG_SECTOR_CODE")</f>
        <v>#NAME?</v>
      </c>
      <c r="R1770" t="e">
        <f ca="1">BDP("97709TEW Muni","ISSUER_TYPE")</f>
        <v>#NAME?</v>
      </c>
      <c r="S1770" t="e">
        <f ca="1">BDS("97709TEW Muni","ESG_PROJECT_CATEGORY", "aggregate=y")</f>
        <v>#NAME?</v>
      </c>
      <c r="T1770" t="e">
        <f ca="1">BDS("97709TEW Muni","ESG_PROJECT_SUBCATEGORY", "aggregate=y")</f>
        <v>#NAME?</v>
      </c>
    </row>
    <row r="1771" spans="1:20" x14ac:dyDescent="0.25">
      <c r="A1771" t="e">
        <f ca="1">BDP("97709TEP Muni","ID_CUSIP")</f>
        <v>#NAME?</v>
      </c>
      <c r="B1771" t="e">
        <f ca="1">BDP("97709TEP Muni","STATE_CODE")</f>
        <v>#NAME?</v>
      </c>
      <c r="C1771" t="s">
        <v>105</v>
      </c>
      <c r="D1771" t="e">
        <f ca="1">BDP("97709TEP Muni","YIELD_ON_ISSUE_DATE")</f>
        <v>#NAME?</v>
      </c>
      <c r="E1771">
        <v>5310000</v>
      </c>
      <c r="F1771" t="e">
        <f ca="1">BDP("97709TEP Muni","ISSUE_DT")</f>
        <v>#NAME?</v>
      </c>
      <c r="G1771" t="e">
        <f ca="1">BDP("97709TEP Muni","MATURITY")</f>
        <v>#NAME?</v>
      </c>
      <c r="H1771" t="e">
        <f ca="1">BDP("97709TEP Muni","MUNI_TAX_PROV")</f>
        <v>#NAME?</v>
      </c>
      <c r="I1771" t="e">
        <f ca="1">BDP("97709TEP Muni","FINANCING_TYPE")</f>
        <v>#NAME?</v>
      </c>
      <c r="J1771" t="e">
        <f ca="1">BDP("97709TEP Muni","BICS_LEVEL_2_INDUSTRY_GROUP_NAME")</f>
        <v>#NAME?</v>
      </c>
      <c r="K1771" t="e">
        <f ca="1">BDP("97709TEP Muni","SELF_REPRTD_GREEN_INSTR_INDCTR")</f>
        <v>#NAME?</v>
      </c>
      <c r="L1771" t="e">
        <f ca="1">BDP("97709TEP Muni","GB_MANAGEMENT_PROCEEDS")</f>
        <v>#NAME?</v>
      </c>
      <c r="M1771" t="e">
        <f ca="1">BDP("97709TEP Muni","GB_REPORTING")</f>
        <v>#NAME?</v>
      </c>
      <c r="N1771" t="e">
        <f ca="1">BDP("97709TEP Muni","GB_ASSURANCE_PROVIDERS")</f>
        <v>#NAME?</v>
      </c>
      <c r="O1771" t="e">
        <f ca="1">BDP("97709TEP Muni","GB_PROJECT_SELECTION_PROCESS")</f>
        <v>#NAME?</v>
      </c>
      <c r="P1771" t="e">
        <f ca="1">BDP("97709TEP Muni","ESG_FRAMEWORK_INDICATOR")</f>
        <v>#NAME?</v>
      </c>
      <c r="Q1771" t="e">
        <f ca="1">BDP("97709TEP Muni","BLOOMBERG_SECTOR_CODE")</f>
        <v>#NAME?</v>
      </c>
      <c r="R1771" t="e">
        <f ca="1">BDP("97709TEP Muni","ISSUER_TYPE")</f>
        <v>#NAME?</v>
      </c>
      <c r="S1771" t="e">
        <f ca="1">BDS("97709TEP Muni","ESG_PROJECT_CATEGORY", "aggregate=y")</f>
        <v>#NAME?</v>
      </c>
      <c r="T1771" t="e">
        <f ca="1">BDS("97709TEP Muni","ESG_PROJECT_SUBCATEGORY", "aggregate=y")</f>
        <v>#NAME?</v>
      </c>
    </row>
    <row r="1772" spans="1:20" x14ac:dyDescent="0.25">
      <c r="A1772" t="e">
        <f ca="1">BDP("602409RC Muni","ID_CUSIP")</f>
        <v>#NAME?</v>
      </c>
      <c r="B1772" t="e">
        <f ca="1">BDP("602409RC Muni","STATE_CODE")</f>
        <v>#NAME?</v>
      </c>
      <c r="C1772" t="s">
        <v>107</v>
      </c>
      <c r="D1772" t="e">
        <f ca="1">BDP("602409RC Muni","YIELD_ON_ISSUE_DATE")</f>
        <v>#NAME?</v>
      </c>
      <c r="E1772">
        <v>6320000</v>
      </c>
      <c r="F1772" t="e">
        <f ca="1">BDP("602409RC Muni","ISSUE_DT")</f>
        <v>#NAME?</v>
      </c>
      <c r="G1772" t="e">
        <f ca="1">BDP("602409RC Muni","MATURITY")</f>
        <v>#NAME?</v>
      </c>
      <c r="H1772" t="e">
        <f ca="1">BDP("602409RC Muni","MUNI_TAX_PROV")</f>
        <v>#NAME?</v>
      </c>
      <c r="I1772" t="e">
        <f ca="1">BDP("602409RC Muni","FINANCING_TYPE")</f>
        <v>#NAME?</v>
      </c>
      <c r="J1772" t="e">
        <f ca="1">BDP("602409RC Muni","BICS_LEVEL_2_INDUSTRY_GROUP_NAME")</f>
        <v>#NAME?</v>
      </c>
      <c r="K1772" t="e">
        <f ca="1">BDP("602409RC Muni","SELF_REPRTD_GREEN_INSTR_INDCTR")</f>
        <v>#NAME?</v>
      </c>
      <c r="L1772" t="e">
        <f ca="1">BDP("602409RC Muni","GB_MANAGEMENT_PROCEEDS")</f>
        <v>#NAME?</v>
      </c>
      <c r="M1772" t="e">
        <f ca="1">BDP("602409RC Muni","GB_REPORTING")</f>
        <v>#NAME?</v>
      </c>
      <c r="N1772" t="e">
        <f ca="1">BDP("602409RC Muni","GB_ASSURANCE_PROVIDERS")</f>
        <v>#NAME?</v>
      </c>
      <c r="O1772" t="e">
        <f ca="1">BDP("602409RC Muni","GB_PROJECT_SELECTION_PROCESS")</f>
        <v>#NAME?</v>
      </c>
      <c r="P1772" t="e">
        <f ca="1">BDP("602409RC Muni","ESG_FRAMEWORK_INDICATOR")</f>
        <v>#NAME?</v>
      </c>
      <c r="Q1772" t="e">
        <f ca="1">BDP("602409RC Muni","BLOOMBERG_SECTOR_CODE")</f>
        <v>#NAME?</v>
      </c>
      <c r="R1772" t="e">
        <f ca="1">BDP("602409RC Muni","ISSUER_TYPE")</f>
        <v>#NAME?</v>
      </c>
      <c r="S1772" t="e">
        <f ca="1">BDS("602409RC Muni","ESG_PROJECT_CATEGORY", "aggregate=y")</f>
        <v>#NAME?</v>
      </c>
      <c r="T1772" t="e">
        <f ca="1">BDS("602409RC Muni","ESG_PROJECT_SUBCATEGORY", "aggregate=y")</f>
        <v>#NAME?</v>
      </c>
    </row>
    <row r="1773" spans="1:20" x14ac:dyDescent="0.25">
      <c r="A1773" t="e">
        <f ca="1">BDP("602409QV Muni","ID_CUSIP")</f>
        <v>#NAME?</v>
      </c>
      <c r="B1773" t="e">
        <f ca="1">BDP("602409QV Muni","STATE_CODE")</f>
        <v>#NAME?</v>
      </c>
      <c r="C1773" t="s">
        <v>107</v>
      </c>
      <c r="D1773" t="e">
        <f ca="1">BDP("602409QV Muni","YIELD_ON_ISSUE_DATE")</f>
        <v>#NAME?</v>
      </c>
      <c r="E1773">
        <v>4535000</v>
      </c>
      <c r="F1773" t="e">
        <f ca="1">BDP("602409QV Muni","ISSUE_DT")</f>
        <v>#NAME?</v>
      </c>
      <c r="G1773" t="e">
        <f ca="1">BDP("602409QV Muni","MATURITY")</f>
        <v>#NAME?</v>
      </c>
      <c r="H1773" t="e">
        <f ca="1">BDP("602409QV Muni","MUNI_TAX_PROV")</f>
        <v>#NAME?</v>
      </c>
      <c r="I1773" t="e">
        <f ca="1">BDP("602409QV Muni","FINANCING_TYPE")</f>
        <v>#NAME?</v>
      </c>
      <c r="J1773" t="e">
        <f ca="1">BDP("602409QV Muni","BICS_LEVEL_2_INDUSTRY_GROUP_NAME")</f>
        <v>#NAME?</v>
      </c>
      <c r="K1773" t="e">
        <f ca="1">BDP("602409QV Muni","SELF_REPRTD_GREEN_INSTR_INDCTR")</f>
        <v>#NAME?</v>
      </c>
      <c r="L1773" t="e">
        <f ca="1">BDP("602409QV Muni","GB_MANAGEMENT_PROCEEDS")</f>
        <v>#NAME?</v>
      </c>
      <c r="M1773" t="e">
        <f ca="1">BDP("602409QV Muni","GB_REPORTING")</f>
        <v>#NAME?</v>
      </c>
      <c r="N1773" t="e">
        <f ca="1">BDP("602409QV Muni","GB_ASSURANCE_PROVIDERS")</f>
        <v>#NAME?</v>
      </c>
      <c r="O1773" t="e">
        <f ca="1">BDP("602409QV Muni","GB_PROJECT_SELECTION_PROCESS")</f>
        <v>#NAME?</v>
      </c>
      <c r="P1773" t="e">
        <f ca="1">BDP("602409QV Muni","ESG_FRAMEWORK_INDICATOR")</f>
        <v>#NAME?</v>
      </c>
      <c r="Q1773" t="e">
        <f ca="1">BDP("602409QV Muni","BLOOMBERG_SECTOR_CODE")</f>
        <v>#NAME?</v>
      </c>
      <c r="R1773" t="e">
        <f ca="1">BDP("602409QV Muni","ISSUER_TYPE")</f>
        <v>#NAME?</v>
      </c>
      <c r="S1773" t="e">
        <f ca="1">BDS("602409QV Muni","ESG_PROJECT_CATEGORY", "aggregate=y")</f>
        <v>#NAME?</v>
      </c>
      <c r="T1773" t="e">
        <f ca="1">BDS("602409QV Muni","ESG_PROJECT_SUBCATEGORY", "aggregate=y")</f>
        <v>#NAME?</v>
      </c>
    </row>
    <row r="1774" spans="1:20" x14ac:dyDescent="0.25">
      <c r="A1774" t="e">
        <f ca="1">BDP("97709TEK Muni","ID_CUSIP")</f>
        <v>#NAME?</v>
      </c>
      <c r="B1774" t="e">
        <f ca="1">BDP("97709TEK Muni","STATE_CODE")</f>
        <v>#NAME?</v>
      </c>
      <c r="C1774" t="s">
        <v>105</v>
      </c>
      <c r="D1774" t="e">
        <f ca="1">BDP("97709TEK Muni","YIELD_ON_ISSUE_DATE")</f>
        <v>#NAME?</v>
      </c>
      <c r="E1774">
        <v>7420000</v>
      </c>
      <c r="F1774" t="e">
        <f ca="1">BDP("97709TEK Muni","ISSUE_DT")</f>
        <v>#NAME?</v>
      </c>
      <c r="G1774" t="e">
        <f ca="1">BDP("97709TEK Muni","MATURITY")</f>
        <v>#NAME?</v>
      </c>
      <c r="H1774" t="e">
        <f ca="1">BDP("97709TEK Muni","MUNI_TAX_PROV")</f>
        <v>#NAME?</v>
      </c>
      <c r="I1774" t="e">
        <f ca="1">BDP("97709TEK Muni","FINANCING_TYPE")</f>
        <v>#NAME?</v>
      </c>
      <c r="J1774" t="e">
        <f ca="1">BDP("97709TEK Muni","BICS_LEVEL_2_INDUSTRY_GROUP_NAME")</f>
        <v>#NAME?</v>
      </c>
      <c r="K1774" t="e">
        <f ca="1">BDP("97709TEK Muni","SELF_REPRTD_GREEN_INSTR_INDCTR")</f>
        <v>#NAME?</v>
      </c>
      <c r="L1774" t="e">
        <f ca="1">BDP("97709TEK Muni","GB_MANAGEMENT_PROCEEDS")</f>
        <v>#NAME?</v>
      </c>
      <c r="M1774" t="e">
        <f ca="1">BDP("97709TEK Muni","GB_REPORTING")</f>
        <v>#NAME?</v>
      </c>
      <c r="N1774" t="e">
        <f ca="1">BDP("97709TEK Muni","GB_ASSURANCE_PROVIDERS")</f>
        <v>#NAME?</v>
      </c>
      <c r="O1774" t="e">
        <f ca="1">BDP("97709TEK Muni","GB_PROJECT_SELECTION_PROCESS")</f>
        <v>#NAME?</v>
      </c>
      <c r="P1774" t="e">
        <f ca="1">BDP("97709TEK Muni","ESG_FRAMEWORK_INDICATOR")</f>
        <v>#NAME?</v>
      </c>
      <c r="Q1774" t="e">
        <f ca="1">BDP("97709TEK Muni","BLOOMBERG_SECTOR_CODE")</f>
        <v>#NAME?</v>
      </c>
      <c r="R1774" t="e">
        <f ca="1">BDP("97709TEK Muni","ISSUER_TYPE")</f>
        <v>#NAME?</v>
      </c>
      <c r="S1774" t="e">
        <f ca="1">BDS("97709TEK Muni","ESG_PROJECT_CATEGORY", "aggregate=y")</f>
        <v>#NAME?</v>
      </c>
      <c r="T1774" t="e">
        <f ca="1">BDS("97709TEK Muni","ESG_PROJECT_SUBCATEGORY", "aggregate=y")</f>
        <v>#NAME?</v>
      </c>
    </row>
    <row r="1775" spans="1:20" x14ac:dyDescent="0.25">
      <c r="A1775" t="e">
        <f ca="1">BDP("97709TEQ Muni","ID_CUSIP")</f>
        <v>#NAME?</v>
      </c>
      <c r="B1775" t="e">
        <f ca="1">BDP("97709TEQ Muni","STATE_CODE")</f>
        <v>#NAME?</v>
      </c>
      <c r="C1775" t="s">
        <v>105</v>
      </c>
      <c r="D1775" t="e">
        <f ca="1">BDP("97709TEQ Muni","YIELD_ON_ISSUE_DATE")</f>
        <v>#NAME?</v>
      </c>
      <c r="E1775">
        <v>5515000</v>
      </c>
      <c r="F1775" t="e">
        <f ca="1">BDP("97709TEQ Muni","ISSUE_DT")</f>
        <v>#NAME?</v>
      </c>
      <c r="G1775" t="e">
        <f ca="1">BDP("97709TEQ Muni","MATURITY")</f>
        <v>#NAME?</v>
      </c>
      <c r="H1775" t="e">
        <f ca="1">BDP("97709TEQ Muni","MUNI_TAX_PROV")</f>
        <v>#NAME?</v>
      </c>
      <c r="I1775" t="e">
        <f ca="1">BDP("97709TEQ Muni","FINANCING_TYPE")</f>
        <v>#NAME?</v>
      </c>
      <c r="J1775" t="e">
        <f ca="1">BDP("97709TEQ Muni","BICS_LEVEL_2_INDUSTRY_GROUP_NAME")</f>
        <v>#NAME?</v>
      </c>
      <c r="K1775" t="e">
        <f ca="1">BDP("97709TEQ Muni","SELF_REPRTD_GREEN_INSTR_INDCTR")</f>
        <v>#NAME?</v>
      </c>
      <c r="L1775" t="e">
        <f ca="1">BDP("97709TEQ Muni","GB_MANAGEMENT_PROCEEDS")</f>
        <v>#NAME?</v>
      </c>
      <c r="M1775" t="e">
        <f ca="1">BDP("97709TEQ Muni","GB_REPORTING")</f>
        <v>#NAME?</v>
      </c>
      <c r="N1775" t="e">
        <f ca="1">BDP("97709TEQ Muni","GB_ASSURANCE_PROVIDERS")</f>
        <v>#NAME?</v>
      </c>
      <c r="O1775" t="e">
        <f ca="1">BDP("97709TEQ Muni","GB_PROJECT_SELECTION_PROCESS")</f>
        <v>#NAME?</v>
      </c>
      <c r="P1775" t="e">
        <f ca="1">BDP("97709TEQ Muni","ESG_FRAMEWORK_INDICATOR")</f>
        <v>#NAME?</v>
      </c>
      <c r="Q1775" t="e">
        <f ca="1">BDP("97709TEQ Muni","BLOOMBERG_SECTOR_CODE")</f>
        <v>#NAME?</v>
      </c>
      <c r="R1775" t="e">
        <f ca="1">BDP("97709TEQ Muni","ISSUER_TYPE")</f>
        <v>#NAME?</v>
      </c>
      <c r="S1775" t="e">
        <f ca="1">BDS("97709TEQ Muni","ESG_PROJECT_CATEGORY", "aggregate=y")</f>
        <v>#NAME?</v>
      </c>
      <c r="T1775" t="e">
        <f ca="1">BDS("97709TEQ Muni","ESG_PROJECT_SUBCATEGORY", "aggregate=y")</f>
        <v>#NAME?</v>
      </c>
    </row>
    <row r="1776" spans="1:20" x14ac:dyDescent="0.25">
      <c r="A1776" t="e">
        <f ca="1">BDP("88035PLJ Muni","ID_CUSIP")</f>
        <v>#NAME?</v>
      </c>
      <c r="B1776" t="e">
        <f ca="1">BDP("88035PLJ Muni","STATE_CODE")</f>
        <v>#NAME?</v>
      </c>
      <c r="C1776" t="s">
        <v>25</v>
      </c>
      <c r="D1776" t="e">
        <f ca="1">BDP("88035PLJ Muni","YIELD_ON_ISSUE_DATE")</f>
        <v>#NAME?</v>
      </c>
      <c r="E1776">
        <v>12280000</v>
      </c>
      <c r="F1776" t="e">
        <f ca="1">BDP("88035PLJ Muni","ISSUE_DT")</f>
        <v>#NAME?</v>
      </c>
      <c r="G1776" t="e">
        <f ca="1">BDP("88035PLJ Muni","MATURITY")</f>
        <v>#NAME?</v>
      </c>
      <c r="H1776" t="e">
        <f ca="1">BDP("88035PLJ Muni","MUNI_TAX_PROV")</f>
        <v>#NAME?</v>
      </c>
      <c r="I1776" t="e">
        <f ca="1">BDP("88035PLJ Muni","FINANCING_TYPE")</f>
        <v>#NAME?</v>
      </c>
      <c r="J1776" t="e">
        <f ca="1">BDP("88035PLJ Muni","BICS_LEVEL_2_INDUSTRY_GROUP_NAME")</f>
        <v>#NAME?</v>
      </c>
      <c r="K1776" t="e">
        <f ca="1">BDP("88035PLJ Muni","SELF_REPRTD_GREEN_INSTR_INDCTR")</f>
        <v>#NAME?</v>
      </c>
      <c r="L1776" t="e">
        <f ca="1">BDP("88035PLJ Muni","GB_MANAGEMENT_PROCEEDS")</f>
        <v>#NAME?</v>
      </c>
      <c r="M1776" t="e">
        <f ca="1">BDP("88035PLJ Muni","GB_REPORTING")</f>
        <v>#NAME?</v>
      </c>
      <c r="N1776" t="e">
        <f ca="1">BDP("88035PLJ Muni","GB_ASSURANCE_PROVIDERS")</f>
        <v>#NAME?</v>
      </c>
      <c r="O1776" t="e">
        <f ca="1">BDP("88035PLJ Muni","GB_PROJECT_SELECTION_PROCESS")</f>
        <v>#NAME?</v>
      </c>
      <c r="P1776" t="e">
        <f ca="1">BDP("88035PLJ Muni","ESG_FRAMEWORK_INDICATOR")</f>
        <v>#NAME?</v>
      </c>
      <c r="Q1776" t="e">
        <f ca="1">BDP("88035PLJ Muni","BLOOMBERG_SECTOR_CODE")</f>
        <v>#NAME?</v>
      </c>
      <c r="R1776" t="e">
        <f ca="1">BDP("88035PLJ Muni","ISSUER_TYPE")</f>
        <v>#NAME?</v>
      </c>
      <c r="S1776" t="e">
        <f ca="1">BDS("88035PLJ Muni","ESG_PROJECT_CATEGORY", "aggregate=y")</f>
        <v>#NAME?</v>
      </c>
      <c r="T1776" t="e">
        <f ca="1">BDS("88035PLJ Muni","ESG_PROJECT_SUBCATEGORY", "aggregate=y")</f>
        <v>#NAME?</v>
      </c>
    </row>
    <row r="1777" spans="1:20" x14ac:dyDescent="0.25">
      <c r="A1777" t="e">
        <f ca="1">BDP("97709TEV Muni","ID_CUSIP")</f>
        <v>#NAME?</v>
      </c>
      <c r="B1777" t="e">
        <f ca="1">BDP("97709TEV Muni","STATE_CODE")</f>
        <v>#NAME?</v>
      </c>
      <c r="C1777" t="s">
        <v>105</v>
      </c>
      <c r="D1777" t="e">
        <f ca="1">BDP("97709TEV Muni","YIELD_ON_ISSUE_DATE")</f>
        <v>#NAME?</v>
      </c>
      <c r="E1777">
        <v>6460000</v>
      </c>
      <c r="F1777" t="e">
        <f ca="1">BDP("97709TEV Muni","ISSUE_DT")</f>
        <v>#NAME?</v>
      </c>
      <c r="G1777" t="e">
        <f ca="1">BDP("97709TEV Muni","MATURITY")</f>
        <v>#NAME?</v>
      </c>
      <c r="H1777" t="e">
        <f ca="1">BDP("97709TEV Muni","MUNI_TAX_PROV")</f>
        <v>#NAME?</v>
      </c>
      <c r="I1777" t="e">
        <f ca="1">BDP("97709TEV Muni","FINANCING_TYPE")</f>
        <v>#NAME?</v>
      </c>
      <c r="J1777" t="e">
        <f ca="1">BDP("97709TEV Muni","BICS_LEVEL_2_INDUSTRY_GROUP_NAME")</f>
        <v>#NAME?</v>
      </c>
      <c r="K1777" t="e">
        <f ca="1">BDP("97709TEV Muni","SELF_REPRTD_GREEN_INSTR_INDCTR")</f>
        <v>#NAME?</v>
      </c>
      <c r="L1777" t="e">
        <f ca="1">BDP("97709TEV Muni","GB_MANAGEMENT_PROCEEDS")</f>
        <v>#NAME?</v>
      </c>
      <c r="M1777" t="e">
        <f ca="1">BDP("97709TEV Muni","GB_REPORTING")</f>
        <v>#NAME?</v>
      </c>
      <c r="N1777" t="e">
        <f ca="1">BDP("97709TEV Muni","GB_ASSURANCE_PROVIDERS")</f>
        <v>#NAME?</v>
      </c>
      <c r="O1777" t="e">
        <f ca="1">BDP("97709TEV Muni","GB_PROJECT_SELECTION_PROCESS")</f>
        <v>#NAME?</v>
      </c>
      <c r="P1777" t="e">
        <f ca="1">BDP("97709TEV Muni","ESG_FRAMEWORK_INDICATOR")</f>
        <v>#NAME?</v>
      </c>
      <c r="Q1777" t="e">
        <f ca="1">BDP("97709TEV Muni","BLOOMBERG_SECTOR_CODE")</f>
        <v>#NAME?</v>
      </c>
      <c r="R1777" t="e">
        <f ca="1">BDP("97709TEV Muni","ISSUER_TYPE")</f>
        <v>#NAME?</v>
      </c>
      <c r="S1777" t="e">
        <f ca="1">BDS("97709TEV Muni","ESG_PROJECT_CATEGORY", "aggregate=y")</f>
        <v>#NAME?</v>
      </c>
      <c r="T1777" t="e">
        <f ca="1">BDS("97709TEV Muni","ESG_PROJECT_SUBCATEGORY", "aggregate=y")</f>
        <v>#NAME?</v>
      </c>
    </row>
    <row r="1778" spans="1:20" x14ac:dyDescent="0.25">
      <c r="A1778" t="e">
        <f ca="1">BDP("596697RR Muni","ID_CUSIP")</f>
        <v>#NAME?</v>
      </c>
      <c r="B1778" t="e">
        <f ca="1">BDP("596697RR Muni","STATE_CODE")</f>
        <v>#NAME?</v>
      </c>
      <c r="C1778" t="s">
        <v>106</v>
      </c>
      <c r="D1778" t="e">
        <f ca="1">BDP("596697RR Muni","YIELD_ON_ISSUE_DATE")</f>
        <v>#NAME?</v>
      </c>
      <c r="E1778">
        <v>235000</v>
      </c>
      <c r="F1778" t="e">
        <f ca="1">BDP("596697RR Muni","ISSUE_DT")</f>
        <v>#NAME?</v>
      </c>
      <c r="G1778" t="e">
        <f ca="1">BDP("596697RR Muni","MATURITY")</f>
        <v>#NAME?</v>
      </c>
      <c r="H1778" t="e">
        <f ca="1">BDP("596697RR Muni","MUNI_TAX_PROV")</f>
        <v>#NAME?</v>
      </c>
      <c r="I1778" t="e">
        <f ca="1">BDP("596697RR Muni","FINANCING_TYPE")</f>
        <v>#NAME?</v>
      </c>
      <c r="J1778" t="e">
        <f ca="1">BDP("596697RR Muni","BICS_LEVEL_2_INDUSTRY_GROUP_NAME")</f>
        <v>#NAME?</v>
      </c>
      <c r="K1778" t="e">
        <f ca="1">BDP("596697RR Muni","SELF_REPRTD_GREEN_INSTR_INDCTR")</f>
        <v>#NAME?</v>
      </c>
      <c r="L1778" t="e">
        <f ca="1">BDP("596697RR Muni","GB_MANAGEMENT_PROCEEDS")</f>
        <v>#NAME?</v>
      </c>
      <c r="M1778" t="e">
        <f ca="1">BDP("596697RR Muni","GB_REPORTING")</f>
        <v>#NAME?</v>
      </c>
      <c r="N1778" t="e">
        <f ca="1">BDP("596697RR Muni","GB_ASSURANCE_PROVIDERS")</f>
        <v>#NAME?</v>
      </c>
      <c r="O1778" t="e">
        <f ca="1">BDP("596697RR Muni","GB_PROJECT_SELECTION_PROCESS")</f>
        <v>#NAME?</v>
      </c>
      <c r="P1778" t="e">
        <f ca="1">BDP("596697RR Muni","ESG_FRAMEWORK_INDICATOR")</f>
        <v>#NAME?</v>
      </c>
      <c r="Q1778" t="e">
        <f ca="1">BDP("596697RR Muni","BLOOMBERG_SECTOR_CODE")</f>
        <v>#NAME?</v>
      </c>
      <c r="R1778" t="e">
        <f ca="1">BDP("596697RR Muni","ISSUER_TYPE")</f>
        <v>#NAME?</v>
      </c>
      <c r="S1778" t="e">
        <f ca="1">BDS("596697RR Muni","ESG_PROJECT_CATEGORY", "aggregate=y")</f>
        <v>#NAME?</v>
      </c>
      <c r="T1778" t="e">
        <f ca="1">BDS("596697RR Muni","ESG_PROJECT_SUBCATEGORY", "aggregate=y")</f>
        <v>#NAME?</v>
      </c>
    </row>
    <row r="1779" spans="1:20" x14ac:dyDescent="0.25">
      <c r="A1779" t="e">
        <f ca="1">BDP("602409RA Muni","ID_CUSIP")</f>
        <v>#NAME?</v>
      </c>
      <c r="B1779" t="e">
        <f ca="1">BDP("602409RA Muni","STATE_CODE")</f>
        <v>#NAME?</v>
      </c>
      <c r="C1779" t="s">
        <v>107</v>
      </c>
      <c r="D1779" t="e">
        <f ca="1">BDP("602409RA Muni","YIELD_ON_ISSUE_DATE")</f>
        <v>#NAME?</v>
      </c>
      <c r="E1779">
        <v>5790000</v>
      </c>
      <c r="F1779" t="e">
        <f ca="1">BDP("602409RA Muni","ISSUE_DT")</f>
        <v>#NAME?</v>
      </c>
      <c r="G1779" t="e">
        <f ca="1">BDP("602409RA Muni","MATURITY")</f>
        <v>#NAME?</v>
      </c>
      <c r="H1779" t="e">
        <f ca="1">BDP("602409RA Muni","MUNI_TAX_PROV")</f>
        <v>#NAME?</v>
      </c>
      <c r="I1779" t="e">
        <f ca="1">BDP("602409RA Muni","FINANCING_TYPE")</f>
        <v>#NAME?</v>
      </c>
      <c r="J1779" t="e">
        <f ca="1">BDP("602409RA Muni","BICS_LEVEL_2_INDUSTRY_GROUP_NAME")</f>
        <v>#NAME?</v>
      </c>
      <c r="K1779" t="e">
        <f ca="1">BDP("602409RA Muni","SELF_REPRTD_GREEN_INSTR_INDCTR")</f>
        <v>#NAME?</v>
      </c>
      <c r="L1779" t="e">
        <f ca="1">BDP("602409RA Muni","GB_MANAGEMENT_PROCEEDS")</f>
        <v>#NAME?</v>
      </c>
      <c r="M1779" t="e">
        <f ca="1">BDP("602409RA Muni","GB_REPORTING")</f>
        <v>#NAME?</v>
      </c>
      <c r="N1779" t="e">
        <f ca="1">BDP("602409RA Muni","GB_ASSURANCE_PROVIDERS")</f>
        <v>#NAME?</v>
      </c>
      <c r="O1779" t="e">
        <f ca="1">BDP("602409RA Muni","GB_PROJECT_SELECTION_PROCESS")</f>
        <v>#NAME?</v>
      </c>
      <c r="P1779" t="e">
        <f ca="1">BDP("602409RA Muni","ESG_FRAMEWORK_INDICATOR")</f>
        <v>#NAME?</v>
      </c>
      <c r="Q1779" t="e">
        <f ca="1">BDP("602409RA Muni","BLOOMBERG_SECTOR_CODE")</f>
        <v>#NAME?</v>
      </c>
      <c r="R1779" t="e">
        <f ca="1">BDP("602409RA Muni","ISSUER_TYPE")</f>
        <v>#NAME?</v>
      </c>
      <c r="S1779" t="e">
        <f ca="1">BDS("602409RA Muni","ESG_PROJECT_CATEGORY", "aggregate=y")</f>
        <v>#NAME?</v>
      </c>
      <c r="T1779" t="e">
        <f ca="1">BDS("602409RA Muni","ESG_PROJECT_SUBCATEGORY", "aggregate=y")</f>
        <v>#NAME?</v>
      </c>
    </row>
    <row r="1780" spans="1:20" x14ac:dyDescent="0.25">
      <c r="A1780" t="e">
        <f ca="1">BDP("97709TET Muni","ID_CUSIP")</f>
        <v>#NAME?</v>
      </c>
      <c r="B1780" t="e">
        <f ca="1">BDP("97709TET Muni","STATE_CODE")</f>
        <v>#NAME?</v>
      </c>
      <c r="C1780" t="s">
        <v>105</v>
      </c>
      <c r="D1780" t="e">
        <f ca="1">BDP("97709TET Muni","YIELD_ON_ISSUE_DATE")</f>
        <v>#NAME?</v>
      </c>
      <c r="E1780">
        <v>6130000</v>
      </c>
      <c r="F1780" t="e">
        <f ca="1">BDP("97709TET Muni","ISSUE_DT")</f>
        <v>#NAME?</v>
      </c>
      <c r="G1780" t="e">
        <f ca="1">BDP("97709TET Muni","MATURITY")</f>
        <v>#NAME?</v>
      </c>
      <c r="H1780" t="e">
        <f ca="1">BDP("97709TET Muni","MUNI_TAX_PROV")</f>
        <v>#NAME?</v>
      </c>
      <c r="I1780" t="e">
        <f ca="1">BDP("97709TET Muni","FINANCING_TYPE")</f>
        <v>#NAME?</v>
      </c>
      <c r="J1780" t="e">
        <f ca="1">BDP("97709TET Muni","BICS_LEVEL_2_INDUSTRY_GROUP_NAME")</f>
        <v>#NAME?</v>
      </c>
      <c r="K1780" t="e">
        <f ca="1">BDP("97709TET Muni","SELF_REPRTD_GREEN_INSTR_INDCTR")</f>
        <v>#NAME?</v>
      </c>
      <c r="L1780" t="e">
        <f ca="1">BDP("97709TET Muni","GB_MANAGEMENT_PROCEEDS")</f>
        <v>#NAME?</v>
      </c>
      <c r="M1780" t="e">
        <f ca="1">BDP("97709TET Muni","GB_REPORTING")</f>
        <v>#NAME?</v>
      </c>
      <c r="N1780" t="e">
        <f ca="1">BDP("97709TET Muni","GB_ASSURANCE_PROVIDERS")</f>
        <v>#NAME?</v>
      </c>
      <c r="O1780" t="e">
        <f ca="1">BDP("97709TET Muni","GB_PROJECT_SELECTION_PROCESS")</f>
        <v>#NAME?</v>
      </c>
      <c r="P1780" t="e">
        <f ca="1">BDP("97709TET Muni","ESG_FRAMEWORK_INDICATOR")</f>
        <v>#NAME?</v>
      </c>
      <c r="Q1780" t="e">
        <f ca="1">BDP("97709TET Muni","BLOOMBERG_SECTOR_CODE")</f>
        <v>#NAME?</v>
      </c>
      <c r="R1780" t="e">
        <f ca="1">BDP("97709TET Muni","ISSUER_TYPE")</f>
        <v>#NAME?</v>
      </c>
      <c r="S1780" t="e">
        <f ca="1">BDS("97709TET Muni","ESG_PROJECT_CATEGORY", "aggregate=y")</f>
        <v>#NAME?</v>
      </c>
      <c r="T1780" t="e">
        <f ca="1">BDS("97709TET Muni","ESG_PROJECT_SUBCATEGORY", "aggregate=y")</f>
        <v>#NAME?</v>
      </c>
    </row>
    <row r="1781" spans="1:20" x14ac:dyDescent="0.25">
      <c r="A1781" t="e">
        <f ca="1">BDP("596697RM Muni","ID_CUSIP")</f>
        <v>#NAME?</v>
      </c>
      <c r="B1781" t="e">
        <f ca="1">BDP("596697RM Muni","STATE_CODE")</f>
        <v>#NAME?</v>
      </c>
      <c r="C1781" t="s">
        <v>106</v>
      </c>
      <c r="D1781" t="e">
        <f ca="1">BDP("596697RM Muni","YIELD_ON_ISSUE_DATE")</f>
        <v>#NAME?</v>
      </c>
      <c r="E1781">
        <v>100000</v>
      </c>
      <c r="F1781" t="e">
        <f ca="1">BDP("596697RM Muni","ISSUE_DT")</f>
        <v>#NAME?</v>
      </c>
      <c r="G1781" t="e">
        <f ca="1">BDP("596697RM Muni","MATURITY")</f>
        <v>#NAME?</v>
      </c>
      <c r="H1781" t="e">
        <f ca="1">BDP("596697RM Muni","MUNI_TAX_PROV")</f>
        <v>#NAME?</v>
      </c>
      <c r="I1781" t="e">
        <f ca="1">BDP("596697RM Muni","FINANCING_TYPE")</f>
        <v>#NAME?</v>
      </c>
      <c r="J1781" t="e">
        <f ca="1">BDP("596697RM Muni","BICS_LEVEL_2_INDUSTRY_GROUP_NAME")</f>
        <v>#NAME?</v>
      </c>
      <c r="K1781" t="e">
        <f ca="1">BDP("596697RM Muni","SELF_REPRTD_GREEN_INSTR_INDCTR")</f>
        <v>#NAME?</v>
      </c>
      <c r="L1781" t="e">
        <f ca="1">BDP("596697RM Muni","GB_MANAGEMENT_PROCEEDS")</f>
        <v>#NAME?</v>
      </c>
      <c r="M1781" t="e">
        <f ca="1">BDP("596697RM Muni","GB_REPORTING")</f>
        <v>#NAME?</v>
      </c>
      <c r="N1781" t="e">
        <f ca="1">BDP("596697RM Muni","GB_ASSURANCE_PROVIDERS")</f>
        <v>#NAME?</v>
      </c>
      <c r="O1781" t="e">
        <f ca="1">BDP("596697RM Muni","GB_PROJECT_SELECTION_PROCESS")</f>
        <v>#NAME?</v>
      </c>
      <c r="P1781" t="e">
        <f ca="1">BDP("596697RM Muni","ESG_FRAMEWORK_INDICATOR")</f>
        <v>#NAME?</v>
      </c>
      <c r="Q1781" t="e">
        <f ca="1">BDP("596697RM Muni","BLOOMBERG_SECTOR_CODE")</f>
        <v>#NAME?</v>
      </c>
      <c r="R1781" t="e">
        <f ca="1">BDP("596697RM Muni","ISSUER_TYPE")</f>
        <v>#NAME?</v>
      </c>
      <c r="S1781" t="e">
        <f ca="1">BDS("596697RM Muni","ESG_PROJECT_CATEGORY", "aggregate=y")</f>
        <v>#NAME?</v>
      </c>
      <c r="T1781" t="e">
        <f ca="1">BDS("596697RM Muni","ESG_PROJECT_SUBCATEGORY", "aggregate=y")</f>
        <v>#NAME?</v>
      </c>
    </row>
    <row r="1782" spans="1:20" x14ac:dyDescent="0.25">
      <c r="A1782" t="e">
        <f ca="1">BDP("596697RU Muni","ID_CUSIP")</f>
        <v>#NAME?</v>
      </c>
      <c r="B1782" t="e">
        <f ca="1">BDP("596697RU Muni","STATE_CODE")</f>
        <v>#NAME?</v>
      </c>
      <c r="C1782" t="s">
        <v>106</v>
      </c>
      <c r="D1782" t="e">
        <f ca="1">BDP("596697RU Muni","YIELD_ON_ISSUE_DATE")</f>
        <v>#NAME?</v>
      </c>
      <c r="E1782">
        <v>270000</v>
      </c>
      <c r="F1782" t="e">
        <f ca="1">BDP("596697RU Muni","ISSUE_DT")</f>
        <v>#NAME?</v>
      </c>
      <c r="G1782" t="e">
        <f ca="1">BDP("596697RU Muni","MATURITY")</f>
        <v>#NAME?</v>
      </c>
      <c r="H1782" t="e">
        <f ca="1">BDP("596697RU Muni","MUNI_TAX_PROV")</f>
        <v>#NAME?</v>
      </c>
      <c r="I1782" t="e">
        <f ca="1">BDP("596697RU Muni","FINANCING_TYPE")</f>
        <v>#NAME?</v>
      </c>
      <c r="J1782" t="e">
        <f ca="1">BDP("596697RU Muni","BICS_LEVEL_2_INDUSTRY_GROUP_NAME")</f>
        <v>#NAME?</v>
      </c>
      <c r="K1782" t="e">
        <f ca="1">BDP("596697RU Muni","SELF_REPRTD_GREEN_INSTR_INDCTR")</f>
        <v>#NAME?</v>
      </c>
      <c r="L1782" t="e">
        <f ca="1">BDP("596697RU Muni","GB_MANAGEMENT_PROCEEDS")</f>
        <v>#NAME?</v>
      </c>
      <c r="M1782" t="e">
        <f ca="1">BDP("596697RU Muni","GB_REPORTING")</f>
        <v>#NAME?</v>
      </c>
      <c r="N1782" t="e">
        <f ca="1">BDP("596697RU Muni","GB_ASSURANCE_PROVIDERS")</f>
        <v>#NAME?</v>
      </c>
      <c r="O1782" t="e">
        <f ca="1">BDP("596697RU Muni","GB_PROJECT_SELECTION_PROCESS")</f>
        <v>#NAME?</v>
      </c>
      <c r="P1782" t="e">
        <f ca="1">BDP("596697RU Muni","ESG_FRAMEWORK_INDICATOR")</f>
        <v>#NAME?</v>
      </c>
      <c r="Q1782" t="e">
        <f ca="1">BDP("596697RU Muni","BLOOMBERG_SECTOR_CODE")</f>
        <v>#NAME?</v>
      </c>
      <c r="R1782" t="e">
        <f ca="1">BDP("596697RU Muni","ISSUER_TYPE")</f>
        <v>#NAME?</v>
      </c>
      <c r="S1782" t="e">
        <f ca="1">BDS("596697RU Muni","ESG_PROJECT_CATEGORY", "aggregate=y")</f>
        <v>#NAME?</v>
      </c>
      <c r="T1782" t="e">
        <f ca="1">BDS("596697RU Muni","ESG_PROJECT_SUBCATEGORY", "aggregate=y")</f>
        <v>#NAME?</v>
      </c>
    </row>
    <row r="1783" spans="1:20" x14ac:dyDescent="0.25">
      <c r="A1783" t="e">
        <f ca="1">BDP("602409QM Muni","ID_CUSIP")</f>
        <v>#NAME?</v>
      </c>
      <c r="B1783" t="e">
        <f ca="1">BDP("602409QM Muni","STATE_CODE")</f>
        <v>#NAME?</v>
      </c>
      <c r="C1783" t="s">
        <v>107</v>
      </c>
      <c r="D1783" t="e">
        <f ca="1">BDP("602409QM Muni","YIELD_ON_ISSUE_DATE")</f>
        <v>#NAME?</v>
      </c>
      <c r="E1783">
        <v>3070000</v>
      </c>
      <c r="F1783" t="e">
        <f ca="1">BDP("602409QM Muni","ISSUE_DT")</f>
        <v>#NAME?</v>
      </c>
      <c r="G1783" t="e">
        <f ca="1">BDP("602409QM Muni","MATURITY")</f>
        <v>#NAME?</v>
      </c>
      <c r="H1783" t="e">
        <f ca="1">BDP("602409QM Muni","MUNI_TAX_PROV")</f>
        <v>#NAME?</v>
      </c>
      <c r="I1783" t="e">
        <f ca="1">BDP("602409QM Muni","FINANCING_TYPE")</f>
        <v>#NAME?</v>
      </c>
      <c r="J1783" t="e">
        <f ca="1">BDP("602409QM Muni","BICS_LEVEL_2_INDUSTRY_GROUP_NAME")</f>
        <v>#NAME?</v>
      </c>
      <c r="K1783" t="e">
        <f ca="1">BDP("602409QM Muni","SELF_REPRTD_GREEN_INSTR_INDCTR")</f>
        <v>#NAME?</v>
      </c>
      <c r="L1783" t="e">
        <f ca="1">BDP("602409QM Muni","GB_MANAGEMENT_PROCEEDS")</f>
        <v>#NAME?</v>
      </c>
      <c r="M1783" t="e">
        <f ca="1">BDP("602409QM Muni","GB_REPORTING")</f>
        <v>#NAME?</v>
      </c>
      <c r="N1783" t="e">
        <f ca="1">BDP("602409QM Muni","GB_ASSURANCE_PROVIDERS")</f>
        <v>#NAME?</v>
      </c>
      <c r="O1783" t="e">
        <f ca="1">BDP("602409QM Muni","GB_PROJECT_SELECTION_PROCESS")</f>
        <v>#NAME?</v>
      </c>
      <c r="P1783" t="e">
        <f ca="1">BDP("602409QM Muni","ESG_FRAMEWORK_INDICATOR")</f>
        <v>#NAME?</v>
      </c>
      <c r="Q1783" t="e">
        <f ca="1">BDP("602409QM Muni","BLOOMBERG_SECTOR_CODE")</f>
        <v>#NAME?</v>
      </c>
      <c r="R1783" t="e">
        <f ca="1">BDP("602409QM Muni","ISSUER_TYPE")</f>
        <v>#NAME?</v>
      </c>
      <c r="S1783" t="e">
        <f ca="1">BDS("602409QM Muni","ESG_PROJECT_CATEGORY", "aggregate=y")</f>
        <v>#NAME?</v>
      </c>
      <c r="T1783" t="e">
        <f ca="1">BDS("602409QM Muni","ESG_PROJECT_SUBCATEGORY", "aggregate=y")</f>
        <v>#NAME?</v>
      </c>
    </row>
    <row r="1784" spans="1:20" x14ac:dyDescent="0.25">
      <c r="A1784" t="e">
        <f ca="1">BDP("602409QP Muni","ID_CUSIP")</f>
        <v>#NAME?</v>
      </c>
      <c r="B1784" t="e">
        <f ca="1">BDP("602409QP Muni","STATE_CODE")</f>
        <v>#NAME?</v>
      </c>
      <c r="C1784" t="s">
        <v>107</v>
      </c>
      <c r="D1784" t="e">
        <f ca="1">BDP("602409QP Muni","YIELD_ON_ISSUE_DATE")</f>
        <v>#NAME?</v>
      </c>
      <c r="E1784">
        <v>3385000</v>
      </c>
      <c r="F1784" t="e">
        <f ca="1">BDP("602409QP Muni","ISSUE_DT")</f>
        <v>#NAME?</v>
      </c>
      <c r="G1784" t="e">
        <f ca="1">BDP("602409QP Muni","MATURITY")</f>
        <v>#NAME?</v>
      </c>
      <c r="H1784" t="e">
        <f ca="1">BDP("602409QP Muni","MUNI_TAX_PROV")</f>
        <v>#NAME?</v>
      </c>
      <c r="I1784" t="e">
        <f ca="1">BDP("602409QP Muni","FINANCING_TYPE")</f>
        <v>#NAME?</v>
      </c>
      <c r="J1784" t="e">
        <f ca="1">BDP("602409QP Muni","BICS_LEVEL_2_INDUSTRY_GROUP_NAME")</f>
        <v>#NAME?</v>
      </c>
      <c r="K1784" t="e">
        <f ca="1">BDP("602409QP Muni","SELF_REPRTD_GREEN_INSTR_INDCTR")</f>
        <v>#NAME?</v>
      </c>
      <c r="L1784" t="e">
        <f ca="1">BDP("602409QP Muni","GB_MANAGEMENT_PROCEEDS")</f>
        <v>#NAME?</v>
      </c>
      <c r="M1784" t="e">
        <f ca="1">BDP("602409QP Muni","GB_REPORTING")</f>
        <v>#NAME?</v>
      </c>
      <c r="N1784" t="e">
        <f ca="1">BDP("602409QP Muni","GB_ASSURANCE_PROVIDERS")</f>
        <v>#NAME?</v>
      </c>
      <c r="O1784" t="e">
        <f ca="1">BDP("602409QP Muni","GB_PROJECT_SELECTION_PROCESS")</f>
        <v>#NAME?</v>
      </c>
      <c r="P1784" t="e">
        <f ca="1">BDP("602409QP Muni","ESG_FRAMEWORK_INDICATOR")</f>
        <v>#NAME?</v>
      </c>
      <c r="Q1784" t="e">
        <f ca="1">BDP("602409QP Muni","BLOOMBERG_SECTOR_CODE")</f>
        <v>#NAME?</v>
      </c>
      <c r="R1784" t="e">
        <f ca="1">BDP("602409QP Muni","ISSUER_TYPE")</f>
        <v>#NAME?</v>
      </c>
      <c r="S1784" t="e">
        <f ca="1">BDS("602409QP Muni","ESG_PROJECT_CATEGORY", "aggregate=y")</f>
        <v>#NAME?</v>
      </c>
      <c r="T1784" t="e">
        <f ca="1">BDS("602409QP Muni","ESG_PROJECT_SUBCATEGORY", "aggregate=y")</f>
        <v>#NAME?</v>
      </c>
    </row>
    <row r="1785" spans="1:20" x14ac:dyDescent="0.25">
      <c r="A1785" t="e">
        <f ca="1">BDP("602409QS Muni","ID_CUSIP")</f>
        <v>#NAME?</v>
      </c>
      <c r="B1785" t="e">
        <f ca="1">BDP("602409QS Muni","STATE_CODE")</f>
        <v>#NAME?</v>
      </c>
      <c r="C1785" t="s">
        <v>107</v>
      </c>
      <c r="D1785" t="e">
        <f ca="1">BDP("602409QS Muni","YIELD_ON_ISSUE_DATE")</f>
        <v>#NAME?</v>
      </c>
      <c r="E1785">
        <v>3915000</v>
      </c>
      <c r="F1785" t="e">
        <f ca="1">BDP("602409QS Muni","ISSUE_DT")</f>
        <v>#NAME?</v>
      </c>
      <c r="G1785" t="e">
        <f ca="1">BDP("602409QS Muni","MATURITY")</f>
        <v>#NAME?</v>
      </c>
      <c r="H1785" t="e">
        <f ca="1">BDP("602409QS Muni","MUNI_TAX_PROV")</f>
        <v>#NAME?</v>
      </c>
      <c r="I1785" t="e">
        <f ca="1">BDP("602409QS Muni","FINANCING_TYPE")</f>
        <v>#NAME?</v>
      </c>
      <c r="J1785" t="e">
        <f ca="1">BDP("602409QS Muni","BICS_LEVEL_2_INDUSTRY_GROUP_NAME")</f>
        <v>#NAME?</v>
      </c>
      <c r="K1785" t="e">
        <f ca="1">BDP("602409QS Muni","SELF_REPRTD_GREEN_INSTR_INDCTR")</f>
        <v>#NAME?</v>
      </c>
      <c r="L1785" t="e">
        <f ca="1">BDP("602409QS Muni","GB_MANAGEMENT_PROCEEDS")</f>
        <v>#NAME?</v>
      </c>
      <c r="M1785" t="e">
        <f ca="1">BDP("602409QS Muni","GB_REPORTING")</f>
        <v>#NAME?</v>
      </c>
      <c r="N1785" t="e">
        <f ca="1">BDP("602409QS Muni","GB_ASSURANCE_PROVIDERS")</f>
        <v>#NAME?</v>
      </c>
      <c r="O1785" t="e">
        <f ca="1">BDP("602409QS Muni","GB_PROJECT_SELECTION_PROCESS")</f>
        <v>#NAME?</v>
      </c>
      <c r="P1785" t="e">
        <f ca="1">BDP("602409QS Muni","ESG_FRAMEWORK_INDICATOR")</f>
        <v>#NAME?</v>
      </c>
      <c r="Q1785" t="e">
        <f ca="1">BDP("602409QS Muni","BLOOMBERG_SECTOR_CODE")</f>
        <v>#NAME?</v>
      </c>
      <c r="R1785" t="e">
        <f ca="1">BDP("602409QS Muni","ISSUER_TYPE")</f>
        <v>#NAME?</v>
      </c>
      <c r="S1785" t="e">
        <f ca="1">BDS("602409QS Muni","ESG_PROJECT_CATEGORY", "aggregate=y")</f>
        <v>#NAME?</v>
      </c>
      <c r="T1785" t="e">
        <f ca="1">BDS("602409QS Muni","ESG_PROJECT_SUBCATEGORY", "aggregate=y")</f>
        <v>#NAME?</v>
      </c>
    </row>
    <row r="1786" spans="1:20" x14ac:dyDescent="0.25">
      <c r="A1786" t="e">
        <f ca="1">BDP("596697RS Muni","ID_CUSIP")</f>
        <v>#NAME?</v>
      </c>
      <c r="B1786" t="e">
        <f ca="1">BDP("596697RS Muni","STATE_CODE")</f>
        <v>#NAME?</v>
      </c>
      <c r="C1786" t="s">
        <v>106</v>
      </c>
      <c r="D1786" t="e">
        <f ca="1">BDP("596697RS Muni","YIELD_ON_ISSUE_DATE")</f>
        <v>#NAME?</v>
      </c>
      <c r="E1786">
        <v>245000</v>
      </c>
      <c r="F1786" t="e">
        <f ca="1">BDP("596697RS Muni","ISSUE_DT")</f>
        <v>#NAME?</v>
      </c>
      <c r="G1786" t="e">
        <f ca="1">BDP("596697RS Muni","MATURITY")</f>
        <v>#NAME?</v>
      </c>
      <c r="H1786" t="e">
        <f ca="1">BDP("596697RS Muni","MUNI_TAX_PROV")</f>
        <v>#NAME?</v>
      </c>
      <c r="I1786" t="e">
        <f ca="1">BDP("596697RS Muni","FINANCING_TYPE")</f>
        <v>#NAME?</v>
      </c>
      <c r="J1786" t="e">
        <f ca="1">BDP("596697RS Muni","BICS_LEVEL_2_INDUSTRY_GROUP_NAME")</f>
        <v>#NAME?</v>
      </c>
      <c r="K1786" t="e">
        <f ca="1">BDP("596697RS Muni","SELF_REPRTD_GREEN_INSTR_INDCTR")</f>
        <v>#NAME?</v>
      </c>
      <c r="L1786" t="e">
        <f ca="1">BDP("596697RS Muni","GB_MANAGEMENT_PROCEEDS")</f>
        <v>#NAME?</v>
      </c>
      <c r="M1786" t="e">
        <f ca="1">BDP("596697RS Muni","GB_REPORTING")</f>
        <v>#NAME?</v>
      </c>
      <c r="N1786" t="e">
        <f ca="1">BDP("596697RS Muni","GB_ASSURANCE_PROVIDERS")</f>
        <v>#NAME?</v>
      </c>
      <c r="O1786" t="e">
        <f ca="1">BDP("596697RS Muni","GB_PROJECT_SELECTION_PROCESS")</f>
        <v>#NAME?</v>
      </c>
      <c r="P1786" t="e">
        <f ca="1">BDP("596697RS Muni","ESG_FRAMEWORK_INDICATOR")</f>
        <v>#NAME?</v>
      </c>
      <c r="Q1786" t="e">
        <f ca="1">BDP("596697RS Muni","BLOOMBERG_SECTOR_CODE")</f>
        <v>#NAME?</v>
      </c>
      <c r="R1786" t="e">
        <f ca="1">BDP("596697RS Muni","ISSUER_TYPE")</f>
        <v>#NAME?</v>
      </c>
      <c r="S1786" t="e">
        <f ca="1">BDS("596697RS Muni","ESG_PROJECT_CATEGORY", "aggregate=y")</f>
        <v>#NAME?</v>
      </c>
      <c r="T1786" t="e">
        <f ca="1">BDS("596697RS Muni","ESG_PROJECT_SUBCATEGORY", "aggregate=y")</f>
        <v>#NAME?</v>
      </c>
    </row>
    <row r="1787" spans="1:20" x14ac:dyDescent="0.25">
      <c r="A1787" t="e">
        <f ca="1">BDP("596697RV Muni","ID_CUSIP")</f>
        <v>#NAME?</v>
      </c>
      <c r="B1787" t="e">
        <f ca="1">BDP("596697RV Muni","STATE_CODE")</f>
        <v>#NAME?</v>
      </c>
      <c r="C1787" t="s">
        <v>106</v>
      </c>
      <c r="D1787" t="e">
        <f ca="1">BDP("596697RV Muni","YIELD_ON_ISSUE_DATE")</f>
        <v>#NAME?</v>
      </c>
      <c r="E1787">
        <v>285000</v>
      </c>
      <c r="F1787" t="e">
        <f ca="1">BDP("596697RV Muni","ISSUE_DT")</f>
        <v>#NAME?</v>
      </c>
      <c r="G1787" t="e">
        <f ca="1">BDP("596697RV Muni","MATURITY")</f>
        <v>#NAME?</v>
      </c>
      <c r="H1787" t="e">
        <f ca="1">BDP("596697RV Muni","MUNI_TAX_PROV")</f>
        <v>#NAME?</v>
      </c>
      <c r="I1787" t="e">
        <f ca="1">BDP("596697RV Muni","FINANCING_TYPE")</f>
        <v>#NAME?</v>
      </c>
      <c r="J1787" t="e">
        <f ca="1">BDP("596697RV Muni","BICS_LEVEL_2_INDUSTRY_GROUP_NAME")</f>
        <v>#NAME?</v>
      </c>
      <c r="K1787" t="e">
        <f ca="1">BDP("596697RV Muni","SELF_REPRTD_GREEN_INSTR_INDCTR")</f>
        <v>#NAME?</v>
      </c>
      <c r="L1787" t="e">
        <f ca="1">BDP("596697RV Muni","GB_MANAGEMENT_PROCEEDS")</f>
        <v>#NAME?</v>
      </c>
      <c r="M1787" t="e">
        <f ca="1">BDP("596697RV Muni","GB_REPORTING")</f>
        <v>#NAME?</v>
      </c>
      <c r="N1787" t="e">
        <f ca="1">BDP("596697RV Muni","GB_ASSURANCE_PROVIDERS")</f>
        <v>#NAME?</v>
      </c>
      <c r="O1787" t="e">
        <f ca="1">BDP("596697RV Muni","GB_PROJECT_SELECTION_PROCESS")</f>
        <v>#NAME?</v>
      </c>
      <c r="P1787" t="e">
        <f ca="1">BDP("596697RV Muni","ESG_FRAMEWORK_INDICATOR")</f>
        <v>#NAME?</v>
      </c>
      <c r="Q1787" t="e">
        <f ca="1">BDP("596697RV Muni","BLOOMBERG_SECTOR_CODE")</f>
        <v>#NAME?</v>
      </c>
      <c r="R1787" t="e">
        <f ca="1">BDP("596697RV Muni","ISSUER_TYPE")</f>
        <v>#NAME?</v>
      </c>
      <c r="S1787" t="e">
        <f ca="1">BDS("596697RV Muni","ESG_PROJECT_CATEGORY", "aggregate=y")</f>
        <v>#NAME?</v>
      </c>
      <c r="T1787" t="e">
        <f ca="1">BDS("596697RV Muni","ESG_PROJECT_SUBCATEGORY", "aggregate=y")</f>
        <v>#NAME?</v>
      </c>
    </row>
    <row r="1788" spans="1:20" x14ac:dyDescent="0.25">
      <c r="A1788" t="e">
        <f ca="1">BDP("596697RX Muni","ID_CUSIP")</f>
        <v>#NAME?</v>
      </c>
      <c r="B1788" t="e">
        <f ca="1">BDP("596697RX Muni","STATE_CODE")</f>
        <v>#NAME?</v>
      </c>
      <c r="C1788" t="s">
        <v>106</v>
      </c>
      <c r="D1788" t="e">
        <f ca="1">BDP("596697RX Muni","YIELD_ON_ISSUE_DATE")</f>
        <v>#NAME?</v>
      </c>
      <c r="E1788">
        <v>1000000</v>
      </c>
      <c r="F1788" t="e">
        <f ca="1">BDP("596697RX Muni","ISSUE_DT")</f>
        <v>#NAME?</v>
      </c>
      <c r="G1788" t="e">
        <f ca="1">BDP("596697RX Muni","MATURITY")</f>
        <v>#NAME?</v>
      </c>
      <c r="H1788" t="e">
        <f ca="1">BDP("596697RX Muni","MUNI_TAX_PROV")</f>
        <v>#NAME?</v>
      </c>
      <c r="I1788" t="e">
        <f ca="1">BDP("596697RX Muni","FINANCING_TYPE")</f>
        <v>#NAME?</v>
      </c>
      <c r="J1788" t="e">
        <f ca="1">BDP("596697RX Muni","BICS_LEVEL_2_INDUSTRY_GROUP_NAME")</f>
        <v>#NAME?</v>
      </c>
      <c r="K1788" t="e">
        <f ca="1">BDP("596697RX Muni","SELF_REPRTD_GREEN_INSTR_INDCTR")</f>
        <v>#NAME?</v>
      </c>
      <c r="L1788" t="e">
        <f ca="1">BDP("596697RX Muni","GB_MANAGEMENT_PROCEEDS")</f>
        <v>#NAME?</v>
      </c>
      <c r="M1788" t="e">
        <f ca="1">BDP("596697RX Muni","GB_REPORTING")</f>
        <v>#NAME?</v>
      </c>
      <c r="N1788" t="e">
        <f ca="1">BDP("596697RX Muni","GB_ASSURANCE_PROVIDERS")</f>
        <v>#NAME?</v>
      </c>
      <c r="O1788" t="e">
        <f ca="1">BDP("596697RX Muni","GB_PROJECT_SELECTION_PROCESS")</f>
        <v>#NAME?</v>
      </c>
      <c r="P1788" t="e">
        <f ca="1">BDP("596697RX Muni","ESG_FRAMEWORK_INDICATOR")</f>
        <v>#NAME?</v>
      </c>
      <c r="Q1788" t="e">
        <f ca="1">BDP("596697RX Muni","BLOOMBERG_SECTOR_CODE")</f>
        <v>#NAME?</v>
      </c>
      <c r="R1788" t="e">
        <f ca="1">BDP("596697RX Muni","ISSUER_TYPE")</f>
        <v>#NAME?</v>
      </c>
      <c r="S1788" t="e">
        <f ca="1">BDS("596697RX Muni","ESG_PROJECT_CATEGORY", "aggregate=y")</f>
        <v>#NAME?</v>
      </c>
      <c r="T1788" t="e">
        <f ca="1">BDS("596697RX Muni","ESG_PROJECT_SUBCATEGORY", "aggregate=y")</f>
        <v>#NAME?</v>
      </c>
    </row>
    <row r="1789" spans="1:20" x14ac:dyDescent="0.25">
      <c r="A1789" t="e">
        <f ca="1">BDP("596697RY Muni","ID_CUSIP")</f>
        <v>#NAME?</v>
      </c>
      <c r="B1789" t="e">
        <f ca="1">BDP("596697RY Muni","STATE_CODE")</f>
        <v>#NAME?</v>
      </c>
      <c r="C1789" t="s">
        <v>106</v>
      </c>
      <c r="D1789" t="e">
        <f ca="1">BDP("596697RY Muni","YIELD_ON_ISSUE_DATE")</f>
        <v>#NAME?</v>
      </c>
      <c r="E1789">
        <v>360000</v>
      </c>
      <c r="F1789" t="e">
        <f ca="1">BDP("596697RY Muni","ISSUE_DT")</f>
        <v>#NAME?</v>
      </c>
      <c r="G1789" t="e">
        <f ca="1">BDP("596697RY Muni","MATURITY")</f>
        <v>#NAME?</v>
      </c>
      <c r="H1789" t="e">
        <f ca="1">BDP("596697RY Muni","MUNI_TAX_PROV")</f>
        <v>#NAME?</v>
      </c>
      <c r="I1789" t="e">
        <f ca="1">BDP("596697RY Muni","FINANCING_TYPE")</f>
        <v>#NAME?</v>
      </c>
      <c r="J1789" t="e">
        <f ca="1">BDP("596697RY Muni","BICS_LEVEL_2_INDUSTRY_GROUP_NAME")</f>
        <v>#NAME?</v>
      </c>
      <c r="K1789" t="e">
        <f ca="1">BDP("596697RY Muni","SELF_REPRTD_GREEN_INSTR_INDCTR")</f>
        <v>#NAME?</v>
      </c>
      <c r="L1789" t="e">
        <f ca="1">BDP("596697RY Muni","GB_MANAGEMENT_PROCEEDS")</f>
        <v>#NAME?</v>
      </c>
      <c r="M1789" t="e">
        <f ca="1">BDP("596697RY Muni","GB_REPORTING")</f>
        <v>#NAME?</v>
      </c>
      <c r="N1789" t="e">
        <f ca="1">BDP("596697RY Muni","GB_ASSURANCE_PROVIDERS")</f>
        <v>#NAME?</v>
      </c>
      <c r="O1789" t="e">
        <f ca="1">BDP("596697RY Muni","GB_PROJECT_SELECTION_PROCESS")</f>
        <v>#NAME?</v>
      </c>
      <c r="P1789" t="e">
        <f ca="1">BDP("596697RY Muni","ESG_FRAMEWORK_INDICATOR")</f>
        <v>#NAME?</v>
      </c>
      <c r="Q1789" t="e">
        <f ca="1">BDP("596697RY Muni","BLOOMBERG_SECTOR_CODE")</f>
        <v>#NAME?</v>
      </c>
      <c r="R1789" t="e">
        <f ca="1">BDP("596697RY Muni","ISSUER_TYPE")</f>
        <v>#NAME?</v>
      </c>
      <c r="S1789" t="e">
        <f ca="1">BDS("596697RY Muni","ESG_PROJECT_CATEGORY", "aggregate=y")</f>
        <v>#NAME?</v>
      </c>
      <c r="T1789" t="e">
        <f ca="1">BDS("596697RY Muni","ESG_PROJECT_SUBCATEGORY", "aggregate=y")</f>
        <v>#NAME?</v>
      </c>
    </row>
    <row r="1790" spans="1:20" x14ac:dyDescent="0.25">
      <c r="A1790" t="e">
        <f ca="1">BDP("602409QL Muni","ID_CUSIP")</f>
        <v>#NAME?</v>
      </c>
      <c r="B1790" t="e">
        <f ca="1">BDP("602409QL Muni","STATE_CODE")</f>
        <v>#NAME?</v>
      </c>
      <c r="C1790" t="s">
        <v>107</v>
      </c>
      <c r="D1790" t="e">
        <f ca="1">BDP("602409QL Muni","YIELD_ON_ISSUE_DATE")</f>
        <v>#NAME?</v>
      </c>
      <c r="E1790">
        <v>2925000</v>
      </c>
      <c r="F1790" t="e">
        <f ca="1">BDP("602409QL Muni","ISSUE_DT")</f>
        <v>#NAME?</v>
      </c>
      <c r="G1790" t="e">
        <f ca="1">BDP("602409QL Muni","MATURITY")</f>
        <v>#NAME?</v>
      </c>
      <c r="H1790" t="e">
        <f ca="1">BDP("602409QL Muni","MUNI_TAX_PROV")</f>
        <v>#NAME?</v>
      </c>
      <c r="I1790" t="e">
        <f ca="1">BDP("602409QL Muni","FINANCING_TYPE")</f>
        <v>#NAME?</v>
      </c>
      <c r="J1790" t="e">
        <f ca="1">BDP("602409QL Muni","BICS_LEVEL_2_INDUSTRY_GROUP_NAME")</f>
        <v>#NAME?</v>
      </c>
      <c r="K1790" t="e">
        <f ca="1">BDP("602409QL Muni","SELF_REPRTD_GREEN_INSTR_INDCTR")</f>
        <v>#NAME?</v>
      </c>
      <c r="L1790" t="e">
        <f ca="1">BDP("602409QL Muni","GB_MANAGEMENT_PROCEEDS")</f>
        <v>#NAME?</v>
      </c>
      <c r="M1790" t="e">
        <f ca="1">BDP("602409QL Muni","GB_REPORTING")</f>
        <v>#NAME?</v>
      </c>
      <c r="N1790" t="e">
        <f ca="1">BDP("602409QL Muni","GB_ASSURANCE_PROVIDERS")</f>
        <v>#NAME?</v>
      </c>
      <c r="O1790" t="e">
        <f ca="1">BDP("602409QL Muni","GB_PROJECT_SELECTION_PROCESS")</f>
        <v>#NAME?</v>
      </c>
      <c r="P1790" t="e">
        <f ca="1">BDP("602409QL Muni","ESG_FRAMEWORK_INDICATOR")</f>
        <v>#NAME?</v>
      </c>
      <c r="Q1790" t="e">
        <f ca="1">BDP("602409QL Muni","BLOOMBERG_SECTOR_CODE")</f>
        <v>#NAME?</v>
      </c>
      <c r="R1790" t="e">
        <f ca="1">BDP("602409QL Muni","ISSUER_TYPE")</f>
        <v>#NAME?</v>
      </c>
      <c r="S1790" t="e">
        <f ca="1">BDS("602409QL Muni","ESG_PROJECT_CATEGORY", "aggregate=y")</f>
        <v>#NAME?</v>
      </c>
      <c r="T1790" t="e">
        <f ca="1">BDS("602409QL Muni","ESG_PROJECT_SUBCATEGORY", "aggregate=y")</f>
        <v>#NAME?</v>
      </c>
    </row>
    <row r="1791" spans="1:20" x14ac:dyDescent="0.25">
      <c r="A1791" t="e">
        <f ca="1">BDP("084249FM Muni","ID_CUSIP")</f>
        <v>#NAME?</v>
      </c>
      <c r="B1791" t="e">
        <f ca="1">BDP("084249FM Muni","STATE_CODE")</f>
        <v>#NAME?</v>
      </c>
      <c r="C1791" t="s">
        <v>108</v>
      </c>
      <c r="D1791" t="e">
        <f ca="1">BDP("084249FM Muni","YIELD_ON_ISSUE_DATE")</f>
        <v>#NAME?</v>
      </c>
      <c r="E1791">
        <v>15495000</v>
      </c>
      <c r="F1791" t="e">
        <f ca="1">BDP("084249FM Muni","ISSUE_DT")</f>
        <v>#NAME?</v>
      </c>
      <c r="G1791" t="e">
        <f ca="1">BDP("084249FM Muni","MATURITY")</f>
        <v>#NAME?</v>
      </c>
      <c r="H1791" t="e">
        <f ca="1">BDP("084249FM Muni","MUNI_TAX_PROV")</f>
        <v>#NAME?</v>
      </c>
      <c r="I1791" t="e">
        <f ca="1">BDP("084249FM Muni","FINANCING_TYPE")</f>
        <v>#NAME?</v>
      </c>
      <c r="J1791" t="e">
        <f ca="1">BDP("084249FM Muni","BICS_LEVEL_2_INDUSTRY_GROUP_NAME")</f>
        <v>#NAME?</v>
      </c>
      <c r="K1791" t="e">
        <f ca="1">BDP("084249FM Muni","SELF_REPRTD_GREEN_INSTR_INDCTR")</f>
        <v>#NAME?</v>
      </c>
      <c r="L1791" t="e">
        <f ca="1">BDP("084249FM Muni","GB_MANAGEMENT_PROCEEDS")</f>
        <v>#NAME?</v>
      </c>
      <c r="M1791" t="e">
        <f ca="1">BDP("084249FM Muni","GB_REPORTING")</f>
        <v>#NAME?</v>
      </c>
      <c r="N1791" t="e">
        <f ca="1">BDP("084249FM Muni","GB_ASSURANCE_PROVIDERS")</f>
        <v>#NAME?</v>
      </c>
      <c r="O1791" t="e">
        <f ca="1">BDP("084249FM Muni","GB_PROJECT_SELECTION_PROCESS")</f>
        <v>#NAME?</v>
      </c>
      <c r="P1791" t="e">
        <f ca="1">BDP("084249FM Muni","ESG_FRAMEWORK_INDICATOR")</f>
        <v>#NAME?</v>
      </c>
      <c r="Q1791" t="e">
        <f ca="1">BDP("084249FM Muni","BLOOMBERG_SECTOR_CODE")</f>
        <v>#NAME?</v>
      </c>
      <c r="R1791" t="e">
        <f ca="1">BDP("084249FM Muni","ISSUER_TYPE")</f>
        <v>#NAME?</v>
      </c>
      <c r="S1791" t="e">
        <f ca="1">BDS("084249FM Muni","ESG_PROJECT_CATEGORY", "aggregate=y")</f>
        <v>#NAME?</v>
      </c>
      <c r="T1791" t="e">
        <f ca="1">BDS("084249FM Muni","ESG_PROJECT_SUBCATEGORY", "aggregate=y")</f>
        <v>#NAME?</v>
      </c>
    </row>
    <row r="1792" spans="1:20" x14ac:dyDescent="0.25">
      <c r="A1792" t="e">
        <f ca="1">BDP("084249FK Muni","ID_CUSIP")</f>
        <v>#NAME?</v>
      </c>
      <c r="B1792" t="e">
        <f ca="1">BDP("084249FK Muni","STATE_CODE")</f>
        <v>#NAME?</v>
      </c>
      <c r="C1792" t="s">
        <v>108</v>
      </c>
      <c r="D1792" t="e">
        <f ca="1">BDP("084249FK Muni","YIELD_ON_ISSUE_DATE")</f>
        <v>#NAME?</v>
      </c>
      <c r="E1792">
        <v>8595000</v>
      </c>
      <c r="F1792" t="e">
        <f ca="1">BDP("084249FK Muni","ISSUE_DT")</f>
        <v>#NAME?</v>
      </c>
      <c r="G1792" t="e">
        <f ca="1">BDP("084249FK Muni","MATURITY")</f>
        <v>#NAME?</v>
      </c>
      <c r="H1792" t="e">
        <f ca="1">BDP("084249FK Muni","MUNI_TAX_PROV")</f>
        <v>#NAME?</v>
      </c>
      <c r="I1792" t="e">
        <f ca="1">BDP("084249FK Muni","FINANCING_TYPE")</f>
        <v>#NAME?</v>
      </c>
      <c r="J1792" t="e">
        <f ca="1">BDP("084249FK Muni","BICS_LEVEL_2_INDUSTRY_GROUP_NAME")</f>
        <v>#NAME?</v>
      </c>
      <c r="K1792" t="e">
        <f ca="1">BDP("084249FK Muni","SELF_REPRTD_GREEN_INSTR_INDCTR")</f>
        <v>#NAME?</v>
      </c>
      <c r="L1792" t="e">
        <f ca="1">BDP("084249FK Muni","GB_MANAGEMENT_PROCEEDS")</f>
        <v>#NAME?</v>
      </c>
      <c r="M1792" t="e">
        <f ca="1">BDP("084249FK Muni","GB_REPORTING")</f>
        <v>#NAME?</v>
      </c>
      <c r="N1792" t="e">
        <f ca="1">BDP("084249FK Muni","GB_ASSURANCE_PROVIDERS")</f>
        <v>#NAME?</v>
      </c>
      <c r="O1792" t="e">
        <f ca="1">BDP("084249FK Muni","GB_PROJECT_SELECTION_PROCESS")</f>
        <v>#NAME?</v>
      </c>
      <c r="P1792" t="e">
        <f ca="1">BDP("084249FK Muni","ESG_FRAMEWORK_INDICATOR")</f>
        <v>#NAME?</v>
      </c>
      <c r="Q1792" t="e">
        <f ca="1">BDP("084249FK Muni","BLOOMBERG_SECTOR_CODE")</f>
        <v>#NAME?</v>
      </c>
      <c r="R1792" t="e">
        <f ca="1">BDP("084249FK Muni","ISSUER_TYPE")</f>
        <v>#NAME?</v>
      </c>
      <c r="S1792" t="e">
        <f ca="1">BDS("084249FK Muni","ESG_PROJECT_CATEGORY", "aggregate=y")</f>
        <v>#NAME?</v>
      </c>
      <c r="T1792" t="e">
        <f ca="1">BDS("084249FK Muni","ESG_PROJECT_SUBCATEGORY", "aggregate=y")</f>
        <v>#NAME?</v>
      </c>
    </row>
    <row r="1793" spans="1:20" x14ac:dyDescent="0.25">
      <c r="A1793" t="e">
        <f ca="1">BDP("95648VBV Muni","ID_CUSIP")</f>
        <v>#NAME?</v>
      </c>
      <c r="B1793" t="e">
        <f ca="1">BDP("95648VBV Muni","STATE_CODE")</f>
        <v>#NAME?</v>
      </c>
      <c r="C1793" t="s">
        <v>109</v>
      </c>
      <c r="D1793" t="e">
        <f ca="1">BDP("95648VBV Muni","YIELD_ON_ISSUE_DATE")</f>
        <v>#NAME?</v>
      </c>
      <c r="E1793">
        <v>150000000</v>
      </c>
      <c r="F1793" t="e">
        <f ca="1">BDP("95648VBV Muni","ISSUE_DT")</f>
        <v>#NAME?</v>
      </c>
      <c r="G1793" t="e">
        <f ca="1">BDP("95648VBV Muni","MATURITY")</f>
        <v>#NAME?</v>
      </c>
      <c r="H1793" t="e">
        <f ca="1">BDP("95648VBV Muni","MUNI_TAX_PROV")</f>
        <v>#NAME?</v>
      </c>
      <c r="I1793" t="e">
        <f ca="1">BDP("95648VBV Muni","FINANCING_TYPE")</f>
        <v>#NAME?</v>
      </c>
      <c r="J1793" t="e">
        <f ca="1">BDP("95648VBV Muni","BICS_LEVEL_2_INDUSTRY_GROUP_NAME")</f>
        <v>#NAME?</v>
      </c>
      <c r="K1793" t="e">
        <f ca="1">BDP("95648VBV Muni","SELF_REPRTD_GREEN_INSTR_INDCTR")</f>
        <v>#NAME?</v>
      </c>
      <c r="L1793" t="e">
        <f ca="1">BDP("95648VBV Muni","GB_MANAGEMENT_PROCEEDS")</f>
        <v>#NAME?</v>
      </c>
      <c r="M1793" t="e">
        <f ca="1">BDP("95648VBV Muni","GB_REPORTING")</f>
        <v>#NAME?</v>
      </c>
      <c r="N1793" t="e">
        <f ca="1">BDP("95648VBV Muni","GB_ASSURANCE_PROVIDERS")</f>
        <v>#NAME?</v>
      </c>
      <c r="O1793" t="e">
        <f ca="1">BDP("95648VBV Muni","GB_PROJECT_SELECTION_PROCESS")</f>
        <v>#NAME?</v>
      </c>
      <c r="P1793" t="e">
        <f ca="1">BDP("95648VBV Muni","ESG_FRAMEWORK_INDICATOR")</f>
        <v>#NAME?</v>
      </c>
      <c r="Q1793" t="e">
        <f ca="1">BDP("95648VBV Muni","BLOOMBERG_SECTOR_CODE")</f>
        <v>#NAME?</v>
      </c>
      <c r="R1793" t="e">
        <f ca="1">BDP("95648VBV Muni","ISSUER_TYPE")</f>
        <v>#NAME?</v>
      </c>
      <c r="S1793" t="e">
        <f ca="1">BDS("95648VBV Muni","ESG_PROJECT_CATEGORY", "aggregate=y")</f>
        <v>#NAME?</v>
      </c>
      <c r="T1793" t="e">
        <f ca="1">BDS("95648VBV Muni","ESG_PROJECT_SUBCATEGORY", "aggregate=y")</f>
        <v>#NAME?</v>
      </c>
    </row>
    <row r="1794" spans="1:20" x14ac:dyDescent="0.25">
      <c r="A1794" t="e">
        <f ca="1">BDP("084246NW Muni","ID_CUSIP")</f>
        <v>#NAME?</v>
      </c>
      <c r="B1794" t="e">
        <f ca="1">BDP("084246NW Muni","STATE_CODE")</f>
        <v>#NAME?</v>
      </c>
      <c r="C1794" t="s">
        <v>110</v>
      </c>
      <c r="D1794" t="e">
        <f ca="1">BDP("084246NW Muni","YIELD_ON_ISSUE_DATE")</f>
        <v>#NAME?</v>
      </c>
      <c r="E1794">
        <v>9650000</v>
      </c>
      <c r="F1794" t="e">
        <f ca="1">BDP("084246NW Muni","ISSUE_DT")</f>
        <v>#NAME?</v>
      </c>
      <c r="G1794" t="e">
        <f ca="1">BDP("084246NW Muni","MATURITY")</f>
        <v>#NAME?</v>
      </c>
      <c r="H1794" t="e">
        <f ca="1">BDP("084246NW Muni","MUNI_TAX_PROV")</f>
        <v>#NAME?</v>
      </c>
      <c r="I1794" t="e">
        <f ca="1">BDP("084246NW Muni","FINANCING_TYPE")</f>
        <v>#NAME?</v>
      </c>
      <c r="J1794" t="e">
        <f ca="1">BDP("084246NW Muni","BICS_LEVEL_2_INDUSTRY_GROUP_NAME")</f>
        <v>#NAME?</v>
      </c>
      <c r="K1794" t="e">
        <f ca="1">BDP("084246NW Muni","SELF_REPRTD_GREEN_INSTR_INDCTR")</f>
        <v>#NAME?</v>
      </c>
      <c r="L1794" t="e">
        <f ca="1">BDP("084246NW Muni","GB_MANAGEMENT_PROCEEDS")</f>
        <v>#NAME?</v>
      </c>
      <c r="M1794" t="e">
        <f ca="1">BDP("084246NW Muni","GB_REPORTING")</f>
        <v>#NAME?</v>
      </c>
      <c r="N1794" t="e">
        <f ca="1">BDP("084246NW Muni","GB_ASSURANCE_PROVIDERS")</f>
        <v>#NAME?</v>
      </c>
      <c r="O1794" t="e">
        <f ca="1">BDP("084246NW Muni","GB_PROJECT_SELECTION_PROCESS")</f>
        <v>#NAME?</v>
      </c>
      <c r="P1794" t="e">
        <f ca="1">BDP("084246NW Muni","ESG_FRAMEWORK_INDICATOR")</f>
        <v>#NAME?</v>
      </c>
      <c r="Q1794" t="e">
        <f ca="1">BDP("084246NW Muni","BLOOMBERG_SECTOR_CODE")</f>
        <v>#NAME?</v>
      </c>
      <c r="R1794" t="e">
        <f ca="1">BDP("084246NW Muni","ISSUER_TYPE")</f>
        <v>#NAME?</v>
      </c>
      <c r="S1794" t="e">
        <f ca="1">BDS("084246NW Muni","ESG_PROJECT_CATEGORY", "aggregate=y")</f>
        <v>#NAME?</v>
      </c>
      <c r="T1794" t="e">
        <f ca="1">BDS("084246NW Muni","ESG_PROJECT_SUBCATEGORY", "aggregate=y")</f>
        <v>#NAME?</v>
      </c>
    </row>
    <row r="1795" spans="1:20" x14ac:dyDescent="0.25">
      <c r="A1795" t="e">
        <f ca="1">BDP("084246NU Muni","ID_CUSIP")</f>
        <v>#NAME?</v>
      </c>
      <c r="B1795" t="e">
        <f ca="1">BDP("084246NU Muni","STATE_CODE")</f>
        <v>#NAME?</v>
      </c>
      <c r="C1795" t="s">
        <v>110</v>
      </c>
      <c r="D1795" t="e">
        <f ca="1">BDP("084246NU Muni","YIELD_ON_ISSUE_DATE")</f>
        <v>#NAME?</v>
      </c>
      <c r="E1795">
        <v>1435000</v>
      </c>
      <c r="F1795" t="e">
        <f ca="1">BDP("084246NU Muni","ISSUE_DT")</f>
        <v>#NAME?</v>
      </c>
      <c r="G1795" t="e">
        <f ca="1">BDP("084246NU Muni","MATURITY")</f>
        <v>#NAME?</v>
      </c>
      <c r="H1795" t="e">
        <f ca="1">BDP("084246NU Muni","MUNI_TAX_PROV")</f>
        <v>#NAME?</v>
      </c>
      <c r="I1795" t="e">
        <f ca="1">BDP("084246NU Muni","FINANCING_TYPE")</f>
        <v>#NAME?</v>
      </c>
      <c r="J1795" t="e">
        <f ca="1">BDP("084246NU Muni","BICS_LEVEL_2_INDUSTRY_GROUP_NAME")</f>
        <v>#NAME?</v>
      </c>
      <c r="K1795" t="e">
        <f ca="1">BDP("084246NU Muni","SELF_REPRTD_GREEN_INSTR_INDCTR")</f>
        <v>#NAME?</v>
      </c>
      <c r="L1795" t="e">
        <f ca="1">BDP("084246NU Muni","GB_MANAGEMENT_PROCEEDS")</f>
        <v>#NAME?</v>
      </c>
      <c r="M1795" t="e">
        <f ca="1">BDP("084246NU Muni","GB_REPORTING")</f>
        <v>#NAME?</v>
      </c>
      <c r="N1795" t="e">
        <f ca="1">BDP("084246NU Muni","GB_ASSURANCE_PROVIDERS")</f>
        <v>#NAME?</v>
      </c>
      <c r="O1795" t="e">
        <f ca="1">BDP("084246NU Muni","GB_PROJECT_SELECTION_PROCESS")</f>
        <v>#NAME?</v>
      </c>
      <c r="P1795" t="e">
        <f ca="1">BDP("084246NU Muni","ESG_FRAMEWORK_INDICATOR")</f>
        <v>#NAME?</v>
      </c>
      <c r="Q1795" t="e">
        <f ca="1">BDP("084246NU Muni","BLOOMBERG_SECTOR_CODE")</f>
        <v>#NAME?</v>
      </c>
      <c r="R1795" t="e">
        <f ca="1">BDP("084246NU Muni","ISSUER_TYPE")</f>
        <v>#NAME?</v>
      </c>
      <c r="S1795" t="e">
        <f ca="1">BDS("084246NU Muni","ESG_PROJECT_CATEGORY", "aggregate=y")</f>
        <v>#NAME?</v>
      </c>
      <c r="T1795" t="e">
        <f ca="1">BDS("084246NU Muni","ESG_PROJECT_SUBCATEGORY", "aggregate=y")</f>
        <v>#NAME?</v>
      </c>
    </row>
    <row r="1796" spans="1:20" x14ac:dyDescent="0.25">
      <c r="A1796" t="e">
        <f ca="1">BDP("084246NJ Muni","ID_CUSIP")</f>
        <v>#NAME?</v>
      </c>
      <c r="B1796" t="e">
        <f ca="1">BDP("084246NJ Muni","STATE_CODE")</f>
        <v>#NAME?</v>
      </c>
      <c r="C1796" t="s">
        <v>110</v>
      </c>
      <c r="D1796" t="e">
        <f ca="1">BDP("084246NJ Muni","YIELD_ON_ISSUE_DATE")</f>
        <v>#NAME?</v>
      </c>
      <c r="E1796">
        <v>385000</v>
      </c>
      <c r="F1796" t="e">
        <f ca="1">BDP("084246NJ Muni","ISSUE_DT")</f>
        <v>#NAME?</v>
      </c>
      <c r="G1796" t="e">
        <f ca="1">BDP("084246NJ Muni","MATURITY")</f>
        <v>#NAME?</v>
      </c>
      <c r="H1796" t="e">
        <f ca="1">BDP("084246NJ Muni","MUNI_TAX_PROV")</f>
        <v>#NAME?</v>
      </c>
      <c r="I1796" t="e">
        <f ca="1">BDP("084246NJ Muni","FINANCING_TYPE")</f>
        <v>#NAME?</v>
      </c>
      <c r="J1796" t="e">
        <f ca="1">BDP("084246NJ Muni","BICS_LEVEL_2_INDUSTRY_GROUP_NAME")</f>
        <v>#NAME?</v>
      </c>
      <c r="K1796" t="e">
        <f ca="1">BDP("084246NJ Muni","SELF_REPRTD_GREEN_INSTR_INDCTR")</f>
        <v>#NAME?</v>
      </c>
      <c r="L1796" t="e">
        <f ca="1">BDP("084246NJ Muni","GB_MANAGEMENT_PROCEEDS")</f>
        <v>#NAME?</v>
      </c>
      <c r="M1796" t="e">
        <f ca="1">BDP("084246NJ Muni","GB_REPORTING")</f>
        <v>#NAME?</v>
      </c>
      <c r="N1796" t="e">
        <f ca="1">BDP("084246NJ Muni","GB_ASSURANCE_PROVIDERS")</f>
        <v>#NAME?</v>
      </c>
      <c r="O1796" t="e">
        <f ca="1">BDP("084246NJ Muni","GB_PROJECT_SELECTION_PROCESS")</f>
        <v>#NAME?</v>
      </c>
      <c r="P1796" t="e">
        <f ca="1">BDP("084246NJ Muni","ESG_FRAMEWORK_INDICATOR")</f>
        <v>#NAME?</v>
      </c>
      <c r="Q1796" t="e">
        <f ca="1">BDP("084246NJ Muni","BLOOMBERG_SECTOR_CODE")</f>
        <v>#NAME?</v>
      </c>
      <c r="R1796" t="e">
        <f ca="1">BDP("084246NJ Muni","ISSUER_TYPE")</f>
        <v>#NAME?</v>
      </c>
      <c r="S1796" t="e">
        <f ca="1">BDS("084246NJ Muni","ESG_PROJECT_CATEGORY", "aggregate=y")</f>
        <v>#NAME?</v>
      </c>
      <c r="T1796" t="e">
        <f ca="1">BDS("084246NJ Muni","ESG_PROJECT_SUBCATEGORY", "aggregate=y")</f>
        <v>#NAME?</v>
      </c>
    </row>
    <row r="1797" spans="1:20" x14ac:dyDescent="0.25">
      <c r="A1797" t="e">
        <f ca="1">BDP("084246NQ Muni","ID_CUSIP")</f>
        <v>#NAME?</v>
      </c>
      <c r="B1797" t="e">
        <f ca="1">BDP("084246NQ Muni","STATE_CODE")</f>
        <v>#NAME?</v>
      </c>
      <c r="C1797" t="s">
        <v>110</v>
      </c>
      <c r="D1797" t="e">
        <f ca="1">BDP("084246NQ Muni","YIELD_ON_ISSUE_DATE")</f>
        <v>#NAME?</v>
      </c>
      <c r="E1797">
        <v>755000</v>
      </c>
      <c r="F1797" t="e">
        <f ca="1">BDP("084246NQ Muni","ISSUE_DT")</f>
        <v>#NAME?</v>
      </c>
      <c r="G1797" t="e">
        <f ca="1">BDP("084246NQ Muni","MATURITY")</f>
        <v>#NAME?</v>
      </c>
      <c r="H1797" t="e">
        <f ca="1">BDP("084246NQ Muni","MUNI_TAX_PROV")</f>
        <v>#NAME?</v>
      </c>
      <c r="I1797" t="e">
        <f ca="1">BDP("084246NQ Muni","FINANCING_TYPE")</f>
        <v>#NAME?</v>
      </c>
      <c r="J1797" t="e">
        <f ca="1">BDP("084246NQ Muni","BICS_LEVEL_2_INDUSTRY_GROUP_NAME")</f>
        <v>#NAME?</v>
      </c>
      <c r="K1797" t="e">
        <f ca="1">BDP("084246NQ Muni","SELF_REPRTD_GREEN_INSTR_INDCTR")</f>
        <v>#NAME?</v>
      </c>
      <c r="L1797" t="e">
        <f ca="1">BDP("084246NQ Muni","GB_MANAGEMENT_PROCEEDS")</f>
        <v>#NAME?</v>
      </c>
      <c r="M1797" t="e">
        <f ca="1">BDP("084246NQ Muni","GB_REPORTING")</f>
        <v>#NAME?</v>
      </c>
      <c r="N1797" t="e">
        <f ca="1">BDP("084246NQ Muni","GB_ASSURANCE_PROVIDERS")</f>
        <v>#NAME?</v>
      </c>
      <c r="O1797" t="e">
        <f ca="1">BDP("084246NQ Muni","GB_PROJECT_SELECTION_PROCESS")</f>
        <v>#NAME?</v>
      </c>
      <c r="P1797" t="e">
        <f ca="1">BDP("084246NQ Muni","ESG_FRAMEWORK_INDICATOR")</f>
        <v>#NAME?</v>
      </c>
      <c r="Q1797" t="e">
        <f ca="1">BDP("084246NQ Muni","BLOOMBERG_SECTOR_CODE")</f>
        <v>#NAME?</v>
      </c>
      <c r="R1797" t="e">
        <f ca="1">BDP("084246NQ Muni","ISSUER_TYPE")</f>
        <v>#NAME?</v>
      </c>
      <c r="S1797" t="e">
        <f ca="1">BDS("084246NQ Muni","ESG_PROJECT_CATEGORY", "aggregate=y")</f>
        <v>#NAME?</v>
      </c>
      <c r="T1797" t="e">
        <f ca="1">BDS("084246NQ Muni","ESG_PROJECT_SUBCATEGORY", "aggregate=y")</f>
        <v>#NAME?</v>
      </c>
    </row>
    <row r="1798" spans="1:20" x14ac:dyDescent="0.25">
      <c r="A1798" t="e">
        <f ca="1">BDP("084246NV Muni","ID_CUSIP")</f>
        <v>#NAME?</v>
      </c>
      <c r="B1798" t="e">
        <f ca="1">BDP("084246NV Muni","STATE_CODE")</f>
        <v>#NAME?</v>
      </c>
      <c r="C1798" t="s">
        <v>110</v>
      </c>
      <c r="D1798" t="e">
        <f ca="1">BDP("084246NV Muni","YIELD_ON_ISSUE_DATE")</f>
        <v>#NAME?</v>
      </c>
      <c r="E1798">
        <v>6390000</v>
      </c>
      <c r="F1798" t="e">
        <f ca="1">BDP("084246NV Muni","ISSUE_DT")</f>
        <v>#NAME?</v>
      </c>
      <c r="G1798" t="e">
        <f ca="1">BDP("084246NV Muni","MATURITY")</f>
        <v>#NAME?</v>
      </c>
      <c r="H1798" t="e">
        <f ca="1">BDP("084246NV Muni","MUNI_TAX_PROV")</f>
        <v>#NAME?</v>
      </c>
      <c r="I1798" t="e">
        <f ca="1">BDP("084246NV Muni","FINANCING_TYPE")</f>
        <v>#NAME?</v>
      </c>
      <c r="J1798" t="e">
        <f ca="1">BDP("084246NV Muni","BICS_LEVEL_2_INDUSTRY_GROUP_NAME")</f>
        <v>#NAME?</v>
      </c>
      <c r="K1798" t="e">
        <f ca="1">BDP("084246NV Muni","SELF_REPRTD_GREEN_INSTR_INDCTR")</f>
        <v>#NAME?</v>
      </c>
      <c r="L1798" t="e">
        <f ca="1">BDP("084246NV Muni","GB_MANAGEMENT_PROCEEDS")</f>
        <v>#NAME?</v>
      </c>
      <c r="M1798" t="e">
        <f ca="1">BDP("084246NV Muni","GB_REPORTING")</f>
        <v>#NAME?</v>
      </c>
      <c r="N1798" t="e">
        <f ca="1">BDP("084246NV Muni","GB_ASSURANCE_PROVIDERS")</f>
        <v>#NAME?</v>
      </c>
      <c r="O1798" t="e">
        <f ca="1">BDP("084246NV Muni","GB_PROJECT_SELECTION_PROCESS")</f>
        <v>#NAME?</v>
      </c>
      <c r="P1798" t="e">
        <f ca="1">BDP("084246NV Muni","ESG_FRAMEWORK_INDICATOR")</f>
        <v>#NAME?</v>
      </c>
      <c r="Q1798" t="e">
        <f ca="1">BDP("084246NV Muni","BLOOMBERG_SECTOR_CODE")</f>
        <v>#NAME?</v>
      </c>
      <c r="R1798" t="e">
        <f ca="1">BDP("084246NV Muni","ISSUER_TYPE")</f>
        <v>#NAME?</v>
      </c>
      <c r="S1798" t="e">
        <f ca="1">BDS("084246NV Muni","ESG_PROJECT_CATEGORY", "aggregate=y")</f>
        <v>#NAME?</v>
      </c>
      <c r="T1798" t="e">
        <f ca="1">BDS("084246NV Muni","ESG_PROJECT_SUBCATEGORY", "aggregate=y")</f>
        <v>#NAME?</v>
      </c>
    </row>
    <row r="1799" spans="1:20" x14ac:dyDescent="0.25">
      <c r="A1799" t="e">
        <f ca="1">BDP("084249FD Muni","ID_CUSIP")</f>
        <v>#NAME?</v>
      </c>
      <c r="B1799" t="e">
        <f ca="1">BDP("084249FD Muni","STATE_CODE")</f>
        <v>#NAME?</v>
      </c>
      <c r="C1799" t="s">
        <v>108</v>
      </c>
      <c r="D1799" t="e">
        <f ca="1">BDP("084249FD Muni","YIELD_ON_ISSUE_DATE")</f>
        <v>#NAME?</v>
      </c>
      <c r="E1799">
        <v>620000</v>
      </c>
      <c r="F1799" t="e">
        <f ca="1">BDP("084249FD Muni","ISSUE_DT")</f>
        <v>#NAME?</v>
      </c>
      <c r="G1799" t="e">
        <f ca="1">BDP("084249FD Muni","MATURITY")</f>
        <v>#NAME?</v>
      </c>
      <c r="H1799" t="e">
        <f ca="1">BDP("084249FD Muni","MUNI_TAX_PROV")</f>
        <v>#NAME?</v>
      </c>
      <c r="I1799" t="e">
        <f ca="1">BDP("084249FD Muni","FINANCING_TYPE")</f>
        <v>#NAME?</v>
      </c>
      <c r="J1799" t="e">
        <f ca="1">BDP("084249FD Muni","BICS_LEVEL_2_INDUSTRY_GROUP_NAME")</f>
        <v>#NAME?</v>
      </c>
      <c r="K1799" t="e">
        <f ca="1">BDP("084249FD Muni","SELF_REPRTD_GREEN_INSTR_INDCTR")</f>
        <v>#NAME?</v>
      </c>
      <c r="L1799" t="e">
        <f ca="1">BDP("084249FD Muni","GB_MANAGEMENT_PROCEEDS")</f>
        <v>#NAME?</v>
      </c>
      <c r="M1799" t="e">
        <f ca="1">BDP("084249FD Muni","GB_REPORTING")</f>
        <v>#NAME?</v>
      </c>
      <c r="N1799" t="e">
        <f ca="1">BDP("084249FD Muni","GB_ASSURANCE_PROVIDERS")</f>
        <v>#NAME?</v>
      </c>
      <c r="O1799" t="e">
        <f ca="1">BDP("084249FD Muni","GB_PROJECT_SELECTION_PROCESS")</f>
        <v>#NAME?</v>
      </c>
      <c r="P1799" t="e">
        <f ca="1">BDP("084249FD Muni","ESG_FRAMEWORK_INDICATOR")</f>
        <v>#NAME?</v>
      </c>
      <c r="Q1799" t="e">
        <f ca="1">BDP("084249FD Muni","BLOOMBERG_SECTOR_CODE")</f>
        <v>#NAME?</v>
      </c>
      <c r="R1799" t="e">
        <f ca="1">BDP("084249FD Muni","ISSUER_TYPE")</f>
        <v>#NAME?</v>
      </c>
      <c r="S1799" t="e">
        <f ca="1">BDS("084249FD Muni","ESG_PROJECT_CATEGORY", "aggregate=y")</f>
        <v>#NAME?</v>
      </c>
      <c r="T1799" t="e">
        <f ca="1">BDS("084249FD Muni","ESG_PROJECT_SUBCATEGORY", "aggregate=y")</f>
        <v>#NAME?</v>
      </c>
    </row>
    <row r="1800" spans="1:20" x14ac:dyDescent="0.25">
      <c r="A1800" t="e">
        <f ca="1">BDP("084249FL Muni","ID_CUSIP")</f>
        <v>#NAME?</v>
      </c>
      <c r="B1800" t="e">
        <f ca="1">BDP("084249FL Muni","STATE_CODE")</f>
        <v>#NAME?</v>
      </c>
      <c r="C1800" t="s">
        <v>108</v>
      </c>
      <c r="D1800" t="e">
        <f ca="1">BDP("084249FL Muni","YIELD_ON_ISSUE_DATE")</f>
        <v>#NAME?</v>
      </c>
      <c r="E1800">
        <v>8300000</v>
      </c>
      <c r="F1800" t="e">
        <f ca="1">BDP("084249FL Muni","ISSUE_DT")</f>
        <v>#NAME?</v>
      </c>
      <c r="G1800" t="e">
        <f ca="1">BDP("084249FL Muni","MATURITY")</f>
        <v>#NAME?</v>
      </c>
      <c r="H1800" t="e">
        <f ca="1">BDP("084249FL Muni","MUNI_TAX_PROV")</f>
        <v>#NAME?</v>
      </c>
      <c r="I1800" t="e">
        <f ca="1">BDP("084249FL Muni","FINANCING_TYPE")</f>
        <v>#NAME?</v>
      </c>
      <c r="J1800" t="e">
        <f ca="1">BDP("084249FL Muni","BICS_LEVEL_2_INDUSTRY_GROUP_NAME")</f>
        <v>#NAME?</v>
      </c>
      <c r="K1800" t="e">
        <f ca="1">BDP("084249FL Muni","SELF_REPRTD_GREEN_INSTR_INDCTR")</f>
        <v>#NAME?</v>
      </c>
      <c r="L1800" t="e">
        <f ca="1">BDP("084249FL Muni","GB_MANAGEMENT_PROCEEDS")</f>
        <v>#NAME?</v>
      </c>
      <c r="M1800" t="e">
        <f ca="1">BDP("084249FL Muni","GB_REPORTING")</f>
        <v>#NAME?</v>
      </c>
      <c r="N1800" t="e">
        <f ca="1">BDP("084249FL Muni","GB_ASSURANCE_PROVIDERS")</f>
        <v>#NAME?</v>
      </c>
      <c r="O1800" t="e">
        <f ca="1">BDP("084249FL Muni","GB_PROJECT_SELECTION_PROCESS")</f>
        <v>#NAME?</v>
      </c>
      <c r="P1800" t="e">
        <f ca="1">BDP("084249FL Muni","ESG_FRAMEWORK_INDICATOR")</f>
        <v>#NAME?</v>
      </c>
      <c r="Q1800" t="e">
        <f ca="1">BDP("084249FL Muni","BLOOMBERG_SECTOR_CODE")</f>
        <v>#NAME?</v>
      </c>
      <c r="R1800" t="e">
        <f ca="1">BDP("084249FL Muni","ISSUER_TYPE")</f>
        <v>#NAME?</v>
      </c>
      <c r="S1800" t="e">
        <f ca="1">BDS("084249FL Muni","ESG_PROJECT_CATEGORY", "aggregate=y")</f>
        <v>#NAME?</v>
      </c>
      <c r="T1800" t="e">
        <f ca="1">BDS("084249FL Muni","ESG_PROJECT_SUBCATEGORY", "aggregate=y")</f>
        <v>#NAME?</v>
      </c>
    </row>
    <row r="1801" spans="1:20" x14ac:dyDescent="0.25">
      <c r="A1801" t="e">
        <f ca="1">BDP("084246NE Muni","ID_CUSIP")</f>
        <v>#NAME?</v>
      </c>
      <c r="B1801" t="e">
        <f ca="1">BDP("084246NE Muni","STATE_CODE")</f>
        <v>#NAME?</v>
      </c>
      <c r="C1801" t="s">
        <v>110</v>
      </c>
      <c r="D1801" t="e">
        <f ca="1">BDP("084246NE Muni","YIELD_ON_ISSUE_DATE")</f>
        <v>#NAME?</v>
      </c>
      <c r="E1801">
        <v>315000</v>
      </c>
      <c r="F1801" t="e">
        <f ca="1">BDP("084246NE Muni","ISSUE_DT")</f>
        <v>#NAME?</v>
      </c>
      <c r="G1801" t="e">
        <f ca="1">BDP("084246NE Muni","MATURITY")</f>
        <v>#NAME?</v>
      </c>
      <c r="H1801" t="e">
        <f ca="1">BDP("084246NE Muni","MUNI_TAX_PROV")</f>
        <v>#NAME?</v>
      </c>
      <c r="I1801" t="e">
        <f ca="1">BDP("084246NE Muni","FINANCING_TYPE")</f>
        <v>#NAME?</v>
      </c>
      <c r="J1801" t="e">
        <f ca="1">BDP("084246NE Muni","BICS_LEVEL_2_INDUSTRY_GROUP_NAME")</f>
        <v>#NAME?</v>
      </c>
      <c r="K1801" t="e">
        <f ca="1">BDP("084246NE Muni","SELF_REPRTD_GREEN_INSTR_INDCTR")</f>
        <v>#NAME?</v>
      </c>
      <c r="L1801" t="e">
        <f ca="1">BDP("084246NE Muni","GB_MANAGEMENT_PROCEEDS")</f>
        <v>#NAME?</v>
      </c>
      <c r="M1801" t="e">
        <f ca="1">BDP("084246NE Muni","GB_REPORTING")</f>
        <v>#NAME?</v>
      </c>
      <c r="N1801" t="e">
        <f ca="1">BDP("084246NE Muni","GB_ASSURANCE_PROVIDERS")</f>
        <v>#NAME?</v>
      </c>
      <c r="O1801" t="e">
        <f ca="1">BDP("084246NE Muni","GB_PROJECT_SELECTION_PROCESS")</f>
        <v>#NAME?</v>
      </c>
      <c r="P1801" t="e">
        <f ca="1">BDP("084246NE Muni","ESG_FRAMEWORK_INDICATOR")</f>
        <v>#NAME?</v>
      </c>
      <c r="Q1801" t="e">
        <f ca="1">BDP("084246NE Muni","BLOOMBERG_SECTOR_CODE")</f>
        <v>#NAME?</v>
      </c>
      <c r="R1801" t="e">
        <f ca="1">BDP("084246NE Muni","ISSUER_TYPE")</f>
        <v>#NAME?</v>
      </c>
      <c r="S1801" t="e">
        <f ca="1">BDS("084246NE Muni","ESG_PROJECT_CATEGORY", "aggregate=y")</f>
        <v>#NAME?</v>
      </c>
      <c r="T1801" t="e">
        <f ca="1">BDS("084246NE Muni","ESG_PROJECT_SUBCATEGORY", "aggregate=y")</f>
        <v>#NAME?</v>
      </c>
    </row>
    <row r="1802" spans="1:20" x14ac:dyDescent="0.25">
      <c r="A1802" t="e">
        <f ca="1">BDP("084246NF Muni","ID_CUSIP")</f>
        <v>#NAME?</v>
      </c>
      <c r="B1802" t="e">
        <f ca="1">BDP("084246NF Muni","STATE_CODE")</f>
        <v>#NAME?</v>
      </c>
      <c r="C1802" t="s">
        <v>110</v>
      </c>
      <c r="D1802" t="e">
        <f ca="1">BDP("084246NF Muni","YIELD_ON_ISSUE_DATE")</f>
        <v>#NAME?</v>
      </c>
      <c r="E1802">
        <v>330000</v>
      </c>
      <c r="F1802" t="e">
        <f ca="1">BDP("084246NF Muni","ISSUE_DT")</f>
        <v>#NAME?</v>
      </c>
      <c r="G1802" t="e">
        <f ca="1">BDP("084246NF Muni","MATURITY")</f>
        <v>#NAME?</v>
      </c>
      <c r="H1802" t="e">
        <f ca="1">BDP("084246NF Muni","MUNI_TAX_PROV")</f>
        <v>#NAME?</v>
      </c>
      <c r="I1802" t="e">
        <f ca="1">BDP("084246NF Muni","FINANCING_TYPE")</f>
        <v>#NAME?</v>
      </c>
      <c r="J1802" t="e">
        <f ca="1">BDP("084246NF Muni","BICS_LEVEL_2_INDUSTRY_GROUP_NAME")</f>
        <v>#NAME?</v>
      </c>
      <c r="K1802" t="e">
        <f ca="1">BDP("084246NF Muni","SELF_REPRTD_GREEN_INSTR_INDCTR")</f>
        <v>#NAME?</v>
      </c>
      <c r="L1802" t="e">
        <f ca="1">BDP("084246NF Muni","GB_MANAGEMENT_PROCEEDS")</f>
        <v>#NAME?</v>
      </c>
      <c r="M1802" t="e">
        <f ca="1">BDP("084246NF Muni","GB_REPORTING")</f>
        <v>#NAME?</v>
      </c>
      <c r="N1802" t="e">
        <f ca="1">BDP("084246NF Muni","GB_ASSURANCE_PROVIDERS")</f>
        <v>#NAME?</v>
      </c>
      <c r="O1802" t="e">
        <f ca="1">BDP("084246NF Muni","GB_PROJECT_SELECTION_PROCESS")</f>
        <v>#NAME?</v>
      </c>
      <c r="P1802" t="e">
        <f ca="1">BDP("084246NF Muni","ESG_FRAMEWORK_INDICATOR")</f>
        <v>#NAME?</v>
      </c>
      <c r="Q1802" t="e">
        <f ca="1">BDP("084246NF Muni","BLOOMBERG_SECTOR_CODE")</f>
        <v>#NAME?</v>
      </c>
      <c r="R1802" t="e">
        <f ca="1">BDP("084246NF Muni","ISSUER_TYPE")</f>
        <v>#NAME?</v>
      </c>
      <c r="S1802" t="e">
        <f ca="1">BDS("084246NF Muni","ESG_PROJECT_CATEGORY", "aggregate=y")</f>
        <v>#NAME?</v>
      </c>
      <c r="T1802" t="e">
        <f ca="1">BDS("084246NF Muni","ESG_PROJECT_SUBCATEGORY", "aggregate=y")</f>
        <v>#NAME?</v>
      </c>
    </row>
    <row r="1803" spans="1:20" x14ac:dyDescent="0.25">
      <c r="A1803" t="e">
        <f ca="1">BDP("084246NG Muni","ID_CUSIP")</f>
        <v>#NAME?</v>
      </c>
      <c r="B1803" t="e">
        <f ca="1">BDP("084246NG Muni","STATE_CODE")</f>
        <v>#NAME?</v>
      </c>
      <c r="C1803" t="s">
        <v>110</v>
      </c>
      <c r="D1803" t="e">
        <f ca="1">BDP("084246NG Muni","YIELD_ON_ISSUE_DATE")</f>
        <v>#NAME?</v>
      </c>
      <c r="E1803">
        <v>350000</v>
      </c>
      <c r="F1803" t="e">
        <f ca="1">BDP("084246NG Muni","ISSUE_DT")</f>
        <v>#NAME?</v>
      </c>
      <c r="G1803" t="e">
        <f ca="1">BDP("084246NG Muni","MATURITY")</f>
        <v>#NAME?</v>
      </c>
      <c r="H1803" t="e">
        <f ca="1">BDP("084246NG Muni","MUNI_TAX_PROV")</f>
        <v>#NAME?</v>
      </c>
      <c r="I1803" t="e">
        <f ca="1">BDP("084246NG Muni","FINANCING_TYPE")</f>
        <v>#NAME?</v>
      </c>
      <c r="J1803" t="e">
        <f ca="1">BDP("084246NG Muni","BICS_LEVEL_2_INDUSTRY_GROUP_NAME")</f>
        <v>#NAME?</v>
      </c>
      <c r="K1803" t="e">
        <f ca="1">BDP("084246NG Muni","SELF_REPRTD_GREEN_INSTR_INDCTR")</f>
        <v>#NAME?</v>
      </c>
      <c r="L1803" t="e">
        <f ca="1">BDP("084246NG Muni","GB_MANAGEMENT_PROCEEDS")</f>
        <v>#NAME?</v>
      </c>
      <c r="M1803" t="e">
        <f ca="1">BDP("084246NG Muni","GB_REPORTING")</f>
        <v>#NAME?</v>
      </c>
      <c r="N1803" t="e">
        <f ca="1">BDP("084246NG Muni","GB_ASSURANCE_PROVIDERS")</f>
        <v>#NAME?</v>
      </c>
      <c r="O1803" t="e">
        <f ca="1">BDP("084246NG Muni","GB_PROJECT_SELECTION_PROCESS")</f>
        <v>#NAME?</v>
      </c>
      <c r="P1803" t="e">
        <f ca="1">BDP("084246NG Muni","ESG_FRAMEWORK_INDICATOR")</f>
        <v>#NAME?</v>
      </c>
      <c r="Q1803" t="e">
        <f ca="1">BDP("084246NG Muni","BLOOMBERG_SECTOR_CODE")</f>
        <v>#NAME?</v>
      </c>
      <c r="R1803" t="e">
        <f ca="1">BDP("084246NG Muni","ISSUER_TYPE")</f>
        <v>#NAME?</v>
      </c>
      <c r="S1803" t="e">
        <f ca="1">BDS("084246NG Muni","ESG_PROJECT_CATEGORY", "aggregate=y")</f>
        <v>#NAME?</v>
      </c>
      <c r="T1803" t="e">
        <f ca="1">BDS("084246NG Muni","ESG_PROJECT_SUBCATEGORY", "aggregate=y")</f>
        <v>#NAME?</v>
      </c>
    </row>
    <row r="1804" spans="1:20" x14ac:dyDescent="0.25">
      <c r="A1804" t="e">
        <f ca="1">BDP("084246NH Muni","ID_CUSIP")</f>
        <v>#NAME?</v>
      </c>
      <c r="B1804" t="e">
        <f ca="1">BDP("084246NH Muni","STATE_CODE")</f>
        <v>#NAME?</v>
      </c>
      <c r="C1804" t="s">
        <v>110</v>
      </c>
      <c r="D1804" t="e">
        <f ca="1">BDP("084246NH Muni","YIELD_ON_ISSUE_DATE")</f>
        <v>#NAME?</v>
      </c>
      <c r="E1804">
        <v>365000</v>
      </c>
      <c r="F1804" t="e">
        <f ca="1">BDP("084246NH Muni","ISSUE_DT")</f>
        <v>#NAME?</v>
      </c>
      <c r="G1804" t="e">
        <f ca="1">BDP("084246NH Muni","MATURITY")</f>
        <v>#NAME?</v>
      </c>
      <c r="H1804" t="e">
        <f ca="1">BDP("084246NH Muni","MUNI_TAX_PROV")</f>
        <v>#NAME?</v>
      </c>
      <c r="I1804" t="e">
        <f ca="1">BDP("084246NH Muni","FINANCING_TYPE")</f>
        <v>#NAME?</v>
      </c>
      <c r="J1804" t="e">
        <f ca="1">BDP("084246NH Muni","BICS_LEVEL_2_INDUSTRY_GROUP_NAME")</f>
        <v>#NAME?</v>
      </c>
      <c r="K1804" t="e">
        <f ca="1">BDP("084246NH Muni","SELF_REPRTD_GREEN_INSTR_INDCTR")</f>
        <v>#NAME?</v>
      </c>
      <c r="L1804" t="e">
        <f ca="1">BDP("084246NH Muni","GB_MANAGEMENT_PROCEEDS")</f>
        <v>#NAME?</v>
      </c>
      <c r="M1804" t="e">
        <f ca="1">BDP("084246NH Muni","GB_REPORTING")</f>
        <v>#NAME?</v>
      </c>
      <c r="N1804" t="e">
        <f ca="1">BDP("084246NH Muni","GB_ASSURANCE_PROVIDERS")</f>
        <v>#NAME?</v>
      </c>
      <c r="O1804" t="e">
        <f ca="1">BDP("084246NH Muni","GB_PROJECT_SELECTION_PROCESS")</f>
        <v>#NAME?</v>
      </c>
      <c r="P1804" t="e">
        <f ca="1">BDP("084246NH Muni","ESG_FRAMEWORK_INDICATOR")</f>
        <v>#NAME?</v>
      </c>
      <c r="Q1804" t="e">
        <f ca="1">BDP("084246NH Muni","BLOOMBERG_SECTOR_CODE")</f>
        <v>#NAME?</v>
      </c>
      <c r="R1804" t="e">
        <f ca="1">BDP("084246NH Muni","ISSUER_TYPE")</f>
        <v>#NAME?</v>
      </c>
      <c r="S1804" t="e">
        <f ca="1">BDS("084246NH Muni","ESG_PROJECT_CATEGORY", "aggregate=y")</f>
        <v>#NAME?</v>
      </c>
      <c r="T1804" t="e">
        <f ca="1">BDS("084246NH Muni","ESG_PROJECT_SUBCATEGORY", "aggregate=y")</f>
        <v>#NAME?</v>
      </c>
    </row>
    <row r="1805" spans="1:20" x14ac:dyDescent="0.25">
      <c r="A1805" t="e">
        <f ca="1">BDP("084246NK Muni","ID_CUSIP")</f>
        <v>#NAME?</v>
      </c>
      <c r="B1805" t="e">
        <f ca="1">BDP("084246NK Muni","STATE_CODE")</f>
        <v>#NAME?</v>
      </c>
      <c r="C1805" t="s">
        <v>110</v>
      </c>
      <c r="D1805" t="e">
        <f ca="1">BDP("084246NK Muni","YIELD_ON_ISSUE_DATE")</f>
        <v>#NAME?</v>
      </c>
      <c r="E1805">
        <v>400000</v>
      </c>
      <c r="F1805" t="e">
        <f ca="1">BDP("084246NK Muni","ISSUE_DT")</f>
        <v>#NAME?</v>
      </c>
      <c r="G1805" t="e">
        <f ca="1">BDP("084246NK Muni","MATURITY")</f>
        <v>#NAME?</v>
      </c>
      <c r="H1805" t="e">
        <f ca="1">BDP("084246NK Muni","MUNI_TAX_PROV")</f>
        <v>#NAME?</v>
      </c>
      <c r="I1805" t="e">
        <f ca="1">BDP("084246NK Muni","FINANCING_TYPE")</f>
        <v>#NAME?</v>
      </c>
      <c r="J1805" t="e">
        <f ca="1">BDP("084246NK Muni","BICS_LEVEL_2_INDUSTRY_GROUP_NAME")</f>
        <v>#NAME?</v>
      </c>
      <c r="K1805" t="e">
        <f ca="1">BDP("084246NK Muni","SELF_REPRTD_GREEN_INSTR_INDCTR")</f>
        <v>#NAME?</v>
      </c>
      <c r="L1805" t="e">
        <f ca="1">BDP("084246NK Muni","GB_MANAGEMENT_PROCEEDS")</f>
        <v>#NAME?</v>
      </c>
      <c r="M1805" t="e">
        <f ca="1">BDP("084246NK Muni","GB_REPORTING")</f>
        <v>#NAME?</v>
      </c>
      <c r="N1805" t="e">
        <f ca="1">BDP("084246NK Muni","GB_ASSURANCE_PROVIDERS")</f>
        <v>#NAME?</v>
      </c>
      <c r="O1805" t="e">
        <f ca="1">BDP("084246NK Muni","GB_PROJECT_SELECTION_PROCESS")</f>
        <v>#NAME?</v>
      </c>
      <c r="P1805" t="e">
        <f ca="1">BDP("084246NK Muni","ESG_FRAMEWORK_INDICATOR")</f>
        <v>#NAME?</v>
      </c>
      <c r="Q1805" t="e">
        <f ca="1">BDP("084246NK Muni","BLOOMBERG_SECTOR_CODE")</f>
        <v>#NAME?</v>
      </c>
      <c r="R1805" t="e">
        <f ca="1">BDP("084246NK Muni","ISSUER_TYPE")</f>
        <v>#NAME?</v>
      </c>
      <c r="S1805" t="e">
        <f ca="1">BDS("084246NK Muni","ESG_PROJECT_CATEGORY", "aggregate=y")</f>
        <v>#NAME?</v>
      </c>
      <c r="T1805" t="e">
        <f ca="1">BDS("084246NK Muni","ESG_PROJECT_SUBCATEGORY", "aggregate=y")</f>
        <v>#NAME?</v>
      </c>
    </row>
    <row r="1806" spans="1:20" x14ac:dyDescent="0.25">
      <c r="A1806" t="e">
        <f ca="1">BDP("084246NL Muni","ID_CUSIP")</f>
        <v>#NAME?</v>
      </c>
      <c r="B1806" t="e">
        <f ca="1">BDP("084246NL Muni","STATE_CODE")</f>
        <v>#NAME?</v>
      </c>
      <c r="C1806" t="s">
        <v>110</v>
      </c>
      <c r="D1806" t="e">
        <f ca="1">BDP("084246NL Muni","YIELD_ON_ISSUE_DATE")</f>
        <v>#NAME?</v>
      </c>
      <c r="E1806">
        <v>415000</v>
      </c>
      <c r="F1806" t="e">
        <f ca="1">BDP("084246NL Muni","ISSUE_DT")</f>
        <v>#NAME?</v>
      </c>
      <c r="G1806" t="e">
        <f ca="1">BDP("084246NL Muni","MATURITY")</f>
        <v>#NAME?</v>
      </c>
      <c r="H1806" t="e">
        <f ca="1">BDP("084246NL Muni","MUNI_TAX_PROV")</f>
        <v>#NAME?</v>
      </c>
      <c r="I1806" t="e">
        <f ca="1">BDP("084246NL Muni","FINANCING_TYPE")</f>
        <v>#NAME?</v>
      </c>
      <c r="J1806" t="e">
        <f ca="1">BDP("084246NL Muni","BICS_LEVEL_2_INDUSTRY_GROUP_NAME")</f>
        <v>#NAME?</v>
      </c>
      <c r="K1806" t="e">
        <f ca="1">BDP("084246NL Muni","SELF_REPRTD_GREEN_INSTR_INDCTR")</f>
        <v>#NAME?</v>
      </c>
      <c r="L1806" t="e">
        <f ca="1">BDP("084246NL Muni","GB_MANAGEMENT_PROCEEDS")</f>
        <v>#NAME?</v>
      </c>
      <c r="M1806" t="e">
        <f ca="1">BDP("084246NL Muni","GB_REPORTING")</f>
        <v>#NAME?</v>
      </c>
      <c r="N1806" t="e">
        <f ca="1">BDP("084246NL Muni","GB_ASSURANCE_PROVIDERS")</f>
        <v>#NAME?</v>
      </c>
      <c r="O1806" t="e">
        <f ca="1">BDP("084246NL Muni","GB_PROJECT_SELECTION_PROCESS")</f>
        <v>#NAME?</v>
      </c>
      <c r="P1806" t="e">
        <f ca="1">BDP("084246NL Muni","ESG_FRAMEWORK_INDICATOR")</f>
        <v>#NAME?</v>
      </c>
      <c r="Q1806" t="e">
        <f ca="1">BDP("084246NL Muni","BLOOMBERG_SECTOR_CODE")</f>
        <v>#NAME?</v>
      </c>
      <c r="R1806" t="e">
        <f ca="1">BDP("084246NL Muni","ISSUER_TYPE")</f>
        <v>#NAME?</v>
      </c>
      <c r="S1806" t="e">
        <f ca="1">BDS("084246NL Muni","ESG_PROJECT_CATEGORY", "aggregate=y")</f>
        <v>#NAME?</v>
      </c>
      <c r="T1806" t="e">
        <f ca="1">BDS("084246NL Muni","ESG_PROJECT_SUBCATEGORY", "aggregate=y")</f>
        <v>#NAME?</v>
      </c>
    </row>
    <row r="1807" spans="1:20" x14ac:dyDescent="0.25">
      <c r="A1807" t="e">
        <f ca="1">BDP("084246NM Muni","ID_CUSIP")</f>
        <v>#NAME?</v>
      </c>
      <c r="B1807" t="e">
        <f ca="1">BDP("084246NM Muni","STATE_CODE")</f>
        <v>#NAME?</v>
      </c>
      <c r="C1807" t="s">
        <v>110</v>
      </c>
      <c r="D1807" t="e">
        <f ca="1">BDP("084246NM Muni","YIELD_ON_ISSUE_DATE")</f>
        <v>#NAME?</v>
      </c>
      <c r="E1807">
        <v>665000</v>
      </c>
      <c r="F1807" t="e">
        <f ca="1">BDP("084246NM Muni","ISSUE_DT")</f>
        <v>#NAME?</v>
      </c>
      <c r="G1807" t="e">
        <f ca="1">BDP("084246NM Muni","MATURITY")</f>
        <v>#NAME?</v>
      </c>
      <c r="H1807" t="e">
        <f ca="1">BDP("084246NM Muni","MUNI_TAX_PROV")</f>
        <v>#NAME?</v>
      </c>
      <c r="I1807" t="e">
        <f ca="1">BDP("084246NM Muni","FINANCING_TYPE")</f>
        <v>#NAME?</v>
      </c>
      <c r="J1807" t="e">
        <f ca="1">BDP("084246NM Muni","BICS_LEVEL_2_INDUSTRY_GROUP_NAME")</f>
        <v>#NAME?</v>
      </c>
      <c r="K1807" t="e">
        <f ca="1">BDP("084246NM Muni","SELF_REPRTD_GREEN_INSTR_INDCTR")</f>
        <v>#NAME?</v>
      </c>
      <c r="L1807" t="e">
        <f ca="1">BDP("084246NM Muni","GB_MANAGEMENT_PROCEEDS")</f>
        <v>#NAME?</v>
      </c>
      <c r="M1807" t="e">
        <f ca="1">BDP("084246NM Muni","GB_REPORTING")</f>
        <v>#NAME?</v>
      </c>
      <c r="N1807" t="e">
        <f ca="1">BDP("084246NM Muni","GB_ASSURANCE_PROVIDERS")</f>
        <v>#NAME?</v>
      </c>
      <c r="O1807" t="e">
        <f ca="1">BDP("084246NM Muni","GB_PROJECT_SELECTION_PROCESS")</f>
        <v>#NAME?</v>
      </c>
      <c r="P1807" t="e">
        <f ca="1">BDP("084246NM Muni","ESG_FRAMEWORK_INDICATOR")</f>
        <v>#NAME?</v>
      </c>
      <c r="Q1807" t="e">
        <f ca="1">BDP("084246NM Muni","BLOOMBERG_SECTOR_CODE")</f>
        <v>#NAME?</v>
      </c>
      <c r="R1807" t="e">
        <f ca="1">BDP("084246NM Muni","ISSUER_TYPE")</f>
        <v>#NAME?</v>
      </c>
      <c r="S1807" t="e">
        <f ca="1">BDS("084246NM Muni","ESG_PROJECT_CATEGORY", "aggregate=y")</f>
        <v>#NAME?</v>
      </c>
      <c r="T1807" t="e">
        <f ca="1">BDS("084246NM Muni","ESG_PROJECT_SUBCATEGORY", "aggregate=y")</f>
        <v>#NAME?</v>
      </c>
    </row>
    <row r="1808" spans="1:20" x14ac:dyDescent="0.25">
      <c r="A1808" t="e">
        <f ca="1">BDP("084246NN Muni","ID_CUSIP")</f>
        <v>#NAME?</v>
      </c>
      <c r="B1808" t="e">
        <f ca="1">BDP("084246NN Muni","STATE_CODE")</f>
        <v>#NAME?</v>
      </c>
      <c r="C1808" t="s">
        <v>110</v>
      </c>
      <c r="D1808" t="e">
        <f ca="1">BDP("084246NN Muni","YIELD_ON_ISSUE_DATE")</f>
        <v>#NAME?</v>
      </c>
      <c r="E1808">
        <v>685000</v>
      </c>
      <c r="F1808" t="e">
        <f ca="1">BDP("084246NN Muni","ISSUE_DT")</f>
        <v>#NAME?</v>
      </c>
      <c r="G1808" t="e">
        <f ca="1">BDP("084246NN Muni","MATURITY")</f>
        <v>#NAME?</v>
      </c>
      <c r="H1808" t="e">
        <f ca="1">BDP("084246NN Muni","MUNI_TAX_PROV")</f>
        <v>#NAME?</v>
      </c>
      <c r="I1808" t="e">
        <f ca="1">BDP("084246NN Muni","FINANCING_TYPE")</f>
        <v>#NAME?</v>
      </c>
      <c r="J1808" t="e">
        <f ca="1">BDP("084246NN Muni","BICS_LEVEL_2_INDUSTRY_GROUP_NAME")</f>
        <v>#NAME?</v>
      </c>
      <c r="K1808" t="e">
        <f ca="1">BDP("084246NN Muni","SELF_REPRTD_GREEN_INSTR_INDCTR")</f>
        <v>#NAME?</v>
      </c>
      <c r="L1808" t="e">
        <f ca="1">BDP("084246NN Muni","GB_MANAGEMENT_PROCEEDS")</f>
        <v>#NAME?</v>
      </c>
      <c r="M1808" t="e">
        <f ca="1">BDP("084246NN Muni","GB_REPORTING")</f>
        <v>#NAME?</v>
      </c>
      <c r="N1808" t="e">
        <f ca="1">BDP("084246NN Muni","GB_ASSURANCE_PROVIDERS")</f>
        <v>#NAME?</v>
      </c>
      <c r="O1808" t="e">
        <f ca="1">BDP("084246NN Muni","GB_PROJECT_SELECTION_PROCESS")</f>
        <v>#NAME?</v>
      </c>
      <c r="P1808" t="e">
        <f ca="1">BDP("084246NN Muni","ESG_FRAMEWORK_INDICATOR")</f>
        <v>#NAME?</v>
      </c>
      <c r="Q1808" t="e">
        <f ca="1">BDP("084246NN Muni","BLOOMBERG_SECTOR_CODE")</f>
        <v>#NAME?</v>
      </c>
      <c r="R1808" t="e">
        <f ca="1">BDP("084246NN Muni","ISSUER_TYPE")</f>
        <v>#NAME?</v>
      </c>
      <c r="S1808" t="e">
        <f ca="1">BDS("084246NN Muni","ESG_PROJECT_CATEGORY", "aggregate=y")</f>
        <v>#NAME?</v>
      </c>
      <c r="T1808" t="e">
        <f ca="1">BDS("084246NN Muni","ESG_PROJECT_SUBCATEGORY", "aggregate=y")</f>
        <v>#NAME?</v>
      </c>
    </row>
    <row r="1809" spans="1:20" x14ac:dyDescent="0.25">
      <c r="A1809" t="e">
        <f ca="1">BDP("084246NP Muni","ID_CUSIP")</f>
        <v>#NAME?</v>
      </c>
      <c r="B1809" t="e">
        <f ca="1">BDP("084246NP Muni","STATE_CODE")</f>
        <v>#NAME?</v>
      </c>
      <c r="C1809" t="s">
        <v>110</v>
      </c>
      <c r="D1809" t="e">
        <f ca="1">BDP("084246NP Muni","YIELD_ON_ISSUE_DATE")</f>
        <v>#NAME?</v>
      </c>
      <c r="E1809">
        <v>715000</v>
      </c>
      <c r="F1809" t="e">
        <f ca="1">BDP("084246NP Muni","ISSUE_DT")</f>
        <v>#NAME?</v>
      </c>
      <c r="G1809" t="e">
        <f ca="1">BDP("084246NP Muni","MATURITY")</f>
        <v>#NAME?</v>
      </c>
      <c r="H1809" t="e">
        <f ca="1">BDP("084246NP Muni","MUNI_TAX_PROV")</f>
        <v>#NAME?</v>
      </c>
      <c r="I1809" t="e">
        <f ca="1">BDP("084246NP Muni","FINANCING_TYPE")</f>
        <v>#NAME?</v>
      </c>
      <c r="J1809" t="e">
        <f ca="1">BDP("084246NP Muni","BICS_LEVEL_2_INDUSTRY_GROUP_NAME")</f>
        <v>#NAME?</v>
      </c>
      <c r="K1809" t="e">
        <f ca="1">BDP("084246NP Muni","SELF_REPRTD_GREEN_INSTR_INDCTR")</f>
        <v>#NAME?</v>
      </c>
      <c r="L1809" t="e">
        <f ca="1">BDP("084246NP Muni","GB_MANAGEMENT_PROCEEDS")</f>
        <v>#NAME?</v>
      </c>
      <c r="M1809" t="e">
        <f ca="1">BDP("084246NP Muni","GB_REPORTING")</f>
        <v>#NAME?</v>
      </c>
      <c r="N1809" t="e">
        <f ca="1">BDP("084246NP Muni","GB_ASSURANCE_PROVIDERS")</f>
        <v>#NAME?</v>
      </c>
      <c r="O1809" t="e">
        <f ca="1">BDP("084246NP Muni","GB_PROJECT_SELECTION_PROCESS")</f>
        <v>#NAME?</v>
      </c>
      <c r="P1809" t="e">
        <f ca="1">BDP("084246NP Muni","ESG_FRAMEWORK_INDICATOR")</f>
        <v>#NAME?</v>
      </c>
      <c r="Q1809" t="e">
        <f ca="1">BDP("084246NP Muni","BLOOMBERG_SECTOR_CODE")</f>
        <v>#NAME?</v>
      </c>
      <c r="R1809" t="e">
        <f ca="1">BDP("084246NP Muni","ISSUER_TYPE")</f>
        <v>#NAME?</v>
      </c>
      <c r="S1809" t="e">
        <f ca="1">BDS("084246NP Muni","ESG_PROJECT_CATEGORY", "aggregate=y")</f>
        <v>#NAME?</v>
      </c>
      <c r="T1809" t="e">
        <f ca="1">BDS("084246NP Muni","ESG_PROJECT_SUBCATEGORY", "aggregate=y")</f>
        <v>#NAME?</v>
      </c>
    </row>
    <row r="1810" spans="1:20" x14ac:dyDescent="0.25">
      <c r="A1810" t="e">
        <f ca="1">BDP("084246NR Muni","ID_CUSIP")</f>
        <v>#NAME?</v>
      </c>
      <c r="B1810" t="e">
        <f ca="1">BDP("084246NR Muni","STATE_CODE")</f>
        <v>#NAME?</v>
      </c>
      <c r="C1810" t="s">
        <v>110</v>
      </c>
      <c r="D1810" t="e">
        <f ca="1">BDP("084246NR Muni","YIELD_ON_ISSUE_DATE")</f>
        <v>#NAME?</v>
      </c>
      <c r="E1810">
        <v>1235000</v>
      </c>
      <c r="F1810" t="e">
        <f ca="1">BDP("084246NR Muni","ISSUE_DT")</f>
        <v>#NAME?</v>
      </c>
      <c r="G1810" t="e">
        <f ca="1">BDP("084246NR Muni","MATURITY")</f>
        <v>#NAME?</v>
      </c>
      <c r="H1810" t="e">
        <f ca="1">BDP("084246NR Muni","MUNI_TAX_PROV")</f>
        <v>#NAME?</v>
      </c>
      <c r="I1810" t="e">
        <f ca="1">BDP("084246NR Muni","FINANCING_TYPE")</f>
        <v>#NAME?</v>
      </c>
      <c r="J1810" t="e">
        <f ca="1">BDP("084246NR Muni","BICS_LEVEL_2_INDUSTRY_GROUP_NAME")</f>
        <v>#NAME?</v>
      </c>
      <c r="K1810" t="e">
        <f ca="1">BDP("084246NR Muni","SELF_REPRTD_GREEN_INSTR_INDCTR")</f>
        <v>#NAME?</v>
      </c>
      <c r="L1810" t="e">
        <f ca="1">BDP("084246NR Muni","GB_MANAGEMENT_PROCEEDS")</f>
        <v>#NAME?</v>
      </c>
      <c r="M1810" t="e">
        <f ca="1">BDP("084246NR Muni","GB_REPORTING")</f>
        <v>#NAME?</v>
      </c>
      <c r="N1810" t="e">
        <f ca="1">BDP("084246NR Muni","GB_ASSURANCE_PROVIDERS")</f>
        <v>#NAME?</v>
      </c>
      <c r="O1810" t="e">
        <f ca="1">BDP("084246NR Muni","GB_PROJECT_SELECTION_PROCESS")</f>
        <v>#NAME?</v>
      </c>
      <c r="P1810" t="e">
        <f ca="1">BDP("084246NR Muni","ESG_FRAMEWORK_INDICATOR")</f>
        <v>#NAME?</v>
      </c>
      <c r="Q1810" t="e">
        <f ca="1">BDP("084246NR Muni","BLOOMBERG_SECTOR_CODE")</f>
        <v>#NAME?</v>
      </c>
      <c r="R1810" t="e">
        <f ca="1">BDP("084246NR Muni","ISSUER_TYPE")</f>
        <v>#NAME?</v>
      </c>
      <c r="S1810" t="e">
        <f ca="1">BDS("084246NR Muni","ESG_PROJECT_CATEGORY", "aggregate=y")</f>
        <v>#NAME?</v>
      </c>
      <c r="T1810" t="e">
        <f ca="1">BDS("084246NR Muni","ESG_PROJECT_SUBCATEGORY", "aggregate=y")</f>
        <v>#NAME?</v>
      </c>
    </row>
    <row r="1811" spans="1:20" x14ac:dyDescent="0.25">
      <c r="A1811" t="e">
        <f ca="1">BDP("084246NS Muni","ID_CUSIP")</f>
        <v>#NAME?</v>
      </c>
      <c r="B1811" t="e">
        <f ca="1">BDP("084246NS Muni","STATE_CODE")</f>
        <v>#NAME?</v>
      </c>
      <c r="C1811" t="s">
        <v>110</v>
      </c>
      <c r="D1811" t="e">
        <f ca="1">BDP("084246NS Muni","YIELD_ON_ISSUE_DATE")</f>
        <v>#NAME?</v>
      </c>
      <c r="E1811">
        <v>1295000</v>
      </c>
      <c r="F1811" t="e">
        <f ca="1">BDP("084246NS Muni","ISSUE_DT")</f>
        <v>#NAME?</v>
      </c>
      <c r="G1811" t="e">
        <f ca="1">BDP("084246NS Muni","MATURITY")</f>
        <v>#NAME?</v>
      </c>
      <c r="H1811" t="e">
        <f ca="1">BDP("084246NS Muni","MUNI_TAX_PROV")</f>
        <v>#NAME?</v>
      </c>
      <c r="I1811" t="e">
        <f ca="1">BDP("084246NS Muni","FINANCING_TYPE")</f>
        <v>#NAME?</v>
      </c>
      <c r="J1811" t="e">
        <f ca="1">BDP("084246NS Muni","BICS_LEVEL_2_INDUSTRY_GROUP_NAME")</f>
        <v>#NAME?</v>
      </c>
      <c r="K1811" t="e">
        <f ca="1">BDP("084246NS Muni","SELF_REPRTD_GREEN_INSTR_INDCTR")</f>
        <v>#NAME?</v>
      </c>
      <c r="L1811" t="e">
        <f ca="1">BDP("084246NS Muni","GB_MANAGEMENT_PROCEEDS")</f>
        <v>#NAME?</v>
      </c>
      <c r="M1811" t="e">
        <f ca="1">BDP("084246NS Muni","GB_REPORTING")</f>
        <v>#NAME?</v>
      </c>
      <c r="N1811" t="e">
        <f ca="1">BDP("084246NS Muni","GB_ASSURANCE_PROVIDERS")</f>
        <v>#NAME?</v>
      </c>
      <c r="O1811" t="e">
        <f ca="1">BDP("084246NS Muni","GB_PROJECT_SELECTION_PROCESS")</f>
        <v>#NAME?</v>
      </c>
      <c r="P1811" t="e">
        <f ca="1">BDP("084246NS Muni","ESG_FRAMEWORK_INDICATOR")</f>
        <v>#NAME?</v>
      </c>
      <c r="Q1811" t="e">
        <f ca="1">BDP("084246NS Muni","BLOOMBERG_SECTOR_CODE")</f>
        <v>#NAME?</v>
      </c>
      <c r="R1811" t="e">
        <f ca="1">BDP("084246NS Muni","ISSUER_TYPE")</f>
        <v>#NAME?</v>
      </c>
      <c r="S1811" t="e">
        <f ca="1">BDS("084246NS Muni","ESG_PROJECT_CATEGORY", "aggregate=y")</f>
        <v>#NAME?</v>
      </c>
      <c r="T1811" t="e">
        <f ca="1">BDS("084246NS Muni","ESG_PROJECT_SUBCATEGORY", "aggregate=y")</f>
        <v>#NAME?</v>
      </c>
    </row>
    <row r="1812" spans="1:20" x14ac:dyDescent="0.25">
      <c r="A1812" t="e">
        <f ca="1">BDP("084246NT Muni","ID_CUSIP")</f>
        <v>#NAME?</v>
      </c>
      <c r="B1812" t="e">
        <f ca="1">BDP("084246NT Muni","STATE_CODE")</f>
        <v>#NAME?</v>
      </c>
      <c r="C1812" t="s">
        <v>110</v>
      </c>
      <c r="D1812" t="e">
        <f ca="1">BDP("084246NT Muni","YIELD_ON_ISSUE_DATE")</f>
        <v>#NAME?</v>
      </c>
      <c r="E1812">
        <v>1365000</v>
      </c>
      <c r="F1812" t="e">
        <f ca="1">BDP("084246NT Muni","ISSUE_DT")</f>
        <v>#NAME?</v>
      </c>
      <c r="G1812" t="e">
        <f ca="1">BDP("084246NT Muni","MATURITY")</f>
        <v>#NAME?</v>
      </c>
      <c r="H1812" t="e">
        <f ca="1">BDP("084246NT Muni","MUNI_TAX_PROV")</f>
        <v>#NAME?</v>
      </c>
      <c r="I1812" t="e">
        <f ca="1">BDP("084246NT Muni","FINANCING_TYPE")</f>
        <v>#NAME?</v>
      </c>
      <c r="J1812" t="e">
        <f ca="1">BDP("084246NT Muni","BICS_LEVEL_2_INDUSTRY_GROUP_NAME")</f>
        <v>#NAME?</v>
      </c>
      <c r="K1812" t="e">
        <f ca="1">BDP("084246NT Muni","SELF_REPRTD_GREEN_INSTR_INDCTR")</f>
        <v>#NAME?</v>
      </c>
      <c r="L1812" t="e">
        <f ca="1">BDP("084246NT Muni","GB_MANAGEMENT_PROCEEDS")</f>
        <v>#NAME?</v>
      </c>
      <c r="M1812" t="e">
        <f ca="1">BDP("084246NT Muni","GB_REPORTING")</f>
        <v>#NAME?</v>
      </c>
      <c r="N1812" t="e">
        <f ca="1">BDP("084246NT Muni","GB_ASSURANCE_PROVIDERS")</f>
        <v>#NAME?</v>
      </c>
      <c r="O1812" t="e">
        <f ca="1">BDP("084246NT Muni","GB_PROJECT_SELECTION_PROCESS")</f>
        <v>#NAME?</v>
      </c>
      <c r="P1812" t="e">
        <f ca="1">BDP("084246NT Muni","ESG_FRAMEWORK_INDICATOR")</f>
        <v>#NAME?</v>
      </c>
      <c r="Q1812" t="e">
        <f ca="1">BDP("084246NT Muni","BLOOMBERG_SECTOR_CODE")</f>
        <v>#NAME?</v>
      </c>
      <c r="R1812" t="e">
        <f ca="1">BDP("084246NT Muni","ISSUER_TYPE")</f>
        <v>#NAME?</v>
      </c>
      <c r="S1812" t="e">
        <f ca="1">BDS("084246NT Muni","ESG_PROJECT_CATEGORY", "aggregate=y")</f>
        <v>#NAME?</v>
      </c>
      <c r="T1812" t="e">
        <f ca="1">BDS("084246NT Muni","ESG_PROJECT_SUBCATEGORY", "aggregate=y")</f>
        <v>#NAME?</v>
      </c>
    </row>
    <row r="1813" spans="1:20" x14ac:dyDescent="0.25">
      <c r="A1813" t="e">
        <f ca="1">BDP("084249EU Muni","ID_CUSIP")</f>
        <v>#NAME?</v>
      </c>
      <c r="B1813" t="e">
        <f ca="1">BDP("084249EU Muni","STATE_CODE")</f>
        <v>#NAME?</v>
      </c>
      <c r="C1813" t="s">
        <v>108</v>
      </c>
      <c r="D1813" t="e">
        <f ca="1">BDP("084249EU Muni","YIELD_ON_ISSUE_DATE")</f>
        <v>#NAME?</v>
      </c>
      <c r="E1813">
        <v>430000</v>
      </c>
      <c r="F1813" t="e">
        <f ca="1">BDP("084249EU Muni","ISSUE_DT")</f>
        <v>#NAME?</v>
      </c>
      <c r="G1813" t="e">
        <f ca="1">BDP("084249EU Muni","MATURITY")</f>
        <v>#NAME?</v>
      </c>
      <c r="H1813" t="e">
        <f ca="1">BDP("084249EU Muni","MUNI_TAX_PROV")</f>
        <v>#NAME?</v>
      </c>
      <c r="I1813" t="e">
        <f ca="1">BDP("084249EU Muni","FINANCING_TYPE")</f>
        <v>#NAME?</v>
      </c>
      <c r="J1813" t="e">
        <f ca="1">BDP("084249EU Muni","BICS_LEVEL_2_INDUSTRY_GROUP_NAME")</f>
        <v>#NAME?</v>
      </c>
      <c r="K1813" t="e">
        <f ca="1">BDP("084249EU Muni","SELF_REPRTD_GREEN_INSTR_INDCTR")</f>
        <v>#NAME?</v>
      </c>
      <c r="L1813" t="e">
        <f ca="1">BDP("084249EU Muni","GB_MANAGEMENT_PROCEEDS")</f>
        <v>#NAME?</v>
      </c>
      <c r="M1813" t="e">
        <f ca="1">BDP("084249EU Muni","GB_REPORTING")</f>
        <v>#NAME?</v>
      </c>
      <c r="N1813" t="e">
        <f ca="1">BDP("084249EU Muni","GB_ASSURANCE_PROVIDERS")</f>
        <v>#NAME?</v>
      </c>
      <c r="O1813" t="e">
        <f ca="1">BDP("084249EU Muni","GB_PROJECT_SELECTION_PROCESS")</f>
        <v>#NAME?</v>
      </c>
      <c r="P1813" t="e">
        <f ca="1">BDP("084249EU Muni","ESG_FRAMEWORK_INDICATOR")</f>
        <v>#NAME?</v>
      </c>
      <c r="Q1813" t="e">
        <f ca="1">BDP("084249EU Muni","BLOOMBERG_SECTOR_CODE")</f>
        <v>#NAME?</v>
      </c>
      <c r="R1813" t="e">
        <f ca="1">BDP("084249EU Muni","ISSUER_TYPE")</f>
        <v>#NAME?</v>
      </c>
      <c r="S1813" t="e">
        <f ca="1">BDS("084249EU Muni","ESG_PROJECT_CATEGORY", "aggregate=y")</f>
        <v>#NAME?</v>
      </c>
      <c r="T1813" t="e">
        <f ca="1">BDS("084249EU Muni","ESG_PROJECT_SUBCATEGORY", "aggregate=y")</f>
        <v>#NAME?</v>
      </c>
    </row>
    <row r="1814" spans="1:20" x14ac:dyDescent="0.25">
      <c r="A1814" t="e">
        <f ca="1">BDP("084249EV Muni","ID_CUSIP")</f>
        <v>#NAME?</v>
      </c>
      <c r="B1814" t="e">
        <f ca="1">BDP("084249EV Muni","STATE_CODE")</f>
        <v>#NAME?</v>
      </c>
      <c r="C1814" t="s">
        <v>108</v>
      </c>
      <c r="D1814" t="e">
        <f ca="1">BDP("084249EV Muni","YIELD_ON_ISSUE_DATE")</f>
        <v>#NAME?</v>
      </c>
      <c r="E1814">
        <v>450000</v>
      </c>
      <c r="F1814" t="e">
        <f ca="1">BDP("084249EV Muni","ISSUE_DT")</f>
        <v>#NAME?</v>
      </c>
      <c r="G1814" t="e">
        <f ca="1">BDP("084249EV Muni","MATURITY")</f>
        <v>#NAME?</v>
      </c>
      <c r="H1814" t="e">
        <f ca="1">BDP("084249EV Muni","MUNI_TAX_PROV")</f>
        <v>#NAME?</v>
      </c>
      <c r="I1814" t="e">
        <f ca="1">BDP("084249EV Muni","FINANCING_TYPE")</f>
        <v>#NAME?</v>
      </c>
      <c r="J1814" t="e">
        <f ca="1">BDP("084249EV Muni","BICS_LEVEL_2_INDUSTRY_GROUP_NAME")</f>
        <v>#NAME?</v>
      </c>
      <c r="K1814" t="e">
        <f ca="1">BDP("084249EV Muni","SELF_REPRTD_GREEN_INSTR_INDCTR")</f>
        <v>#NAME?</v>
      </c>
      <c r="L1814" t="e">
        <f ca="1">BDP("084249EV Muni","GB_MANAGEMENT_PROCEEDS")</f>
        <v>#NAME?</v>
      </c>
      <c r="M1814" t="e">
        <f ca="1">BDP("084249EV Muni","GB_REPORTING")</f>
        <v>#NAME?</v>
      </c>
      <c r="N1814" t="e">
        <f ca="1">BDP("084249EV Muni","GB_ASSURANCE_PROVIDERS")</f>
        <v>#NAME?</v>
      </c>
      <c r="O1814" t="e">
        <f ca="1">BDP("084249EV Muni","GB_PROJECT_SELECTION_PROCESS")</f>
        <v>#NAME?</v>
      </c>
      <c r="P1814" t="e">
        <f ca="1">BDP("084249EV Muni","ESG_FRAMEWORK_INDICATOR")</f>
        <v>#NAME?</v>
      </c>
      <c r="Q1814" t="e">
        <f ca="1">BDP("084249EV Muni","BLOOMBERG_SECTOR_CODE")</f>
        <v>#NAME?</v>
      </c>
      <c r="R1814" t="e">
        <f ca="1">BDP("084249EV Muni","ISSUER_TYPE")</f>
        <v>#NAME?</v>
      </c>
      <c r="S1814" t="e">
        <f ca="1">BDS("084249EV Muni","ESG_PROJECT_CATEGORY", "aggregate=y")</f>
        <v>#NAME?</v>
      </c>
      <c r="T1814" t="e">
        <f ca="1">BDS("084249EV Muni","ESG_PROJECT_SUBCATEGORY", "aggregate=y")</f>
        <v>#NAME?</v>
      </c>
    </row>
    <row r="1815" spans="1:20" x14ac:dyDescent="0.25">
      <c r="A1815" t="e">
        <f ca="1">BDP("084249EW Muni","ID_CUSIP")</f>
        <v>#NAME?</v>
      </c>
      <c r="B1815" t="e">
        <f ca="1">BDP("084249EW Muni","STATE_CODE")</f>
        <v>#NAME?</v>
      </c>
      <c r="C1815" t="s">
        <v>108</v>
      </c>
      <c r="D1815" t="e">
        <f ca="1">BDP("084249EW Muni","YIELD_ON_ISSUE_DATE")</f>
        <v>#NAME?</v>
      </c>
      <c r="E1815">
        <v>475000</v>
      </c>
      <c r="F1815" t="e">
        <f ca="1">BDP("084249EW Muni","ISSUE_DT")</f>
        <v>#NAME?</v>
      </c>
      <c r="G1815" t="e">
        <f ca="1">BDP("084249EW Muni","MATURITY")</f>
        <v>#NAME?</v>
      </c>
      <c r="H1815" t="e">
        <f ca="1">BDP("084249EW Muni","MUNI_TAX_PROV")</f>
        <v>#NAME?</v>
      </c>
      <c r="I1815" t="e">
        <f ca="1">BDP("084249EW Muni","FINANCING_TYPE")</f>
        <v>#NAME?</v>
      </c>
      <c r="J1815" t="e">
        <f ca="1">BDP("084249EW Muni","BICS_LEVEL_2_INDUSTRY_GROUP_NAME")</f>
        <v>#NAME?</v>
      </c>
      <c r="K1815" t="e">
        <f ca="1">BDP("084249EW Muni","SELF_REPRTD_GREEN_INSTR_INDCTR")</f>
        <v>#NAME?</v>
      </c>
      <c r="L1815" t="e">
        <f ca="1">BDP("084249EW Muni","GB_MANAGEMENT_PROCEEDS")</f>
        <v>#NAME?</v>
      </c>
      <c r="M1815" t="e">
        <f ca="1">BDP("084249EW Muni","GB_REPORTING")</f>
        <v>#NAME?</v>
      </c>
      <c r="N1815" t="e">
        <f ca="1">BDP("084249EW Muni","GB_ASSURANCE_PROVIDERS")</f>
        <v>#NAME?</v>
      </c>
      <c r="O1815" t="e">
        <f ca="1">BDP("084249EW Muni","GB_PROJECT_SELECTION_PROCESS")</f>
        <v>#NAME?</v>
      </c>
      <c r="P1815" t="e">
        <f ca="1">BDP("084249EW Muni","ESG_FRAMEWORK_INDICATOR")</f>
        <v>#NAME?</v>
      </c>
      <c r="Q1815" t="e">
        <f ca="1">BDP("084249EW Muni","BLOOMBERG_SECTOR_CODE")</f>
        <v>#NAME?</v>
      </c>
      <c r="R1815" t="e">
        <f ca="1">BDP("084249EW Muni","ISSUER_TYPE")</f>
        <v>#NAME?</v>
      </c>
      <c r="S1815" t="e">
        <f ca="1">BDS("084249EW Muni","ESG_PROJECT_CATEGORY", "aggregate=y")</f>
        <v>#NAME?</v>
      </c>
      <c r="T1815" t="e">
        <f ca="1">BDS("084249EW Muni","ESG_PROJECT_SUBCATEGORY", "aggregate=y")</f>
        <v>#NAME?</v>
      </c>
    </row>
    <row r="1816" spans="1:20" x14ac:dyDescent="0.25">
      <c r="A1816" t="e">
        <f ca="1">BDP("084249EX Muni","ID_CUSIP")</f>
        <v>#NAME?</v>
      </c>
      <c r="B1816" t="e">
        <f ca="1">BDP("084249EX Muni","STATE_CODE")</f>
        <v>#NAME?</v>
      </c>
      <c r="C1816" t="s">
        <v>108</v>
      </c>
      <c r="D1816" t="e">
        <f ca="1">BDP("084249EX Muni","YIELD_ON_ISSUE_DATE")</f>
        <v>#NAME?</v>
      </c>
      <c r="E1816">
        <v>500000</v>
      </c>
      <c r="F1816" t="e">
        <f ca="1">BDP("084249EX Muni","ISSUE_DT")</f>
        <v>#NAME?</v>
      </c>
      <c r="G1816" t="e">
        <f ca="1">BDP("084249EX Muni","MATURITY")</f>
        <v>#NAME?</v>
      </c>
      <c r="H1816" t="e">
        <f ca="1">BDP("084249EX Muni","MUNI_TAX_PROV")</f>
        <v>#NAME?</v>
      </c>
      <c r="I1816" t="e">
        <f ca="1">BDP("084249EX Muni","FINANCING_TYPE")</f>
        <v>#NAME?</v>
      </c>
      <c r="J1816" t="e">
        <f ca="1">BDP("084249EX Muni","BICS_LEVEL_2_INDUSTRY_GROUP_NAME")</f>
        <v>#NAME?</v>
      </c>
      <c r="K1816" t="e">
        <f ca="1">BDP("084249EX Muni","SELF_REPRTD_GREEN_INSTR_INDCTR")</f>
        <v>#NAME?</v>
      </c>
      <c r="L1816" t="e">
        <f ca="1">BDP("084249EX Muni","GB_MANAGEMENT_PROCEEDS")</f>
        <v>#NAME?</v>
      </c>
      <c r="M1816" t="e">
        <f ca="1">BDP("084249EX Muni","GB_REPORTING")</f>
        <v>#NAME?</v>
      </c>
      <c r="N1816" t="e">
        <f ca="1">BDP("084249EX Muni","GB_ASSURANCE_PROVIDERS")</f>
        <v>#NAME?</v>
      </c>
      <c r="O1816" t="e">
        <f ca="1">BDP("084249EX Muni","GB_PROJECT_SELECTION_PROCESS")</f>
        <v>#NAME?</v>
      </c>
      <c r="P1816" t="e">
        <f ca="1">BDP("084249EX Muni","ESG_FRAMEWORK_INDICATOR")</f>
        <v>#NAME?</v>
      </c>
      <c r="Q1816" t="e">
        <f ca="1">BDP("084249EX Muni","BLOOMBERG_SECTOR_CODE")</f>
        <v>#NAME?</v>
      </c>
      <c r="R1816" t="e">
        <f ca="1">BDP("084249EX Muni","ISSUER_TYPE")</f>
        <v>#NAME?</v>
      </c>
      <c r="S1816" t="e">
        <f ca="1">BDS("084249EX Muni","ESG_PROJECT_CATEGORY", "aggregate=y")</f>
        <v>#NAME?</v>
      </c>
      <c r="T1816" t="e">
        <f ca="1">BDS("084249EX Muni","ESG_PROJECT_SUBCATEGORY", "aggregate=y")</f>
        <v>#NAME?</v>
      </c>
    </row>
    <row r="1817" spans="1:20" x14ac:dyDescent="0.25">
      <c r="A1817" t="e">
        <f ca="1">BDP("084249EY Muni","ID_CUSIP")</f>
        <v>#NAME?</v>
      </c>
      <c r="B1817" t="e">
        <f ca="1">BDP("084249EY Muni","STATE_CODE")</f>
        <v>#NAME?</v>
      </c>
      <c r="C1817" t="s">
        <v>108</v>
      </c>
      <c r="D1817" t="e">
        <f ca="1">BDP("084249EY Muni","YIELD_ON_ISSUE_DATE")</f>
        <v>#NAME?</v>
      </c>
      <c r="E1817">
        <v>125000</v>
      </c>
      <c r="F1817" t="e">
        <f ca="1">BDP("084249EY Muni","ISSUE_DT")</f>
        <v>#NAME?</v>
      </c>
      <c r="G1817" t="e">
        <f ca="1">BDP("084249EY Muni","MATURITY")</f>
        <v>#NAME?</v>
      </c>
      <c r="H1817" t="e">
        <f ca="1">BDP("084249EY Muni","MUNI_TAX_PROV")</f>
        <v>#NAME?</v>
      </c>
      <c r="I1817" t="e">
        <f ca="1">BDP("084249EY Muni","FINANCING_TYPE")</f>
        <v>#NAME?</v>
      </c>
      <c r="J1817" t="e">
        <f ca="1">BDP("084249EY Muni","BICS_LEVEL_2_INDUSTRY_GROUP_NAME")</f>
        <v>#NAME?</v>
      </c>
      <c r="K1817" t="e">
        <f ca="1">BDP("084249EY Muni","SELF_REPRTD_GREEN_INSTR_INDCTR")</f>
        <v>#NAME?</v>
      </c>
      <c r="L1817" t="e">
        <f ca="1">BDP("084249EY Muni","GB_MANAGEMENT_PROCEEDS")</f>
        <v>#NAME?</v>
      </c>
      <c r="M1817" t="e">
        <f ca="1">BDP("084249EY Muni","GB_REPORTING")</f>
        <v>#NAME?</v>
      </c>
      <c r="N1817" t="e">
        <f ca="1">BDP("084249EY Muni","GB_ASSURANCE_PROVIDERS")</f>
        <v>#NAME?</v>
      </c>
      <c r="O1817" t="e">
        <f ca="1">BDP("084249EY Muni","GB_PROJECT_SELECTION_PROCESS")</f>
        <v>#NAME?</v>
      </c>
      <c r="P1817" t="e">
        <f ca="1">BDP("084249EY Muni","ESG_FRAMEWORK_INDICATOR")</f>
        <v>#NAME?</v>
      </c>
      <c r="Q1817" t="e">
        <f ca="1">BDP("084249EY Muni","BLOOMBERG_SECTOR_CODE")</f>
        <v>#NAME?</v>
      </c>
      <c r="R1817" t="e">
        <f ca="1">BDP("084249EY Muni","ISSUER_TYPE")</f>
        <v>#NAME?</v>
      </c>
      <c r="S1817" t="e">
        <f ca="1">BDS("084249EY Muni","ESG_PROJECT_CATEGORY", "aggregate=y")</f>
        <v>#NAME?</v>
      </c>
      <c r="T1817" t="e">
        <f ca="1">BDS("084249EY Muni","ESG_PROJECT_SUBCATEGORY", "aggregate=y")</f>
        <v>#NAME?</v>
      </c>
    </row>
    <row r="1818" spans="1:20" x14ac:dyDescent="0.25">
      <c r="A1818" t="e">
        <f ca="1">BDP("084249EZ Muni","ID_CUSIP")</f>
        <v>#NAME?</v>
      </c>
      <c r="B1818" t="e">
        <f ca="1">BDP("084249EZ Muni","STATE_CODE")</f>
        <v>#NAME?</v>
      </c>
      <c r="C1818" t="s">
        <v>108</v>
      </c>
      <c r="D1818" t="e">
        <f ca="1">BDP("084249EZ Muni","YIELD_ON_ISSUE_DATE")</f>
        <v>#NAME?</v>
      </c>
      <c r="E1818">
        <v>400000</v>
      </c>
      <c r="F1818" t="e">
        <f ca="1">BDP("084249EZ Muni","ISSUE_DT")</f>
        <v>#NAME?</v>
      </c>
      <c r="G1818" t="e">
        <f ca="1">BDP("084249EZ Muni","MATURITY")</f>
        <v>#NAME?</v>
      </c>
      <c r="H1818" t="e">
        <f ca="1">BDP("084249EZ Muni","MUNI_TAX_PROV")</f>
        <v>#NAME?</v>
      </c>
      <c r="I1818" t="e">
        <f ca="1">BDP("084249EZ Muni","FINANCING_TYPE")</f>
        <v>#NAME?</v>
      </c>
      <c r="J1818" t="e">
        <f ca="1">BDP("084249EZ Muni","BICS_LEVEL_2_INDUSTRY_GROUP_NAME")</f>
        <v>#NAME?</v>
      </c>
      <c r="K1818" t="e">
        <f ca="1">BDP("084249EZ Muni","SELF_REPRTD_GREEN_INSTR_INDCTR")</f>
        <v>#NAME?</v>
      </c>
      <c r="L1818" t="e">
        <f ca="1">BDP("084249EZ Muni","GB_MANAGEMENT_PROCEEDS")</f>
        <v>#NAME?</v>
      </c>
      <c r="M1818" t="e">
        <f ca="1">BDP("084249EZ Muni","GB_REPORTING")</f>
        <v>#NAME?</v>
      </c>
      <c r="N1818" t="e">
        <f ca="1">BDP("084249EZ Muni","GB_ASSURANCE_PROVIDERS")</f>
        <v>#NAME?</v>
      </c>
      <c r="O1818" t="e">
        <f ca="1">BDP("084249EZ Muni","GB_PROJECT_SELECTION_PROCESS")</f>
        <v>#NAME?</v>
      </c>
      <c r="P1818" t="e">
        <f ca="1">BDP("084249EZ Muni","ESG_FRAMEWORK_INDICATOR")</f>
        <v>#NAME?</v>
      </c>
      <c r="Q1818" t="e">
        <f ca="1">BDP("084249EZ Muni","BLOOMBERG_SECTOR_CODE")</f>
        <v>#NAME?</v>
      </c>
      <c r="R1818" t="e">
        <f ca="1">BDP("084249EZ Muni","ISSUER_TYPE")</f>
        <v>#NAME?</v>
      </c>
      <c r="S1818" t="e">
        <f ca="1">BDS("084249EZ Muni","ESG_PROJECT_CATEGORY", "aggregate=y")</f>
        <v>#NAME?</v>
      </c>
      <c r="T1818" t="e">
        <f ca="1">BDS("084249EZ Muni","ESG_PROJECT_SUBCATEGORY", "aggregate=y")</f>
        <v>#NAME?</v>
      </c>
    </row>
    <row r="1819" spans="1:20" x14ac:dyDescent="0.25">
      <c r="A1819" t="e">
        <f ca="1">BDP("084249FA Muni","ID_CUSIP")</f>
        <v>#NAME?</v>
      </c>
      <c r="B1819" t="e">
        <f ca="1">BDP("084249FA Muni","STATE_CODE")</f>
        <v>#NAME?</v>
      </c>
      <c r="C1819" t="s">
        <v>108</v>
      </c>
      <c r="D1819" t="e">
        <f ca="1">BDP("084249FA Muni","YIELD_ON_ISSUE_DATE")</f>
        <v>#NAME?</v>
      </c>
      <c r="E1819">
        <v>545000</v>
      </c>
      <c r="F1819" t="e">
        <f ca="1">BDP("084249FA Muni","ISSUE_DT")</f>
        <v>#NAME?</v>
      </c>
      <c r="G1819" t="e">
        <f ca="1">BDP("084249FA Muni","MATURITY")</f>
        <v>#NAME?</v>
      </c>
      <c r="H1819" t="e">
        <f ca="1">BDP("084249FA Muni","MUNI_TAX_PROV")</f>
        <v>#NAME?</v>
      </c>
      <c r="I1819" t="e">
        <f ca="1">BDP("084249FA Muni","FINANCING_TYPE")</f>
        <v>#NAME?</v>
      </c>
      <c r="J1819" t="e">
        <f ca="1">BDP("084249FA Muni","BICS_LEVEL_2_INDUSTRY_GROUP_NAME")</f>
        <v>#NAME?</v>
      </c>
      <c r="K1819" t="e">
        <f ca="1">BDP("084249FA Muni","SELF_REPRTD_GREEN_INSTR_INDCTR")</f>
        <v>#NAME?</v>
      </c>
      <c r="L1819" t="e">
        <f ca="1">BDP("084249FA Muni","GB_MANAGEMENT_PROCEEDS")</f>
        <v>#NAME?</v>
      </c>
      <c r="M1819" t="e">
        <f ca="1">BDP("084249FA Muni","GB_REPORTING")</f>
        <v>#NAME?</v>
      </c>
      <c r="N1819" t="e">
        <f ca="1">BDP("084249FA Muni","GB_ASSURANCE_PROVIDERS")</f>
        <v>#NAME?</v>
      </c>
      <c r="O1819" t="e">
        <f ca="1">BDP("084249FA Muni","GB_PROJECT_SELECTION_PROCESS")</f>
        <v>#NAME?</v>
      </c>
      <c r="P1819" t="e">
        <f ca="1">BDP("084249FA Muni","ESG_FRAMEWORK_INDICATOR")</f>
        <v>#NAME?</v>
      </c>
      <c r="Q1819" t="e">
        <f ca="1">BDP("084249FA Muni","BLOOMBERG_SECTOR_CODE")</f>
        <v>#NAME?</v>
      </c>
      <c r="R1819" t="e">
        <f ca="1">BDP("084249FA Muni","ISSUER_TYPE")</f>
        <v>#NAME?</v>
      </c>
      <c r="S1819" t="e">
        <f ca="1">BDS("084249FA Muni","ESG_PROJECT_CATEGORY", "aggregate=y")</f>
        <v>#NAME?</v>
      </c>
      <c r="T1819" t="e">
        <f ca="1">BDS("084249FA Muni","ESG_PROJECT_SUBCATEGORY", "aggregate=y")</f>
        <v>#NAME?</v>
      </c>
    </row>
    <row r="1820" spans="1:20" x14ac:dyDescent="0.25">
      <c r="A1820" t="e">
        <f ca="1">BDP("084249FB Muni","ID_CUSIP")</f>
        <v>#NAME?</v>
      </c>
      <c r="B1820" t="e">
        <f ca="1">BDP("084249FB Muni","STATE_CODE")</f>
        <v>#NAME?</v>
      </c>
      <c r="C1820" t="s">
        <v>108</v>
      </c>
      <c r="D1820" t="e">
        <f ca="1">BDP("084249FB Muni","YIELD_ON_ISSUE_DATE")</f>
        <v>#NAME?</v>
      </c>
      <c r="E1820">
        <v>560000</v>
      </c>
      <c r="F1820" t="e">
        <f ca="1">BDP("084249FB Muni","ISSUE_DT")</f>
        <v>#NAME?</v>
      </c>
      <c r="G1820" t="e">
        <f ca="1">BDP("084249FB Muni","MATURITY")</f>
        <v>#NAME?</v>
      </c>
      <c r="H1820" t="e">
        <f ca="1">BDP("084249FB Muni","MUNI_TAX_PROV")</f>
        <v>#NAME?</v>
      </c>
      <c r="I1820" t="e">
        <f ca="1">BDP("084249FB Muni","FINANCING_TYPE")</f>
        <v>#NAME?</v>
      </c>
      <c r="J1820" t="e">
        <f ca="1">BDP("084249FB Muni","BICS_LEVEL_2_INDUSTRY_GROUP_NAME")</f>
        <v>#NAME?</v>
      </c>
      <c r="K1820" t="e">
        <f ca="1">BDP("084249FB Muni","SELF_REPRTD_GREEN_INSTR_INDCTR")</f>
        <v>#NAME?</v>
      </c>
      <c r="L1820" t="e">
        <f ca="1">BDP("084249FB Muni","GB_MANAGEMENT_PROCEEDS")</f>
        <v>#NAME?</v>
      </c>
      <c r="M1820" t="e">
        <f ca="1">BDP("084249FB Muni","GB_REPORTING")</f>
        <v>#NAME?</v>
      </c>
      <c r="N1820" t="e">
        <f ca="1">BDP("084249FB Muni","GB_ASSURANCE_PROVIDERS")</f>
        <v>#NAME?</v>
      </c>
      <c r="O1820" t="e">
        <f ca="1">BDP("084249FB Muni","GB_PROJECT_SELECTION_PROCESS")</f>
        <v>#NAME?</v>
      </c>
      <c r="P1820" t="e">
        <f ca="1">BDP("084249FB Muni","ESG_FRAMEWORK_INDICATOR")</f>
        <v>#NAME?</v>
      </c>
      <c r="Q1820" t="e">
        <f ca="1">BDP("084249FB Muni","BLOOMBERG_SECTOR_CODE")</f>
        <v>#NAME?</v>
      </c>
      <c r="R1820" t="e">
        <f ca="1">BDP("084249FB Muni","ISSUER_TYPE")</f>
        <v>#NAME?</v>
      </c>
      <c r="S1820" t="e">
        <f ca="1">BDS("084249FB Muni","ESG_PROJECT_CATEGORY", "aggregate=y")</f>
        <v>#NAME?</v>
      </c>
      <c r="T1820" t="e">
        <f ca="1">BDS("084249FB Muni","ESG_PROJECT_SUBCATEGORY", "aggregate=y")</f>
        <v>#NAME?</v>
      </c>
    </row>
    <row r="1821" spans="1:20" x14ac:dyDescent="0.25">
      <c r="A1821" t="e">
        <f ca="1">BDP("084249FC Muni","ID_CUSIP")</f>
        <v>#NAME?</v>
      </c>
      <c r="B1821" t="e">
        <f ca="1">BDP("084249FC Muni","STATE_CODE")</f>
        <v>#NAME?</v>
      </c>
      <c r="C1821" t="s">
        <v>108</v>
      </c>
      <c r="D1821" t="e">
        <f ca="1">BDP("084249FC Muni","YIELD_ON_ISSUE_DATE")</f>
        <v>#NAME?</v>
      </c>
      <c r="E1821">
        <v>585000</v>
      </c>
      <c r="F1821" t="e">
        <f ca="1">BDP("084249FC Muni","ISSUE_DT")</f>
        <v>#NAME?</v>
      </c>
      <c r="G1821" t="e">
        <f ca="1">BDP("084249FC Muni","MATURITY")</f>
        <v>#NAME?</v>
      </c>
      <c r="H1821" t="e">
        <f ca="1">BDP("084249FC Muni","MUNI_TAX_PROV")</f>
        <v>#NAME?</v>
      </c>
      <c r="I1821" t="e">
        <f ca="1">BDP("084249FC Muni","FINANCING_TYPE")</f>
        <v>#NAME?</v>
      </c>
      <c r="J1821" t="e">
        <f ca="1">BDP("084249FC Muni","BICS_LEVEL_2_INDUSTRY_GROUP_NAME")</f>
        <v>#NAME?</v>
      </c>
      <c r="K1821" t="e">
        <f ca="1">BDP("084249FC Muni","SELF_REPRTD_GREEN_INSTR_INDCTR")</f>
        <v>#NAME?</v>
      </c>
      <c r="L1821" t="e">
        <f ca="1">BDP("084249FC Muni","GB_MANAGEMENT_PROCEEDS")</f>
        <v>#NAME?</v>
      </c>
      <c r="M1821" t="e">
        <f ca="1">BDP("084249FC Muni","GB_REPORTING")</f>
        <v>#NAME?</v>
      </c>
      <c r="N1821" t="e">
        <f ca="1">BDP("084249FC Muni","GB_ASSURANCE_PROVIDERS")</f>
        <v>#NAME?</v>
      </c>
      <c r="O1821" t="e">
        <f ca="1">BDP("084249FC Muni","GB_PROJECT_SELECTION_PROCESS")</f>
        <v>#NAME?</v>
      </c>
      <c r="P1821" t="e">
        <f ca="1">BDP("084249FC Muni","ESG_FRAMEWORK_INDICATOR")</f>
        <v>#NAME?</v>
      </c>
      <c r="Q1821" t="e">
        <f ca="1">BDP("084249FC Muni","BLOOMBERG_SECTOR_CODE")</f>
        <v>#NAME?</v>
      </c>
      <c r="R1821" t="e">
        <f ca="1">BDP("084249FC Muni","ISSUER_TYPE")</f>
        <v>#NAME?</v>
      </c>
      <c r="S1821" t="e">
        <f ca="1">BDS("084249FC Muni","ESG_PROJECT_CATEGORY", "aggregate=y")</f>
        <v>#NAME?</v>
      </c>
      <c r="T1821" t="e">
        <f ca="1">BDS("084249FC Muni","ESG_PROJECT_SUBCATEGORY", "aggregate=y")</f>
        <v>#NAME?</v>
      </c>
    </row>
    <row r="1822" spans="1:20" x14ac:dyDescent="0.25">
      <c r="A1822" t="e">
        <f ca="1">BDP("084249FE Muni","ID_CUSIP")</f>
        <v>#NAME?</v>
      </c>
      <c r="B1822" t="e">
        <f ca="1">BDP("084249FE Muni","STATE_CODE")</f>
        <v>#NAME?</v>
      </c>
      <c r="C1822" t="s">
        <v>108</v>
      </c>
      <c r="D1822" t="e">
        <f ca="1">BDP("084249FE Muni","YIELD_ON_ISSUE_DATE")</f>
        <v>#NAME?</v>
      </c>
      <c r="E1822">
        <v>645000</v>
      </c>
      <c r="F1822" t="e">
        <f ca="1">BDP("084249FE Muni","ISSUE_DT")</f>
        <v>#NAME?</v>
      </c>
      <c r="G1822" t="e">
        <f ca="1">BDP("084249FE Muni","MATURITY")</f>
        <v>#NAME?</v>
      </c>
      <c r="H1822" t="e">
        <f ca="1">BDP("084249FE Muni","MUNI_TAX_PROV")</f>
        <v>#NAME?</v>
      </c>
      <c r="I1822" t="e">
        <f ca="1">BDP("084249FE Muni","FINANCING_TYPE")</f>
        <v>#NAME?</v>
      </c>
      <c r="J1822" t="e">
        <f ca="1">BDP("084249FE Muni","BICS_LEVEL_2_INDUSTRY_GROUP_NAME")</f>
        <v>#NAME?</v>
      </c>
      <c r="K1822" t="e">
        <f ca="1">BDP("084249FE Muni","SELF_REPRTD_GREEN_INSTR_INDCTR")</f>
        <v>#NAME?</v>
      </c>
      <c r="L1822" t="e">
        <f ca="1">BDP("084249FE Muni","GB_MANAGEMENT_PROCEEDS")</f>
        <v>#NAME?</v>
      </c>
      <c r="M1822" t="e">
        <f ca="1">BDP("084249FE Muni","GB_REPORTING")</f>
        <v>#NAME?</v>
      </c>
      <c r="N1822" t="e">
        <f ca="1">BDP("084249FE Muni","GB_ASSURANCE_PROVIDERS")</f>
        <v>#NAME?</v>
      </c>
      <c r="O1822" t="e">
        <f ca="1">BDP("084249FE Muni","GB_PROJECT_SELECTION_PROCESS")</f>
        <v>#NAME?</v>
      </c>
      <c r="P1822" t="e">
        <f ca="1">BDP("084249FE Muni","ESG_FRAMEWORK_INDICATOR")</f>
        <v>#NAME?</v>
      </c>
      <c r="Q1822" t="e">
        <f ca="1">BDP("084249FE Muni","BLOOMBERG_SECTOR_CODE")</f>
        <v>#NAME?</v>
      </c>
      <c r="R1822" t="e">
        <f ca="1">BDP("084249FE Muni","ISSUER_TYPE")</f>
        <v>#NAME?</v>
      </c>
      <c r="S1822" t="e">
        <f ca="1">BDS("084249FE Muni","ESG_PROJECT_CATEGORY", "aggregate=y")</f>
        <v>#NAME?</v>
      </c>
      <c r="T1822" t="e">
        <f ca="1">BDS("084249FE Muni","ESG_PROJECT_SUBCATEGORY", "aggregate=y")</f>
        <v>#NAME?</v>
      </c>
    </row>
    <row r="1823" spans="1:20" x14ac:dyDescent="0.25">
      <c r="A1823" t="e">
        <f ca="1">BDP("084249FF Muni","ID_CUSIP")</f>
        <v>#NAME?</v>
      </c>
      <c r="B1823" t="e">
        <f ca="1">BDP("084249FF Muni","STATE_CODE")</f>
        <v>#NAME?</v>
      </c>
      <c r="C1823" t="s">
        <v>108</v>
      </c>
      <c r="D1823" t="e">
        <f ca="1">BDP("084249FF Muni","YIELD_ON_ISSUE_DATE")</f>
        <v>#NAME?</v>
      </c>
      <c r="E1823">
        <v>1275000</v>
      </c>
      <c r="F1823" t="e">
        <f ca="1">BDP("084249FF Muni","ISSUE_DT")</f>
        <v>#NAME?</v>
      </c>
      <c r="G1823" t="e">
        <f ca="1">BDP("084249FF Muni","MATURITY")</f>
        <v>#NAME?</v>
      </c>
      <c r="H1823" t="e">
        <f ca="1">BDP("084249FF Muni","MUNI_TAX_PROV")</f>
        <v>#NAME?</v>
      </c>
      <c r="I1823" t="e">
        <f ca="1">BDP("084249FF Muni","FINANCING_TYPE")</f>
        <v>#NAME?</v>
      </c>
      <c r="J1823" t="e">
        <f ca="1">BDP("084249FF Muni","BICS_LEVEL_2_INDUSTRY_GROUP_NAME")</f>
        <v>#NAME?</v>
      </c>
      <c r="K1823" t="e">
        <f ca="1">BDP("084249FF Muni","SELF_REPRTD_GREEN_INSTR_INDCTR")</f>
        <v>#NAME?</v>
      </c>
      <c r="L1823" t="e">
        <f ca="1">BDP("084249FF Muni","GB_MANAGEMENT_PROCEEDS")</f>
        <v>#NAME?</v>
      </c>
      <c r="M1823" t="e">
        <f ca="1">BDP("084249FF Muni","GB_REPORTING")</f>
        <v>#NAME?</v>
      </c>
      <c r="N1823" t="e">
        <f ca="1">BDP("084249FF Muni","GB_ASSURANCE_PROVIDERS")</f>
        <v>#NAME?</v>
      </c>
      <c r="O1823" t="e">
        <f ca="1">BDP("084249FF Muni","GB_PROJECT_SELECTION_PROCESS")</f>
        <v>#NAME?</v>
      </c>
      <c r="P1823" t="e">
        <f ca="1">BDP("084249FF Muni","ESG_FRAMEWORK_INDICATOR")</f>
        <v>#NAME?</v>
      </c>
      <c r="Q1823" t="e">
        <f ca="1">BDP("084249FF Muni","BLOOMBERG_SECTOR_CODE")</f>
        <v>#NAME?</v>
      </c>
      <c r="R1823" t="e">
        <f ca="1">BDP("084249FF Muni","ISSUER_TYPE")</f>
        <v>#NAME?</v>
      </c>
      <c r="S1823" t="e">
        <f ca="1">BDS("084249FF Muni","ESG_PROJECT_CATEGORY", "aggregate=y")</f>
        <v>#NAME?</v>
      </c>
      <c r="T1823" t="e">
        <f ca="1">BDS("084249FF Muni","ESG_PROJECT_SUBCATEGORY", "aggregate=y")</f>
        <v>#NAME?</v>
      </c>
    </row>
    <row r="1824" spans="1:20" x14ac:dyDescent="0.25">
      <c r="A1824" t="e">
        <f ca="1">BDP("084249FG Muni","ID_CUSIP")</f>
        <v>#NAME?</v>
      </c>
      <c r="B1824" t="e">
        <f ca="1">BDP("084249FG Muni","STATE_CODE")</f>
        <v>#NAME?</v>
      </c>
      <c r="C1824" t="s">
        <v>108</v>
      </c>
      <c r="D1824" t="e">
        <f ca="1">BDP("084249FG Muni","YIELD_ON_ISSUE_DATE")</f>
        <v>#NAME?</v>
      </c>
      <c r="E1824">
        <v>1340000</v>
      </c>
      <c r="F1824" t="e">
        <f ca="1">BDP("084249FG Muni","ISSUE_DT")</f>
        <v>#NAME?</v>
      </c>
      <c r="G1824" t="e">
        <f ca="1">BDP("084249FG Muni","MATURITY")</f>
        <v>#NAME?</v>
      </c>
      <c r="H1824" t="e">
        <f ca="1">BDP("084249FG Muni","MUNI_TAX_PROV")</f>
        <v>#NAME?</v>
      </c>
      <c r="I1824" t="e">
        <f ca="1">BDP("084249FG Muni","FINANCING_TYPE")</f>
        <v>#NAME?</v>
      </c>
      <c r="J1824" t="e">
        <f ca="1">BDP("084249FG Muni","BICS_LEVEL_2_INDUSTRY_GROUP_NAME")</f>
        <v>#NAME?</v>
      </c>
      <c r="K1824" t="e">
        <f ca="1">BDP("084249FG Muni","SELF_REPRTD_GREEN_INSTR_INDCTR")</f>
        <v>#NAME?</v>
      </c>
      <c r="L1824" t="e">
        <f ca="1">BDP("084249FG Muni","GB_MANAGEMENT_PROCEEDS")</f>
        <v>#NAME?</v>
      </c>
      <c r="M1824" t="e">
        <f ca="1">BDP("084249FG Muni","GB_REPORTING")</f>
        <v>#NAME?</v>
      </c>
      <c r="N1824" t="e">
        <f ca="1">BDP("084249FG Muni","GB_ASSURANCE_PROVIDERS")</f>
        <v>#NAME?</v>
      </c>
      <c r="O1824" t="e">
        <f ca="1">BDP("084249FG Muni","GB_PROJECT_SELECTION_PROCESS")</f>
        <v>#NAME?</v>
      </c>
      <c r="P1824" t="e">
        <f ca="1">BDP("084249FG Muni","ESG_FRAMEWORK_INDICATOR")</f>
        <v>#NAME?</v>
      </c>
      <c r="Q1824" t="e">
        <f ca="1">BDP("084249FG Muni","BLOOMBERG_SECTOR_CODE")</f>
        <v>#NAME?</v>
      </c>
      <c r="R1824" t="e">
        <f ca="1">BDP("084249FG Muni","ISSUER_TYPE")</f>
        <v>#NAME?</v>
      </c>
      <c r="S1824" t="e">
        <f ca="1">BDS("084249FG Muni","ESG_PROJECT_CATEGORY", "aggregate=y")</f>
        <v>#NAME?</v>
      </c>
      <c r="T1824" t="e">
        <f ca="1">BDS("084249FG Muni","ESG_PROJECT_SUBCATEGORY", "aggregate=y")</f>
        <v>#NAME?</v>
      </c>
    </row>
    <row r="1825" spans="1:20" x14ac:dyDescent="0.25">
      <c r="A1825" t="e">
        <f ca="1">BDP("084249FH Muni","ID_CUSIP")</f>
        <v>#NAME?</v>
      </c>
      <c r="B1825" t="e">
        <f ca="1">BDP("084249FH Muni","STATE_CODE")</f>
        <v>#NAME?</v>
      </c>
      <c r="C1825" t="s">
        <v>108</v>
      </c>
      <c r="D1825" t="e">
        <f ca="1">BDP("084249FH Muni","YIELD_ON_ISSUE_DATE")</f>
        <v>#NAME?</v>
      </c>
      <c r="E1825">
        <v>1405000</v>
      </c>
      <c r="F1825" t="e">
        <f ca="1">BDP("084249FH Muni","ISSUE_DT")</f>
        <v>#NAME?</v>
      </c>
      <c r="G1825" t="e">
        <f ca="1">BDP("084249FH Muni","MATURITY")</f>
        <v>#NAME?</v>
      </c>
      <c r="H1825" t="e">
        <f ca="1">BDP("084249FH Muni","MUNI_TAX_PROV")</f>
        <v>#NAME?</v>
      </c>
      <c r="I1825" t="e">
        <f ca="1">BDP("084249FH Muni","FINANCING_TYPE")</f>
        <v>#NAME?</v>
      </c>
      <c r="J1825" t="e">
        <f ca="1">BDP("084249FH Muni","BICS_LEVEL_2_INDUSTRY_GROUP_NAME")</f>
        <v>#NAME?</v>
      </c>
      <c r="K1825" t="e">
        <f ca="1">BDP("084249FH Muni","SELF_REPRTD_GREEN_INSTR_INDCTR")</f>
        <v>#NAME?</v>
      </c>
      <c r="L1825" t="e">
        <f ca="1">BDP("084249FH Muni","GB_MANAGEMENT_PROCEEDS")</f>
        <v>#NAME?</v>
      </c>
      <c r="M1825" t="e">
        <f ca="1">BDP("084249FH Muni","GB_REPORTING")</f>
        <v>#NAME?</v>
      </c>
      <c r="N1825" t="e">
        <f ca="1">BDP("084249FH Muni","GB_ASSURANCE_PROVIDERS")</f>
        <v>#NAME?</v>
      </c>
      <c r="O1825" t="e">
        <f ca="1">BDP("084249FH Muni","GB_PROJECT_SELECTION_PROCESS")</f>
        <v>#NAME?</v>
      </c>
      <c r="P1825" t="e">
        <f ca="1">BDP("084249FH Muni","ESG_FRAMEWORK_INDICATOR")</f>
        <v>#NAME?</v>
      </c>
      <c r="Q1825" t="e">
        <f ca="1">BDP("084249FH Muni","BLOOMBERG_SECTOR_CODE")</f>
        <v>#NAME?</v>
      </c>
      <c r="R1825" t="e">
        <f ca="1">BDP("084249FH Muni","ISSUER_TYPE")</f>
        <v>#NAME?</v>
      </c>
      <c r="S1825" t="e">
        <f ca="1">BDS("084249FH Muni","ESG_PROJECT_CATEGORY", "aggregate=y")</f>
        <v>#NAME?</v>
      </c>
      <c r="T1825" t="e">
        <f ca="1">BDS("084249FH Muni","ESG_PROJECT_SUBCATEGORY", "aggregate=y")</f>
        <v>#NAME?</v>
      </c>
    </row>
    <row r="1826" spans="1:20" x14ac:dyDescent="0.25">
      <c r="A1826" t="e">
        <f ca="1">BDP("084249FJ Muni","ID_CUSIP")</f>
        <v>#NAME?</v>
      </c>
      <c r="B1826" t="e">
        <f ca="1">BDP("084249FJ Muni","STATE_CODE")</f>
        <v>#NAME?</v>
      </c>
      <c r="C1826" t="s">
        <v>108</v>
      </c>
      <c r="D1826" t="e">
        <f ca="1">BDP("084249FJ Muni","YIELD_ON_ISSUE_DATE")</f>
        <v>#NAME?</v>
      </c>
      <c r="E1826">
        <v>1505000</v>
      </c>
      <c r="F1826" t="e">
        <f ca="1">BDP("084249FJ Muni","ISSUE_DT")</f>
        <v>#NAME?</v>
      </c>
      <c r="G1826" t="e">
        <f ca="1">BDP("084249FJ Muni","MATURITY")</f>
        <v>#NAME?</v>
      </c>
      <c r="H1826" t="e">
        <f ca="1">BDP("084249FJ Muni","MUNI_TAX_PROV")</f>
        <v>#NAME?</v>
      </c>
      <c r="I1826" t="e">
        <f ca="1">BDP("084249FJ Muni","FINANCING_TYPE")</f>
        <v>#NAME?</v>
      </c>
      <c r="J1826" t="e">
        <f ca="1">BDP("084249FJ Muni","BICS_LEVEL_2_INDUSTRY_GROUP_NAME")</f>
        <v>#NAME?</v>
      </c>
      <c r="K1826" t="e">
        <f ca="1">BDP("084249FJ Muni","SELF_REPRTD_GREEN_INSTR_INDCTR")</f>
        <v>#NAME?</v>
      </c>
      <c r="L1826" t="e">
        <f ca="1">BDP("084249FJ Muni","GB_MANAGEMENT_PROCEEDS")</f>
        <v>#NAME?</v>
      </c>
      <c r="M1826" t="e">
        <f ca="1">BDP("084249FJ Muni","GB_REPORTING")</f>
        <v>#NAME?</v>
      </c>
      <c r="N1826" t="e">
        <f ca="1">BDP("084249FJ Muni","GB_ASSURANCE_PROVIDERS")</f>
        <v>#NAME?</v>
      </c>
      <c r="O1826" t="e">
        <f ca="1">BDP("084249FJ Muni","GB_PROJECT_SELECTION_PROCESS")</f>
        <v>#NAME?</v>
      </c>
      <c r="P1826" t="e">
        <f ca="1">BDP("084249FJ Muni","ESG_FRAMEWORK_INDICATOR")</f>
        <v>#NAME?</v>
      </c>
      <c r="Q1826" t="e">
        <f ca="1">BDP("084249FJ Muni","BLOOMBERG_SECTOR_CODE")</f>
        <v>#NAME?</v>
      </c>
      <c r="R1826" t="e">
        <f ca="1">BDP("084249FJ Muni","ISSUER_TYPE")</f>
        <v>#NAME?</v>
      </c>
      <c r="S1826" t="e">
        <f ca="1">BDS("084249FJ Muni","ESG_PROJECT_CATEGORY", "aggregate=y")</f>
        <v>#NAME?</v>
      </c>
      <c r="T1826" t="e">
        <f ca="1">BDS("084249FJ Muni","ESG_PROJECT_SUBCATEGORY", "aggregate=y")</f>
        <v>#NAME?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5" t="s">
        <v>111</v>
      </c>
      <c r="B1" s="5"/>
      <c r="C1" s="5"/>
      <c r="D1" s="5"/>
    </row>
    <row r="2" spans="1:4" x14ac:dyDescent="0.25">
      <c r="A2" s="4" t="s">
        <v>112</v>
      </c>
      <c r="B2" s="3"/>
      <c r="C2" s="3"/>
      <c r="D2" s="3"/>
    </row>
    <row r="3" spans="1:4" x14ac:dyDescent="0.25">
      <c r="A3" s="4"/>
      <c r="B3" s="3"/>
      <c r="C3" s="3"/>
      <c r="D3" s="3"/>
    </row>
    <row r="4" spans="1:4" x14ac:dyDescent="0.25">
      <c r="A4" s="4" t="s">
        <v>113</v>
      </c>
      <c r="B4" s="3"/>
      <c r="C4" s="3"/>
      <c r="D4" s="3"/>
    </row>
    <row r="5" spans="1:4" x14ac:dyDescent="0.25">
      <c r="A5" s="4" t="s">
        <v>114</v>
      </c>
      <c r="B5" s="3"/>
      <c r="C5" s="3"/>
      <c r="D5" s="3"/>
    </row>
    <row r="6" spans="1:4" x14ac:dyDescent="0.25">
      <c r="A6" s="4"/>
      <c r="B6" s="3"/>
      <c r="C6" s="3"/>
      <c r="D6" s="3"/>
    </row>
    <row r="7" spans="1:4" x14ac:dyDescent="0.25">
      <c r="A7" s="4"/>
      <c r="B7" s="3"/>
      <c r="C7" s="3"/>
      <c r="D7" s="3"/>
    </row>
    <row r="8" spans="1:4" x14ac:dyDescent="0.25">
      <c r="A8" s="4" t="s">
        <v>115</v>
      </c>
      <c r="B8" s="3"/>
      <c r="C8" s="3"/>
      <c r="D8" s="3"/>
    </row>
    <row r="9" spans="1:4" x14ac:dyDescent="0.25">
      <c r="A9" s="4"/>
      <c r="B9" s="3"/>
      <c r="C9" s="3"/>
      <c r="D9" s="3"/>
    </row>
    <row r="10" spans="1:4" x14ac:dyDescent="0.25">
      <c r="A10" s="2" t="s">
        <v>116</v>
      </c>
      <c r="B10" s="3"/>
      <c r="C10" s="3"/>
      <c r="D10" s="3"/>
    </row>
    <row r="11" spans="1:4" x14ac:dyDescent="0.25">
      <c r="A11" s="1" t="s">
        <v>117</v>
      </c>
      <c r="B11" s="3"/>
      <c r="C11" s="3"/>
      <c r="D11" s="3"/>
    </row>
    <row r="12" spans="1:4" x14ac:dyDescent="0.25">
      <c r="A12" s="1" t="s">
        <v>118</v>
      </c>
      <c r="B12" s="3"/>
      <c r="C12" s="3"/>
      <c r="D12" s="3"/>
    </row>
    <row r="13" spans="1:4" x14ac:dyDescent="0.25">
      <c r="A13" s="1" t="s">
        <v>119</v>
      </c>
      <c r="B13" s="3"/>
      <c r="C13" s="3"/>
      <c r="D13" s="3"/>
    </row>
    <row r="14" spans="1:4" x14ac:dyDescent="0.25">
      <c r="A14" s="6" t="s">
        <v>120</v>
      </c>
      <c r="B14" s="6" t="s">
        <v>121</v>
      </c>
      <c r="C14" s="6" t="s">
        <v>122</v>
      </c>
      <c r="D14" s="6" t="s">
        <v>123</v>
      </c>
    </row>
    <row r="15" spans="1:4" x14ac:dyDescent="0.25">
      <c r="A15" s="6" t="s">
        <v>120</v>
      </c>
      <c r="B15" s="6" t="s">
        <v>124</v>
      </c>
      <c r="C15" s="6" t="s">
        <v>125</v>
      </c>
      <c r="D15" s="6" t="s">
        <v>126</v>
      </c>
    </row>
    <row r="16" spans="1:4" x14ac:dyDescent="0.25">
      <c r="A16" s="6" t="s">
        <v>120</v>
      </c>
      <c r="B16" s="6" t="s">
        <v>5</v>
      </c>
      <c r="C16" s="6" t="s">
        <v>127</v>
      </c>
      <c r="D16" s="6" t="s">
        <v>128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Municipals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Maurice Hirt</cp:lastModifiedBy>
  <cp:lastPrinted>2026-01-28T17:09:25Z</cp:lastPrinted>
  <dcterms:created xsi:type="dcterms:W3CDTF">2013-04-03T15:49:21Z</dcterms:created>
  <dcterms:modified xsi:type="dcterms:W3CDTF">2026-01-28T17:16:51Z</dcterms:modified>
</cp:coreProperties>
</file>